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5588" documentId="8_{FDD42E6F-94E1-48F3-8613-54A91AB43A68}" xr6:coauthVersionLast="47" xr6:coauthVersionMax="47" xr10:uidLastSave="{19FB255D-749B-448D-8D33-966B7573AA9A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48" i="6" l="1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W989" i="1"/>
  <c r="V989" i="1"/>
  <c r="U989" i="1"/>
  <c r="Y989" i="1" s="1"/>
  <c r="Q989" i="1"/>
  <c r="H989" i="1"/>
  <c r="Q846" i="1"/>
  <c r="U846" i="1"/>
  <c r="X846" i="1" s="1"/>
  <c r="V846" i="1"/>
  <c r="W846" i="1"/>
  <c r="H846" i="1"/>
  <c r="R846" i="1" s="1"/>
  <c r="Q844" i="1"/>
  <c r="U844" i="1"/>
  <c r="X844" i="1" s="1"/>
  <c r="V844" i="1"/>
  <c r="W844" i="1"/>
  <c r="H844" i="1"/>
  <c r="S844" i="1" s="1"/>
  <c r="T844" i="1" s="1"/>
  <c r="W1075" i="1"/>
  <c r="V1075" i="1"/>
  <c r="U1075" i="1"/>
  <c r="Y1075" i="1" s="1"/>
  <c r="Q1075" i="1"/>
  <c r="H1075" i="1"/>
  <c r="W1074" i="1"/>
  <c r="V1074" i="1"/>
  <c r="U1074" i="1"/>
  <c r="Y1074" i="1" s="1"/>
  <c r="Q1074" i="1"/>
  <c r="H1074" i="1"/>
  <c r="W1073" i="1"/>
  <c r="V1073" i="1"/>
  <c r="U1073" i="1"/>
  <c r="Y1073" i="1" s="1"/>
  <c r="Q1073" i="1"/>
  <c r="H1073" i="1"/>
  <c r="R1073" i="1" s="1"/>
  <c r="W1072" i="1"/>
  <c r="V1072" i="1"/>
  <c r="U1072" i="1"/>
  <c r="Y1072" i="1" s="1"/>
  <c r="Q1072" i="1"/>
  <c r="H1072" i="1"/>
  <c r="W1071" i="1"/>
  <c r="V1071" i="1"/>
  <c r="U1071" i="1"/>
  <c r="Y1071" i="1" s="1"/>
  <c r="Q1071" i="1"/>
  <c r="H1071" i="1"/>
  <c r="R1071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R989" i="1" l="1"/>
  <c r="S989" i="1"/>
  <c r="T989" i="1" s="1"/>
  <c r="X989" i="1"/>
  <c r="Z989" i="1" s="1"/>
  <c r="R844" i="1"/>
  <c r="Z844" i="1"/>
  <c r="Y846" i="1"/>
  <c r="Y844" i="1"/>
  <c r="S846" i="1"/>
  <c r="T846" i="1" s="1"/>
  <c r="Z846" i="1"/>
  <c r="R1075" i="1"/>
  <c r="S1075" i="1"/>
  <c r="T1075" i="1" s="1"/>
  <c r="X1075" i="1"/>
  <c r="Z1075" i="1" s="1"/>
  <c r="R1074" i="1"/>
  <c r="S1074" i="1"/>
  <c r="T1074" i="1" s="1"/>
  <c r="X1074" i="1"/>
  <c r="Z1074" i="1" s="1"/>
  <c r="S1073" i="1"/>
  <c r="T1073" i="1" s="1"/>
  <c r="X1073" i="1"/>
  <c r="Z1073" i="1" s="1"/>
  <c r="R1072" i="1"/>
  <c r="S1072" i="1"/>
  <c r="T1072" i="1" s="1"/>
  <c r="X1072" i="1"/>
  <c r="Z1072" i="1" s="1"/>
  <c r="S1071" i="1"/>
  <c r="T1071" i="1" s="1"/>
  <c r="X1071" i="1"/>
  <c r="Z1071" i="1" s="1"/>
  <c r="Q1070" i="1"/>
  <c r="U1070" i="1"/>
  <c r="V1070" i="1"/>
  <c r="W1070" i="1"/>
  <c r="H1070" i="1"/>
  <c r="Q1069" i="1"/>
  <c r="U1069" i="1"/>
  <c r="V1069" i="1"/>
  <c r="W1069" i="1"/>
  <c r="H1069" i="1"/>
  <c r="Q1068" i="1"/>
  <c r="U1068" i="1"/>
  <c r="V1068" i="1"/>
  <c r="W1068" i="1"/>
  <c r="H1068" i="1"/>
  <c r="Q1067" i="1"/>
  <c r="U1067" i="1"/>
  <c r="V1067" i="1"/>
  <c r="W1067" i="1"/>
  <c r="H1067" i="1"/>
  <c r="Q1066" i="1"/>
  <c r="U1066" i="1"/>
  <c r="V1066" i="1"/>
  <c r="W1066" i="1"/>
  <c r="H1066" i="1"/>
  <c r="Q1065" i="1"/>
  <c r="U1065" i="1"/>
  <c r="V1065" i="1"/>
  <c r="W1065" i="1"/>
  <c r="H1065" i="1"/>
  <c r="Q1064" i="1"/>
  <c r="U1064" i="1"/>
  <c r="V1064" i="1"/>
  <c r="W1064" i="1"/>
  <c r="H1064" i="1"/>
  <c r="Q1063" i="1"/>
  <c r="U1063" i="1"/>
  <c r="V1063" i="1"/>
  <c r="W1063" i="1"/>
  <c r="H1063" i="1"/>
  <c r="Q1062" i="1"/>
  <c r="U1062" i="1"/>
  <c r="V1062" i="1"/>
  <c r="W1062" i="1"/>
  <c r="H1062" i="1"/>
  <c r="Q1061" i="1"/>
  <c r="U1061" i="1"/>
  <c r="V1061" i="1"/>
  <c r="W1061" i="1"/>
  <c r="H1061" i="1"/>
  <c r="Q1060" i="1"/>
  <c r="U1060" i="1"/>
  <c r="V1060" i="1"/>
  <c r="W1060" i="1"/>
  <c r="H1060" i="1"/>
  <c r="Q1059" i="1"/>
  <c r="U1059" i="1"/>
  <c r="V1059" i="1"/>
  <c r="W1059" i="1"/>
  <c r="H1059" i="1"/>
  <c r="Q1058" i="1"/>
  <c r="U1058" i="1"/>
  <c r="V1058" i="1"/>
  <c r="W1058" i="1"/>
  <c r="H1058" i="1"/>
  <c r="Q1057" i="1"/>
  <c r="U1057" i="1"/>
  <c r="V1057" i="1"/>
  <c r="W1057" i="1"/>
  <c r="H1057" i="1"/>
  <c r="Q1056" i="1"/>
  <c r="U1056" i="1"/>
  <c r="V1056" i="1"/>
  <c r="W1056" i="1"/>
  <c r="H1056" i="1"/>
  <c r="Q1055" i="1"/>
  <c r="U1055" i="1"/>
  <c r="V1055" i="1"/>
  <c r="W1055" i="1"/>
  <c r="H1055" i="1"/>
  <c r="Q1054" i="1"/>
  <c r="U1054" i="1"/>
  <c r="V1054" i="1"/>
  <c r="W1054" i="1"/>
  <c r="H1054" i="1"/>
  <c r="Q1053" i="1"/>
  <c r="U1053" i="1"/>
  <c r="V1053" i="1"/>
  <c r="W1053" i="1"/>
  <c r="H1053" i="1"/>
  <c r="Q1052" i="1"/>
  <c r="U1052" i="1"/>
  <c r="V1052" i="1"/>
  <c r="W1052" i="1"/>
  <c r="H1052" i="1"/>
  <c r="Q1051" i="1"/>
  <c r="U1051" i="1"/>
  <c r="V1051" i="1"/>
  <c r="W1051" i="1"/>
  <c r="H1051" i="1"/>
  <c r="Q1050" i="1"/>
  <c r="U1050" i="1"/>
  <c r="V1050" i="1"/>
  <c r="W1050" i="1"/>
  <c r="H1050" i="1"/>
  <c r="Q1049" i="1"/>
  <c r="U1049" i="1"/>
  <c r="V1049" i="1"/>
  <c r="W1049" i="1"/>
  <c r="H1049" i="1"/>
  <c r="Q1048" i="1"/>
  <c r="U1048" i="1"/>
  <c r="V1048" i="1"/>
  <c r="W1048" i="1"/>
  <c r="H1048" i="1"/>
  <c r="Q1047" i="1"/>
  <c r="U1047" i="1"/>
  <c r="V1047" i="1"/>
  <c r="W1047" i="1"/>
  <c r="H1047" i="1"/>
  <c r="Q1046" i="1"/>
  <c r="U1046" i="1"/>
  <c r="V1046" i="1"/>
  <c r="W1046" i="1"/>
  <c r="H1046" i="1"/>
  <c r="Q1045" i="1"/>
  <c r="U1045" i="1"/>
  <c r="V1045" i="1"/>
  <c r="W1045" i="1"/>
  <c r="H1045" i="1"/>
  <c r="Q1044" i="1"/>
  <c r="U1044" i="1"/>
  <c r="V1044" i="1"/>
  <c r="W1044" i="1"/>
  <c r="H1044" i="1"/>
  <c r="Q1043" i="1"/>
  <c r="U1043" i="1"/>
  <c r="V1043" i="1"/>
  <c r="W1043" i="1"/>
  <c r="H1043" i="1"/>
  <c r="Q1042" i="1"/>
  <c r="U1042" i="1"/>
  <c r="V1042" i="1"/>
  <c r="W1042" i="1"/>
  <c r="H1042" i="1"/>
  <c r="W1041" i="1"/>
  <c r="V1041" i="1"/>
  <c r="U1041" i="1"/>
  <c r="Y1041" i="1" s="1"/>
  <c r="Q1041" i="1"/>
  <c r="H1041" i="1"/>
  <c r="S1041" i="1" s="1"/>
  <c r="T1041" i="1" s="1"/>
  <c r="W1040" i="1"/>
  <c r="V1040" i="1"/>
  <c r="U1040" i="1"/>
  <c r="Y1040" i="1" s="1"/>
  <c r="Q1040" i="1"/>
  <c r="H1040" i="1"/>
  <c r="S1040" i="1" s="1"/>
  <c r="T1040" i="1" s="1"/>
  <c r="W1039" i="1"/>
  <c r="V1039" i="1"/>
  <c r="U1039" i="1"/>
  <c r="Y1039" i="1" s="1"/>
  <c r="Q1039" i="1"/>
  <c r="H1039" i="1"/>
  <c r="W1038" i="1"/>
  <c r="V1038" i="1"/>
  <c r="U1038" i="1"/>
  <c r="Y1038" i="1" s="1"/>
  <c r="Q1038" i="1"/>
  <c r="H1038" i="1"/>
  <c r="W1037" i="1"/>
  <c r="V1037" i="1"/>
  <c r="U1037" i="1"/>
  <c r="Y1037" i="1" s="1"/>
  <c r="Q1037" i="1"/>
  <c r="H1037" i="1"/>
  <c r="W1036" i="1"/>
  <c r="V1036" i="1"/>
  <c r="U1036" i="1"/>
  <c r="Y1036" i="1" s="1"/>
  <c r="Q1036" i="1"/>
  <c r="H1036" i="1"/>
  <c r="S1036" i="1" s="1"/>
  <c r="T1036" i="1" s="1"/>
  <c r="W1035" i="1"/>
  <c r="V1035" i="1"/>
  <c r="U1035" i="1"/>
  <c r="Y1035" i="1" s="1"/>
  <c r="Q1035" i="1"/>
  <c r="H1035" i="1"/>
  <c r="W1034" i="1"/>
  <c r="V1034" i="1"/>
  <c r="U1034" i="1"/>
  <c r="Y1034" i="1" s="1"/>
  <c r="Q1034" i="1"/>
  <c r="H1034" i="1"/>
  <c r="S1034" i="1" s="1"/>
  <c r="T1034" i="1" s="1"/>
  <c r="W1033" i="1"/>
  <c r="V1033" i="1"/>
  <c r="U1033" i="1"/>
  <c r="Y1033" i="1" s="1"/>
  <c r="Q1033" i="1"/>
  <c r="H1033" i="1"/>
  <c r="W1032" i="1"/>
  <c r="V1032" i="1"/>
  <c r="U1032" i="1"/>
  <c r="X1032" i="1" s="1"/>
  <c r="Q1032" i="1"/>
  <c r="H1032" i="1"/>
  <c r="S1032" i="1" s="1"/>
  <c r="T1032" i="1" s="1"/>
  <c r="W1031" i="1"/>
  <c r="V1031" i="1"/>
  <c r="U1031" i="1"/>
  <c r="Y1031" i="1" s="1"/>
  <c r="Q1031" i="1"/>
  <c r="H1031" i="1"/>
  <c r="R1031" i="1" s="1"/>
  <c r="W1030" i="1"/>
  <c r="V1030" i="1"/>
  <c r="U1030" i="1"/>
  <c r="X1030" i="1" s="1"/>
  <c r="Q1030" i="1"/>
  <c r="H1030" i="1"/>
  <c r="S1030" i="1" s="1"/>
  <c r="T1030" i="1" s="1"/>
  <c r="W1029" i="1"/>
  <c r="V1029" i="1"/>
  <c r="U1029" i="1"/>
  <c r="Y1029" i="1" s="1"/>
  <c r="Q1029" i="1"/>
  <c r="H1029" i="1"/>
  <c r="S1029" i="1" s="1"/>
  <c r="T1029" i="1" s="1"/>
  <c r="W1028" i="1"/>
  <c r="V1028" i="1"/>
  <c r="U1028" i="1"/>
  <c r="Y1028" i="1" s="1"/>
  <c r="Q1028" i="1"/>
  <c r="H1028" i="1"/>
  <c r="W1027" i="1"/>
  <c r="V1027" i="1"/>
  <c r="U1027" i="1"/>
  <c r="Y1027" i="1" s="1"/>
  <c r="Q1027" i="1"/>
  <c r="H1027" i="1"/>
  <c r="S1027" i="1" s="1"/>
  <c r="T1027" i="1" s="1"/>
  <c r="W1026" i="1"/>
  <c r="V1026" i="1"/>
  <c r="U1026" i="1"/>
  <c r="Y1026" i="1" s="1"/>
  <c r="Q1026" i="1"/>
  <c r="H1026" i="1"/>
  <c r="S1026" i="1" s="1"/>
  <c r="T1026" i="1" s="1"/>
  <c r="W1025" i="1"/>
  <c r="V1025" i="1"/>
  <c r="U1025" i="1"/>
  <c r="Y1025" i="1" s="1"/>
  <c r="Q1025" i="1"/>
  <c r="H1025" i="1"/>
  <c r="W1024" i="1"/>
  <c r="V1024" i="1"/>
  <c r="U1024" i="1"/>
  <c r="Y1024" i="1" s="1"/>
  <c r="Q1024" i="1"/>
  <c r="H1024" i="1"/>
  <c r="S1024" i="1" s="1"/>
  <c r="T1024" i="1" s="1"/>
  <c r="W1023" i="1"/>
  <c r="V1023" i="1"/>
  <c r="U1023" i="1"/>
  <c r="X1023" i="1" s="1"/>
  <c r="Q1023" i="1"/>
  <c r="H1023" i="1"/>
  <c r="R1023" i="1" s="1"/>
  <c r="W1022" i="1"/>
  <c r="V1022" i="1"/>
  <c r="U1022" i="1"/>
  <c r="X1022" i="1" s="1"/>
  <c r="Q1022" i="1"/>
  <c r="H1022" i="1"/>
  <c r="R1022" i="1" s="1"/>
  <c r="W1021" i="1"/>
  <c r="V1021" i="1"/>
  <c r="U1021" i="1"/>
  <c r="Y1021" i="1" s="1"/>
  <c r="Q1021" i="1"/>
  <c r="H1021" i="1"/>
  <c r="S1021" i="1" s="1"/>
  <c r="T1021" i="1" s="1"/>
  <c r="W1020" i="1"/>
  <c r="V1020" i="1"/>
  <c r="U1020" i="1"/>
  <c r="Y1020" i="1" s="1"/>
  <c r="Q1020" i="1"/>
  <c r="H1020" i="1"/>
  <c r="S1020" i="1" s="1"/>
  <c r="T1020" i="1" s="1"/>
  <c r="Z1032" i="1" l="1"/>
  <c r="Y1070" i="1"/>
  <c r="X1070" i="1"/>
  <c r="Z1070" i="1" s="1"/>
  <c r="R1070" i="1"/>
  <c r="S1070" i="1"/>
  <c r="T1070" i="1" s="1"/>
  <c r="Y1069" i="1"/>
  <c r="X1069" i="1"/>
  <c r="Z1069" i="1" s="1"/>
  <c r="R1069" i="1"/>
  <c r="S1069" i="1"/>
  <c r="T1069" i="1" s="1"/>
  <c r="X1068" i="1"/>
  <c r="Z1068" i="1" s="1"/>
  <c r="Y1068" i="1"/>
  <c r="R1068" i="1"/>
  <c r="S1068" i="1"/>
  <c r="T1068" i="1" s="1"/>
  <c r="Y1067" i="1"/>
  <c r="X1067" i="1"/>
  <c r="Z1067" i="1" s="1"/>
  <c r="R1067" i="1"/>
  <c r="S1067" i="1"/>
  <c r="T1067" i="1" s="1"/>
  <c r="Y1066" i="1"/>
  <c r="X1066" i="1"/>
  <c r="Z1066" i="1" s="1"/>
  <c r="R1066" i="1"/>
  <c r="S1066" i="1"/>
  <c r="T1066" i="1" s="1"/>
  <c r="X1065" i="1"/>
  <c r="Z1065" i="1" s="1"/>
  <c r="Y1065" i="1"/>
  <c r="R1065" i="1"/>
  <c r="S1065" i="1"/>
  <c r="T1065" i="1" s="1"/>
  <c r="X1064" i="1"/>
  <c r="Z1064" i="1" s="1"/>
  <c r="Y1064" i="1"/>
  <c r="R1064" i="1"/>
  <c r="S1064" i="1"/>
  <c r="T1064" i="1" s="1"/>
  <c r="Y1063" i="1"/>
  <c r="X1063" i="1"/>
  <c r="Z1063" i="1" s="1"/>
  <c r="R1063" i="1"/>
  <c r="S1063" i="1"/>
  <c r="T1063" i="1" s="1"/>
  <c r="Y1062" i="1"/>
  <c r="X1062" i="1"/>
  <c r="Z1062" i="1" s="1"/>
  <c r="R1062" i="1"/>
  <c r="S1062" i="1"/>
  <c r="T1062" i="1" s="1"/>
  <c r="X1061" i="1"/>
  <c r="Z1061" i="1" s="1"/>
  <c r="Y1061" i="1"/>
  <c r="R1061" i="1"/>
  <c r="S1061" i="1"/>
  <c r="T1061" i="1" s="1"/>
  <c r="X1060" i="1"/>
  <c r="Z1060" i="1" s="1"/>
  <c r="Y1060" i="1"/>
  <c r="R1060" i="1"/>
  <c r="S1060" i="1"/>
  <c r="T1060" i="1" s="1"/>
  <c r="X1059" i="1"/>
  <c r="Z1059" i="1" s="1"/>
  <c r="Y1059" i="1"/>
  <c r="R1059" i="1"/>
  <c r="S1059" i="1"/>
  <c r="T1059" i="1" s="1"/>
  <c r="Y1058" i="1"/>
  <c r="X1058" i="1"/>
  <c r="Z1058" i="1" s="1"/>
  <c r="R1058" i="1"/>
  <c r="S1058" i="1"/>
  <c r="T1058" i="1" s="1"/>
  <c r="Y1057" i="1"/>
  <c r="X1057" i="1"/>
  <c r="Z1057" i="1" s="1"/>
  <c r="R1057" i="1"/>
  <c r="S1057" i="1"/>
  <c r="T1057" i="1" s="1"/>
  <c r="X1056" i="1"/>
  <c r="Z1056" i="1" s="1"/>
  <c r="Y1056" i="1"/>
  <c r="R1056" i="1"/>
  <c r="S1056" i="1"/>
  <c r="T1056" i="1" s="1"/>
  <c r="X1055" i="1"/>
  <c r="Z1055" i="1" s="1"/>
  <c r="Y1055" i="1"/>
  <c r="R1055" i="1"/>
  <c r="S1055" i="1"/>
  <c r="T1055" i="1" s="1"/>
  <c r="X1054" i="1"/>
  <c r="Z1054" i="1" s="1"/>
  <c r="Y1054" i="1"/>
  <c r="R1054" i="1"/>
  <c r="S1054" i="1"/>
  <c r="T1054" i="1" s="1"/>
  <c r="X1053" i="1"/>
  <c r="Z1053" i="1" s="1"/>
  <c r="Y1053" i="1"/>
  <c r="R1053" i="1"/>
  <c r="S1053" i="1"/>
  <c r="T1053" i="1" s="1"/>
  <c r="X1052" i="1"/>
  <c r="Z1052" i="1" s="1"/>
  <c r="Y1052" i="1"/>
  <c r="R1052" i="1"/>
  <c r="S1052" i="1"/>
  <c r="T1052" i="1" s="1"/>
  <c r="X1051" i="1"/>
  <c r="Z1051" i="1" s="1"/>
  <c r="Y1051" i="1"/>
  <c r="R1051" i="1"/>
  <c r="S1051" i="1"/>
  <c r="T1051" i="1" s="1"/>
  <c r="X1050" i="1"/>
  <c r="Z1050" i="1" s="1"/>
  <c r="Y1050" i="1"/>
  <c r="R1050" i="1"/>
  <c r="S1050" i="1"/>
  <c r="T1050" i="1" s="1"/>
  <c r="X1049" i="1"/>
  <c r="Z1049" i="1" s="1"/>
  <c r="Y1049" i="1"/>
  <c r="R1049" i="1"/>
  <c r="S1049" i="1"/>
  <c r="T1049" i="1" s="1"/>
  <c r="Y1048" i="1"/>
  <c r="X1048" i="1"/>
  <c r="Z1048" i="1" s="1"/>
  <c r="R1048" i="1"/>
  <c r="S1048" i="1"/>
  <c r="T1048" i="1" s="1"/>
  <c r="X1047" i="1"/>
  <c r="Z1047" i="1" s="1"/>
  <c r="Y1047" i="1"/>
  <c r="S1047" i="1"/>
  <c r="T1047" i="1" s="1"/>
  <c r="R1047" i="1"/>
  <c r="X1046" i="1"/>
  <c r="Z1046" i="1" s="1"/>
  <c r="Y1046" i="1"/>
  <c r="R1046" i="1"/>
  <c r="S1046" i="1"/>
  <c r="T1046" i="1" s="1"/>
  <c r="Y1045" i="1"/>
  <c r="X1045" i="1"/>
  <c r="Z1045" i="1" s="1"/>
  <c r="R1045" i="1"/>
  <c r="S1045" i="1"/>
  <c r="T1045" i="1" s="1"/>
  <c r="X1044" i="1"/>
  <c r="Z1044" i="1" s="1"/>
  <c r="Y1044" i="1"/>
  <c r="R1044" i="1"/>
  <c r="S1044" i="1"/>
  <c r="T1044" i="1" s="1"/>
  <c r="X1043" i="1"/>
  <c r="Z1043" i="1" s="1"/>
  <c r="Y1043" i="1"/>
  <c r="R1043" i="1"/>
  <c r="S1043" i="1"/>
  <c r="T1043" i="1" s="1"/>
  <c r="Y1042" i="1"/>
  <c r="X1042" i="1"/>
  <c r="Z1042" i="1" s="1"/>
  <c r="R1042" i="1"/>
  <c r="S1042" i="1"/>
  <c r="T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R1037" i="1"/>
  <c r="R1036" i="1"/>
  <c r="X1036" i="1"/>
  <c r="Z1036" i="1" s="1"/>
  <c r="R1035" i="1"/>
  <c r="S1035" i="1"/>
  <c r="T1035" i="1" s="1"/>
  <c r="X1035" i="1"/>
  <c r="Z1035" i="1" s="1"/>
  <c r="Z1030" i="1"/>
  <c r="Z1023" i="1"/>
  <c r="S1023" i="1"/>
  <c r="T1023" i="1" s="1"/>
  <c r="R1034" i="1"/>
  <c r="X1034" i="1"/>
  <c r="Z1034" i="1" s="1"/>
  <c r="R1033" i="1"/>
  <c r="S1033" i="1"/>
  <c r="T1033" i="1" s="1"/>
  <c r="X1033" i="1"/>
  <c r="Z1033" i="1" s="1"/>
  <c r="S1031" i="1"/>
  <c r="T1031" i="1" s="1"/>
  <c r="Y1032" i="1"/>
  <c r="R1032" i="1"/>
  <c r="X1031" i="1"/>
  <c r="Z1031" i="1" s="1"/>
  <c r="R1030" i="1"/>
  <c r="Y1030" i="1"/>
  <c r="R1029" i="1"/>
  <c r="X1029" i="1"/>
  <c r="Z1029" i="1" s="1"/>
  <c r="R1028" i="1"/>
  <c r="S1028" i="1"/>
  <c r="T1028" i="1" s="1"/>
  <c r="X1028" i="1"/>
  <c r="Z1028" i="1" s="1"/>
  <c r="X1027" i="1"/>
  <c r="Z1027" i="1" s="1"/>
  <c r="R1027" i="1"/>
  <c r="X1026" i="1"/>
  <c r="Z1026" i="1" s="1"/>
  <c r="R1026" i="1"/>
  <c r="R1025" i="1"/>
  <c r="S1025" i="1"/>
  <c r="T1025" i="1" s="1"/>
  <c r="Y1023" i="1"/>
  <c r="R1024" i="1"/>
  <c r="X1025" i="1"/>
  <c r="Z1025" i="1" s="1"/>
  <c r="X1024" i="1"/>
  <c r="Z1024" i="1" s="1"/>
  <c r="S1022" i="1"/>
  <c r="T1022" i="1" s="1"/>
  <c r="Y1022" i="1"/>
  <c r="Z1022" i="1"/>
  <c r="R1021" i="1"/>
  <c r="X1021" i="1"/>
  <c r="Z1021" i="1" s="1"/>
  <c r="X1020" i="1"/>
  <c r="Z1020" i="1" s="1"/>
  <c r="R1020" i="1"/>
  <c r="W1019" i="1"/>
  <c r="V1019" i="1"/>
  <c r="U1019" i="1"/>
  <c r="Y1019" i="1" s="1"/>
  <c r="Q1019" i="1"/>
  <c r="H1019" i="1"/>
  <c r="W1018" i="1"/>
  <c r="V1018" i="1"/>
  <c r="U1018" i="1"/>
  <c r="Y1018" i="1" s="1"/>
  <c r="Q1018" i="1"/>
  <c r="H1018" i="1"/>
  <c r="S1018" i="1" s="1"/>
  <c r="T1018" i="1" s="1"/>
  <c r="W1017" i="1"/>
  <c r="V1017" i="1"/>
  <c r="U1017" i="1"/>
  <c r="Y1017" i="1" s="1"/>
  <c r="Q1017" i="1"/>
  <c r="H1017" i="1"/>
  <c r="W1016" i="1"/>
  <c r="V1016" i="1"/>
  <c r="U1016" i="1"/>
  <c r="Y1016" i="1" s="1"/>
  <c r="Q1016" i="1"/>
  <c r="H1016" i="1"/>
  <c r="S1016" i="1" s="1"/>
  <c r="T1016" i="1" s="1"/>
  <c r="W1015" i="1"/>
  <c r="V1015" i="1"/>
  <c r="U1015" i="1"/>
  <c r="Y1015" i="1" s="1"/>
  <c r="Q1015" i="1"/>
  <c r="H1015" i="1"/>
  <c r="S1015" i="1" s="1"/>
  <c r="T1015" i="1" s="1"/>
  <c r="W1014" i="1"/>
  <c r="V1014" i="1"/>
  <c r="U1014" i="1"/>
  <c r="Y1014" i="1" s="1"/>
  <c r="Q1014" i="1"/>
  <c r="H1014" i="1"/>
  <c r="S1014" i="1" s="1"/>
  <c r="T1014" i="1" s="1"/>
  <c r="W1013" i="1"/>
  <c r="V1013" i="1"/>
  <c r="U1013" i="1"/>
  <c r="Y1013" i="1" s="1"/>
  <c r="Q1013" i="1"/>
  <c r="H1013" i="1"/>
  <c r="W1012" i="1"/>
  <c r="V1012" i="1"/>
  <c r="U1012" i="1"/>
  <c r="Y1012" i="1" s="1"/>
  <c r="Q1012" i="1"/>
  <c r="H1012" i="1"/>
  <c r="W1011" i="1"/>
  <c r="V1011" i="1"/>
  <c r="U1011" i="1"/>
  <c r="Y1011" i="1" s="1"/>
  <c r="Q1011" i="1"/>
  <c r="H1011" i="1"/>
  <c r="H1010" i="1"/>
  <c r="R1010" i="1" s="1"/>
  <c r="W1010" i="1"/>
  <c r="V1010" i="1"/>
  <c r="U1010" i="1"/>
  <c r="Y1010" i="1" s="1"/>
  <c r="Q1010" i="1"/>
  <c r="W1009" i="1"/>
  <c r="V1009" i="1"/>
  <c r="U1009" i="1"/>
  <c r="Y1009" i="1" s="1"/>
  <c r="Q1009" i="1"/>
  <c r="H1009" i="1"/>
  <c r="R1009" i="1" s="1"/>
  <c r="H988" i="1"/>
  <c r="R988" i="1" s="1"/>
  <c r="Q988" i="1"/>
  <c r="U988" i="1"/>
  <c r="X988" i="1" s="1"/>
  <c r="V988" i="1"/>
  <c r="W988" i="1"/>
  <c r="W1008" i="1"/>
  <c r="V1008" i="1"/>
  <c r="U1008" i="1"/>
  <c r="Y1008" i="1" s="1"/>
  <c r="Q1008" i="1"/>
  <c r="H1008" i="1"/>
  <c r="S1008" i="1" s="1"/>
  <c r="T1008" i="1" s="1"/>
  <c r="Q1007" i="1"/>
  <c r="U1007" i="1"/>
  <c r="Y1007" i="1" s="1"/>
  <c r="V1007" i="1"/>
  <c r="W1007" i="1"/>
  <c r="H1007" i="1"/>
  <c r="S1007" i="1" s="1"/>
  <c r="T1007" i="1" s="1"/>
  <c r="Q1006" i="1"/>
  <c r="U1006" i="1"/>
  <c r="Y1006" i="1" s="1"/>
  <c r="V1006" i="1"/>
  <c r="W1006" i="1"/>
  <c r="H1006" i="1"/>
  <c r="R1006" i="1" s="1"/>
  <c r="Q1005" i="1"/>
  <c r="U1005" i="1"/>
  <c r="Y1005" i="1" s="1"/>
  <c r="V1005" i="1"/>
  <c r="W1005" i="1"/>
  <c r="H1005" i="1"/>
  <c r="S1005" i="1" s="1"/>
  <c r="T1005" i="1" s="1"/>
  <c r="Q1004" i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R1002" i="1" s="1"/>
  <c r="Q1001" i="1"/>
  <c r="U1001" i="1"/>
  <c r="Y1001" i="1" s="1"/>
  <c r="V1001" i="1"/>
  <c r="W1001" i="1"/>
  <c r="H1001" i="1"/>
  <c r="R1001" i="1" s="1"/>
  <c r="Q1000" i="1"/>
  <c r="U1000" i="1"/>
  <c r="Y1000" i="1" s="1"/>
  <c r="V1000" i="1"/>
  <c r="W1000" i="1"/>
  <c r="H1000" i="1"/>
  <c r="S1000" i="1" s="1"/>
  <c r="T1000" i="1" s="1"/>
  <c r="Q999" i="1"/>
  <c r="U999" i="1"/>
  <c r="Y999" i="1" s="1"/>
  <c r="V999" i="1"/>
  <c r="W999" i="1"/>
  <c r="H999" i="1"/>
  <c r="R999" i="1" s="1"/>
  <c r="Q998" i="1"/>
  <c r="U998" i="1"/>
  <c r="Y998" i="1" s="1"/>
  <c r="V998" i="1"/>
  <c r="W998" i="1"/>
  <c r="H998" i="1"/>
  <c r="S998" i="1" s="1"/>
  <c r="T998" i="1" s="1"/>
  <c r="Q997" i="1"/>
  <c r="U997" i="1"/>
  <c r="Y997" i="1" s="1"/>
  <c r="V997" i="1"/>
  <c r="W997" i="1"/>
  <c r="H997" i="1"/>
  <c r="R997" i="1" s="1"/>
  <c r="Q996" i="1"/>
  <c r="U996" i="1"/>
  <c r="Y996" i="1" s="1"/>
  <c r="V996" i="1"/>
  <c r="W996" i="1"/>
  <c r="H996" i="1"/>
  <c r="S996" i="1" s="1"/>
  <c r="T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R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S991" i="1" s="1"/>
  <c r="T991" i="1" s="1"/>
  <c r="Q990" i="1"/>
  <c r="U990" i="1"/>
  <c r="Y990" i="1" s="1"/>
  <c r="V990" i="1"/>
  <c r="W990" i="1"/>
  <c r="H990" i="1"/>
  <c r="R990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5" i="1"/>
  <c r="R855" i="1" s="1"/>
  <c r="Q855" i="1"/>
  <c r="U855" i="1"/>
  <c r="V855" i="1"/>
  <c r="W855" i="1"/>
  <c r="H856" i="1"/>
  <c r="Q856" i="1"/>
  <c r="U856" i="1"/>
  <c r="Y856" i="1" s="1"/>
  <c r="V856" i="1"/>
  <c r="W856" i="1"/>
  <c r="H857" i="1"/>
  <c r="S857" i="1" s="1"/>
  <c r="T857" i="1" s="1"/>
  <c r="Q857" i="1"/>
  <c r="U857" i="1"/>
  <c r="X857" i="1" s="1"/>
  <c r="V857" i="1"/>
  <c r="W857" i="1"/>
  <c r="H858" i="1"/>
  <c r="Q858" i="1"/>
  <c r="U858" i="1"/>
  <c r="X858" i="1" s="1"/>
  <c r="V858" i="1"/>
  <c r="W858" i="1"/>
  <c r="H859" i="1"/>
  <c r="R859" i="1" s="1"/>
  <c r="Q859" i="1"/>
  <c r="U859" i="1"/>
  <c r="V859" i="1"/>
  <c r="W859" i="1"/>
  <c r="H860" i="1"/>
  <c r="R860" i="1" s="1"/>
  <c r="Q860" i="1"/>
  <c r="U860" i="1"/>
  <c r="X860" i="1" s="1"/>
  <c r="V860" i="1"/>
  <c r="W860" i="1"/>
  <c r="H861" i="1"/>
  <c r="Q861" i="1"/>
  <c r="U861" i="1"/>
  <c r="X861" i="1" s="1"/>
  <c r="V861" i="1"/>
  <c r="W861" i="1"/>
  <c r="H863" i="1"/>
  <c r="R863" i="1" s="1"/>
  <c r="Q863" i="1"/>
  <c r="U863" i="1"/>
  <c r="Y863" i="1" s="1"/>
  <c r="V863" i="1"/>
  <c r="W863" i="1"/>
  <c r="H864" i="1"/>
  <c r="R864" i="1" s="1"/>
  <c r="Q864" i="1"/>
  <c r="U864" i="1"/>
  <c r="Y864" i="1" s="1"/>
  <c r="V864" i="1"/>
  <c r="W864" i="1"/>
  <c r="H865" i="1"/>
  <c r="S865" i="1" s="1"/>
  <c r="T865" i="1" s="1"/>
  <c r="Q865" i="1"/>
  <c r="U865" i="1"/>
  <c r="V865" i="1"/>
  <c r="W865" i="1"/>
  <c r="H866" i="1"/>
  <c r="Q866" i="1"/>
  <c r="U866" i="1"/>
  <c r="X866" i="1" s="1"/>
  <c r="V866" i="1"/>
  <c r="W866" i="1"/>
  <c r="H867" i="1"/>
  <c r="S867" i="1" s="1"/>
  <c r="T867" i="1" s="1"/>
  <c r="Q867" i="1"/>
  <c r="U867" i="1"/>
  <c r="Y867" i="1" s="1"/>
  <c r="V867" i="1"/>
  <c r="W867" i="1"/>
  <c r="H868" i="1"/>
  <c r="R868" i="1" s="1"/>
  <c r="Q868" i="1"/>
  <c r="U868" i="1"/>
  <c r="X868" i="1" s="1"/>
  <c r="V868" i="1"/>
  <c r="W868" i="1"/>
  <c r="H987" i="1"/>
  <c r="S987" i="1" s="1"/>
  <c r="T987" i="1" s="1"/>
  <c r="Q987" i="1"/>
  <c r="U987" i="1"/>
  <c r="Y987" i="1" s="1"/>
  <c r="V987" i="1"/>
  <c r="W987" i="1"/>
  <c r="H874" i="1"/>
  <c r="R874" i="1" s="1"/>
  <c r="Q874" i="1"/>
  <c r="U874" i="1"/>
  <c r="Y874" i="1" s="1"/>
  <c r="V874" i="1"/>
  <c r="W874" i="1"/>
  <c r="H875" i="1"/>
  <c r="S875" i="1" s="1"/>
  <c r="T875" i="1" s="1"/>
  <c r="Q875" i="1"/>
  <c r="U875" i="1"/>
  <c r="Y875" i="1" s="1"/>
  <c r="V875" i="1"/>
  <c r="W875" i="1"/>
  <c r="H876" i="1"/>
  <c r="Q876" i="1"/>
  <c r="U876" i="1"/>
  <c r="Y876" i="1" s="1"/>
  <c r="V876" i="1"/>
  <c r="W876" i="1"/>
  <c r="H877" i="1"/>
  <c r="S877" i="1" s="1"/>
  <c r="T877" i="1" s="1"/>
  <c r="Q877" i="1"/>
  <c r="U877" i="1"/>
  <c r="X877" i="1" s="1"/>
  <c r="V877" i="1"/>
  <c r="W877" i="1"/>
  <c r="H878" i="1"/>
  <c r="S878" i="1" s="1"/>
  <c r="T878" i="1" s="1"/>
  <c r="Q878" i="1"/>
  <c r="U878" i="1"/>
  <c r="X878" i="1" s="1"/>
  <c r="V878" i="1"/>
  <c r="W878" i="1"/>
  <c r="H879" i="1"/>
  <c r="R879" i="1" s="1"/>
  <c r="Q879" i="1"/>
  <c r="U879" i="1"/>
  <c r="X879" i="1" s="1"/>
  <c r="V879" i="1"/>
  <c r="W879" i="1"/>
  <c r="H880" i="1"/>
  <c r="Q880" i="1"/>
  <c r="U880" i="1"/>
  <c r="X880" i="1" s="1"/>
  <c r="V880" i="1"/>
  <c r="W880" i="1"/>
  <c r="H881" i="1"/>
  <c r="S881" i="1" s="1"/>
  <c r="T881" i="1" s="1"/>
  <c r="Q881" i="1"/>
  <c r="U881" i="1"/>
  <c r="X881" i="1" s="1"/>
  <c r="V881" i="1"/>
  <c r="W881" i="1"/>
  <c r="H882" i="1"/>
  <c r="R882" i="1" s="1"/>
  <c r="Q882" i="1"/>
  <c r="U882" i="1"/>
  <c r="Y882" i="1" s="1"/>
  <c r="V882" i="1"/>
  <c r="W882" i="1"/>
  <c r="H883" i="1"/>
  <c r="R883" i="1" s="1"/>
  <c r="Q883" i="1"/>
  <c r="U883" i="1"/>
  <c r="Y883" i="1" s="1"/>
  <c r="V883" i="1"/>
  <c r="W883" i="1"/>
  <c r="H884" i="1"/>
  <c r="Q884" i="1"/>
  <c r="U884" i="1"/>
  <c r="Y884" i="1" s="1"/>
  <c r="V884" i="1"/>
  <c r="W884" i="1"/>
  <c r="H885" i="1"/>
  <c r="R885" i="1" s="1"/>
  <c r="Q885" i="1"/>
  <c r="U885" i="1"/>
  <c r="X885" i="1" s="1"/>
  <c r="V885" i="1"/>
  <c r="W885" i="1"/>
  <c r="H886" i="1"/>
  <c r="Q886" i="1"/>
  <c r="U886" i="1"/>
  <c r="X886" i="1" s="1"/>
  <c r="V886" i="1"/>
  <c r="W886" i="1"/>
  <c r="H887" i="1"/>
  <c r="R887" i="1" s="1"/>
  <c r="Q887" i="1"/>
  <c r="U887" i="1"/>
  <c r="X887" i="1" s="1"/>
  <c r="V887" i="1"/>
  <c r="W887" i="1"/>
  <c r="H888" i="1"/>
  <c r="R888" i="1" s="1"/>
  <c r="Q888" i="1"/>
  <c r="U888" i="1"/>
  <c r="X888" i="1" s="1"/>
  <c r="V888" i="1"/>
  <c r="W888" i="1"/>
  <c r="H889" i="1"/>
  <c r="S889" i="1" s="1"/>
  <c r="T889" i="1" s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Q891" i="1"/>
  <c r="U891" i="1"/>
  <c r="X891" i="1" s="1"/>
  <c r="V891" i="1"/>
  <c r="W891" i="1"/>
  <c r="H892" i="1"/>
  <c r="S892" i="1" s="1"/>
  <c r="T892" i="1" s="1"/>
  <c r="Q892" i="1"/>
  <c r="U892" i="1"/>
  <c r="Y892" i="1" s="1"/>
  <c r="V892" i="1"/>
  <c r="W892" i="1"/>
  <c r="H893" i="1"/>
  <c r="R893" i="1" s="1"/>
  <c r="Q893" i="1"/>
  <c r="U893" i="1"/>
  <c r="V893" i="1"/>
  <c r="W893" i="1"/>
  <c r="H894" i="1"/>
  <c r="Q894" i="1"/>
  <c r="U894" i="1"/>
  <c r="X894" i="1" s="1"/>
  <c r="V894" i="1"/>
  <c r="W894" i="1"/>
  <c r="H895" i="1"/>
  <c r="R895" i="1" s="1"/>
  <c r="Q895" i="1"/>
  <c r="U895" i="1"/>
  <c r="X895" i="1" s="1"/>
  <c r="V895" i="1"/>
  <c r="W895" i="1"/>
  <c r="H896" i="1"/>
  <c r="Q896" i="1"/>
  <c r="U896" i="1"/>
  <c r="Y896" i="1" s="1"/>
  <c r="V896" i="1"/>
  <c r="W896" i="1"/>
  <c r="H897" i="1"/>
  <c r="S897" i="1" s="1"/>
  <c r="T897" i="1" s="1"/>
  <c r="Q897" i="1"/>
  <c r="U897" i="1"/>
  <c r="X897" i="1" s="1"/>
  <c r="V897" i="1"/>
  <c r="W897" i="1"/>
  <c r="H898" i="1"/>
  <c r="R898" i="1" s="1"/>
  <c r="Q898" i="1"/>
  <c r="U898" i="1"/>
  <c r="V898" i="1"/>
  <c r="W898" i="1"/>
  <c r="H899" i="1"/>
  <c r="S899" i="1" s="1"/>
  <c r="T899" i="1" s="1"/>
  <c r="Q899" i="1"/>
  <c r="U899" i="1"/>
  <c r="X899" i="1" s="1"/>
  <c r="V899" i="1"/>
  <c r="W899" i="1"/>
  <c r="H900" i="1"/>
  <c r="S900" i="1" s="1"/>
  <c r="T900" i="1" s="1"/>
  <c r="Q900" i="1"/>
  <c r="U900" i="1"/>
  <c r="Y900" i="1" s="1"/>
  <c r="V900" i="1"/>
  <c r="W900" i="1"/>
  <c r="H901" i="1"/>
  <c r="R901" i="1" s="1"/>
  <c r="Q901" i="1"/>
  <c r="U901" i="1"/>
  <c r="X901" i="1" s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X903" i="1" s="1"/>
  <c r="V903" i="1"/>
  <c r="W903" i="1"/>
  <c r="H904" i="1"/>
  <c r="Q904" i="1"/>
  <c r="U904" i="1"/>
  <c r="Y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R906" i="1" s="1"/>
  <c r="Q906" i="1"/>
  <c r="U906" i="1"/>
  <c r="X906" i="1" s="1"/>
  <c r="V906" i="1"/>
  <c r="W906" i="1"/>
  <c r="H907" i="1"/>
  <c r="Q907" i="1"/>
  <c r="U907" i="1"/>
  <c r="Y907" i="1" s="1"/>
  <c r="V907" i="1"/>
  <c r="W907" i="1"/>
  <c r="H908" i="1"/>
  <c r="S908" i="1" s="1"/>
  <c r="T908" i="1" s="1"/>
  <c r="Q908" i="1"/>
  <c r="U908" i="1"/>
  <c r="Y908" i="1" s="1"/>
  <c r="V908" i="1"/>
  <c r="W908" i="1"/>
  <c r="H909" i="1"/>
  <c r="S909" i="1" s="1"/>
  <c r="T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R911" i="1" s="1"/>
  <c r="Q911" i="1"/>
  <c r="U911" i="1"/>
  <c r="V911" i="1"/>
  <c r="W911" i="1"/>
  <c r="H912" i="1"/>
  <c r="S912" i="1" s="1"/>
  <c r="T912" i="1" s="1"/>
  <c r="Q912" i="1"/>
  <c r="U912" i="1"/>
  <c r="X912" i="1" s="1"/>
  <c r="V912" i="1"/>
  <c r="W912" i="1"/>
  <c r="H913" i="1"/>
  <c r="Q913" i="1"/>
  <c r="U913" i="1"/>
  <c r="X913" i="1" s="1"/>
  <c r="V913" i="1"/>
  <c r="W913" i="1"/>
  <c r="H914" i="1"/>
  <c r="S914" i="1" s="1"/>
  <c r="T914" i="1" s="1"/>
  <c r="Q914" i="1"/>
  <c r="U914" i="1"/>
  <c r="V914" i="1"/>
  <c r="W914" i="1"/>
  <c r="H915" i="1"/>
  <c r="R915" i="1" s="1"/>
  <c r="Q915" i="1"/>
  <c r="U915" i="1"/>
  <c r="Y915" i="1" s="1"/>
  <c r="V915" i="1"/>
  <c r="W915" i="1"/>
  <c r="H916" i="1"/>
  <c r="R916" i="1" s="1"/>
  <c r="Q916" i="1"/>
  <c r="U916" i="1"/>
  <c r="V916" i="1"/>
  <c r="W916" i="1"/>
  <c r="H917" i="1"/>
  <c r="Q917" i="1"/>
  <c r="U917" i="1"/>
  <c r="Y917" i="1" s="1"/>
  <c r="V917" i="1"/>
  <c r="W917" i="1"/>
  <c r="H918" i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S922" i="1" s="1"/>
  <c r="T922" i="1" s="1"/>
  <c r="Q922" i="1"/>
  <c r="U922" i="1"/>
  <c r="Y922" i="1" s="1"/>
  <c r="V922" i="1"/>
  <c r="W922" i="1"/>
  <c r="H923" i="1"/>
  <c r="R923" i="1" s="1"/>
  <c r="Q923" i="1"/>
  <c r="U923" i="1"/>
  <c r="X923" i="1" s="1"/>
  <c r="V923" i="1"/>
  <c r="W923" i="1"/>
  <c r="H924" i="1"/>
  <c r="R924" i="1" s="1"/>
  <c r="Q924" i="1"/>
  <c r="U924" i="1"/>
  <c r="X924" i="1" s="1"/>
  <c r="V924" i="1"/>
  <c r="W924" i="1"/>
  <c r="H925" i="1"/>
  <c r="S925" i="1" s="1"/>
  <c r="T925" i="1" s="1"/>
  <c r="Q925" i="1"/>
  <c r="U925" i="1"/>
  <c r="X925" i="1" s="1"/>
  <c r="V925" i="1"/>
  <c r="W925" i="1"/>
  <c r="H926" i="1"/>
  <c r="Q926" i="1"/>
  <c r="U926" i="1"/>
  <c r="Y926" i="1" s="1"/>
  <c r="V926" i="1"/>
  <c r="W926" i="1"/>
  <c r="H927" i="1"/>
  <c r="R927" i="1" s="1"/>
  <c r="Q927" i="1"/>
  <c r="U927" i="1"/>
  <c r="X927" i="1" s="1"/>
  <c r="V927" i="1"/>
  <c r="W927" i="1"/>
  <c r="H928" i="1"/>
  <c r="S928" i="1" s="1"/>
  <c r="T928" i="1" s="1"/>
  <c r="Q928" i="1"/>
  <c r="U928" i="1"/>
  <c r="Y928" i="1" s="1"/>
  <c r="V928" i="1"/>
  <c r="W928" i="1"/>
  <c r="H929" i="1"/>
  <c r="R929" i="1" s="1"/>
  <c r="Q929" i="1"/>
  <c r="U929" i="1"/>
  <c r="V929" i="1"/>
  <c r="W929" i="1"/>
  <c r="H930" i="1"/>
  <c r="S930" i="1" s="1"/>
  <c r="T930" i="1" s="1"/>
  <c r="Q930" i="1"/>
  <c r="U930" i="1"/>
  <c r="X930" i="1" s="1"/>
  <c r="V930" i="1"/>
  <c r="W930" i="1"/>
  <c r="H931" i="1"/>
  <c r="R931" i="1" s="1"/>
  <c r="Q931" i="1"/>
  <c r="U931" i="1"/>
  <c r="X931" i="1" s="1"/>
  <c r="V931" i="1"/>
  <c r="W931" i="1"/>
  <c r="H932" i="1"/>
  <c r="Q932" i="1"/>
  <c r="U932" i="1"/>
  <c r="X932" i="1" s="1"/>
  <c r="V932" i="1"/>
  <c r="W932" i="1"/>
  <c r="H933" i="1"/>
  <c r="S933" i="1" s="1"/>
  <c r="T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X935" i="1" s="1"/>
  <c r="V935" i="1"/>
  <c r="W935" i="1"/>
  <c r="H936" i="1"/>
  <c r="Q936" i="1"/>
  <c r="U936" i="1"/>
  <c r="Y936" i="1" s="1"/>
  <c r="V936" i="1"/>
  <c r="W936" i="1"/>
  <c r="H937" i="1"/>
  <c r="R937" i="1" s="1"/>
  <c r="Q937" i="1"/>
  <c r="U937" i="1"/>
  <c r="V937" i="1"/>
  <c r="W937" i="1"/>
  <c r="H938" i="1"/>
  <c r="S938" i="1" s="1"/>
  <c r="T938" i="1" s="1"/>
  <c r="Q938" i="1"/>
  <c r="U938" i="1"/>
  <c r="Y938" i="1" s="1"/>
  <c r="V938" i="1"/>
  <c r="W938" i="1"/>
  <c r="H939" i="1"/>
  <c r="R939" i="1" s="1"/>
  <c r="Q939" i="1"/>
  <c r="U939" i="1"/>
  <c r="X939" i="1" s="1"/>
  <c r="V939" i="1"/>
  <c r="W939" i="1"/>
  <c r="H940" i="1"/>
  <c r="R940" i="1" s="1"/>
  <c r="Q940" i="1"/>
  <c r="U940" i="1"/>
  <c r="X940" i="1" s="1"/>
  <c r="V940" i="1"/>
  <c r="W940" i="1"/>
  <c r="H941" i="1"/>
  <c r="S941" i="1" s="1"/>
  <c r="T941" i="1" s="1"/>
  <c r="Q941" i="1"/>
  <c r="U941" i="1"/>
  <c r="X941" i="1" s="1"/>
  <c r="V941" i="1"/>
  <c r="W941" i="1"/>
  <c r="H942" i="1"/>
  <c r="Q942" i="1"/>
  <c r="U942" i="1"/>
  <c r="Y942" i="1" s="1"/>
  <c r="V942" i="1"/>
  <c r="W942" i="1"/>
  <c r="H943" i="1"/>
  <c r="R943" i="1" s="1"/>
  <c r="Q943" i="1"/>
  <c r="U943" i="1"/>
  <c r="Y943" i="1" s="1"/>
  <c r="V943" i="1"/>
  <c r="W943" i="1"/>
  <c r="H944" i="1"/>
  <c r="S944" i="1" s="1"/>
  <c r="T944" i="1" s="1"/>
  <c r="Q944" i="1"/>
  <c r="U944" i="1"/>
  <c r="Y944" i="1" s="1"/>
  <c r="V944" i="1"/>
  <c r="W944" i="1"/>
  <c r="H945" i="1"/>
  <c r="R945" i="1" s="1"/>
  <c r="Q945" i="1"/>
  <c r="U945" i="1"/>
  <c r="X945" i="1" s="1"/>
  <c r="V945" i="1"/>
  <c r="W945" i="1"/>
  <c r="H946" i="1"/>
  <c r="S946" i="1" s="1"/>
  <c r="T946" i="1" s="1"/>
  <c r="Q946" i="1"/>
  <c r="U946" i="1"/>
  <c r="X946" i="1" s="1"/>
  <c r="V946" i="1"/>
  <c r="W946" i="1"/>
  <c r="H947" i="1"/>
  <c r="S947" i="1" s="1"/>
  <c r="T947" i="1" s="1"/>
  <c r="Q947" i="1"/>
  <c r="U947" i="1"/>
  <c r="X947" i="1" s="1"/>
  <c r="V947" i="1"/>
  <c r="W947" i="1"/>
  <c r="H948" i="1"/>
  <c r="Q948" i="1"/>
  <c r="U948" i="1"/>
  <c r="X948" i="1" s="1"/>
  <c r="V948" i="1"/>
  <c r="W948" i="1"/>
  <c r="H949" i="1"/>
  <c r="S949" i="1" s="1"/>
  <c r="T949" i="1" s="1"/>
  <c r="Q949" i="1"/>
  <c r="U949" i="1"/>
  <c r="Y949" i="1" s="1"/>
  <c r="V949" i="1"/>
  <c r="W949" i="1"/>
  <c r="H950" i="1"/>
  <c r="R950" i="1" s="1"/>
  <c r="Q950" i="1"/>
  <c r="U950" i="1"/>
  <c r="X950" i="1" s="1"/>
  <c r="V950" i="1"/>
  <c r="W950" i="1"/>
  <c r="H951" i="1"/>
  <c r="R951" i="1" s="1"/>
  <c r="Q951" i="1"/>
  <c r="U951" i="1"/>
  <c r="X951" i="1" s="1"/>
  <c r="V951" i="1"/>
  <c r="W951" i="1"/>
  <c r="H952" i="1"/>
  <c r="R952" i="1" s="1"/>
  <c r="Q952" i="1"/>
  <c r="U952" i="1"/>
  <c r="Y952" i="1" s="1"/>
  <c r="V952" i="1"/>
  <c r="W952" i="1"/>
  <c r="H953" i="1"/>
  <c r="R953" i="1" s="1"/>
  <c r="Q953" i="1"/>
  <c r="U953" i="1"/>
  <c r="X953" i="1" s="1"/>
  <c r="V953" i="1"/>
  <c r="W953" i="1"/>
  <c r="H954" i="1"/>
  <c r="S954" i="1" s="1"/>
  <c r="T954" i="1" s="1"/>
  <c r="Q954" i="1"/>
  <c r="U954" i="1"/>
  <c r="X954" i="1" s="1"/>
  <c r="V954" i="1"/>
  <c r="W954" i="1"/>
  <c r="H955" i="1"/>
  <c r="S955" i="1" s="1"/>
  <c r="T955" i="1" s="1"/>
  <c r="Q955" i="1"/>
  <c r="U955" i="1"/>
  <c r="X955" i="1" s="1"/>
  <c r="V955" i="1"/>
  <c r="W955" i="1"/>
  <c r="H956" i="1"/>
  <c r="S956" i="1" s="1"/>
  <c r="T956" i="1" s="1"/>
  <c r="Q956" i="1"/>
  <c r="U956" i="1"/>
  <c r="Y956" i="1" s="1"/>
  <c r="V956" i="1"/>
  <c r="W956" i="1"/>
  <c r="H957" i="1"/>
  <c r="R957" i="1" s="1"/>
  <c r="Q957" i="1"/>
  <c r="U957" i="1"/>
  <c r="X957" i="1" s="1"/>
  <c r="V957" i="1"/>
  <c r="W957" i="1"/>
  <c r="H958" i="1"/>
  <c r="S958" i="1" s="1"/>
  <c r="T958" i="1" s="1"/>
  <c r="Q958" i="1"/>
  <c r="U958" i="1"/>
  <c r="X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Y960" i="1" s="1"/>
  <c r="V960" i="1"/>
  <c r="W960" i="1"/>
  <c r="H961" i="1"/>
  <c r="R961" i="1" s="1"/>
  <c r="Q961" i="1"/>
  <c r="U961" i="1"/>
  <c r="X961" i="1" s="1"/>
  <c r="V961" i="1"/>
  <c r="W961" i="1"/>
  <c r="H962" i="1"/>
  <c r="R962" i="1" s="1"/>
  <c r="Q962" i="1"/>
  <c r="U962" i="1"/>
  <c r="X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Y964" i="1" s="1"/>
  <c r="V964" i="1"/>
  <c r="W964" i="1"/>
  <c r="H965" i="1"/>
  <c r="R965" i="1" s="1"/>
  <c r="Q965" i="1"/>
  <c r="U965" i="1"/>
  <c r="X965" i="1" s="1"/>
  <c r="V965" i="1"/>
  <c r="W965" i="1"/>
  <c r="H966" i="1"/>
  <c r="S966" i="1" s="1"/>
  <c r="T966" i="1" s="1"/>
  <c r="Q966" i="1"/>
  <c r="U966" i="1"/>
  <c r="X966" i="1" s="1"/>
  <c r="V966" i="1"/>
  <c r="W966" i="1"/>
  <c r="H967" i="1"/>
  <c r="S967" i="1" s="1"/>
  <c r="T967" i="1" s="1"/>
  <c r="Q967" i="1"/>
  <c r="U967" i="1"/>
  <c r="X967" i="1" s="1"/>
  <c r="V967" i="1"/>
  <c r="W967" i="1"/>
  <c r="H968" i="1"/>
  <c r="S968" i="1" s="1"/>
  <c r="T968" i="1" s="1"/>
  <c r="Q968" i="1"/>
  <c r="U968" i="1"/>
  <c r="Y968" i="1" s="1"/>
  <c r="V968" i="1"/>
  <c r="W968" i="1"/>
  <c r="H969" i="1"/>
  <c r="R969" i="1" s="1"/>
  <c r="Q969" i="1"/>
  <c r="U969" i="1"/>
  <c r="X969" i="1" s="1"/>
  <c r="V969" i="1"/>
  <c r="W969" i="1"/>
  <c r="H970" i="1"/>
  <c r="R970" i="1" s="1"/>
  <c r="Q970" i="1"/>
  <c r="U970" i="1"/>
  <c r="X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Y972" i="1" s="1"/>
  <c r="V972" i="1"/>
  <c r="W972" i="1"/>
  <c r="H973" i="1"/>
  <c r="R973" i="1" s="1"/>
  <c r="Q973" i="1"/>
  <c r="U973" i="1"/>
  <c r="X973" i="1" s="1"/>
  <c r="V973" i="1"/>
  <c r="W973" i="1"/>
  <c r="H974" i="1"/>
  <c r="S974" i="1" s="1"/>
  <c r="T974" i="1" s="1"/>
  <c r="Q974" i="1"/>
  <c r="U974" i="1"/>
  <c r="X974" i="1" s="1"/>
  <c r="V974" i="1"/>
  <c r="W974" i="1"/>
  <c r="H975" i="1"/>
  <c r="R975" i="1" s="1"/>
  <c r="Q975" i="1"/>
  <c r="U975" i="1"/>
  <c r="X975" i="1" s="1"/>
  <c r="V975" i="1"/>
  <c r="W975" i="1"/>
  <c r="H976" i="1"/>
  <c r="R976" i="1" s="1"/>
  <c r="Q976" i="1"/>
  <c r="U976" i="1"/>
  <c r="Y976" i="1" s="1"/>
  <c r="V976" i="1"/>
  <c r="W976" i="1"/>
  <c r="H977" i="1"/>
  <c r="R977" i="1" s="1"/>
  <c r="Q977" i="1"/>
  <c r="U977" i="1"/>
  <c r="Y977" i="1" s="1"/>
  <c r="V977" i="1"/>
  <c r="W977" i="1"/>
  <c r="H978" i="1"/>
  <c r="R978" i="1" s="1"/>
  <c r="Q978" i="1"/>
  <c r="U978" i="1"/>
  <c r="X978" i="1" s="1"/>
  <c r="V978" i="1"/>
  <c r="W978" i="1"/>
  <c r="H979" i="1"/>
  <c r="S979" i="1" s="1"/>
  <c r="T979" i="1" s="1"/>
  <c r="Q979" i="1"/>
  <c r="U979" i="1"/>
  <c r="X979" i="1" s="1"/>
  <c r="V979" i="1"/>
  <c r="W979" i="1"/>
  <c r="H980" i="1"/>
  <c r="S980" i="1" s="1"/>
  <c r="T980" i="1" s="1"/>
  <c r="Q980" i="1"/>
  <c r="U980" i="1"/>
  <c r="Y980" i="1" s="1"/>
  <c r="V980" i="1"/>
  <c r="W980" i="1"/>
  <c r="H981" i="1"/>
  <c r="R981" i="1" s="1"/>
  <c r="Q981" i="1"/>
  <c r="U981" i="1"/>
  <c r="X981" i="1" s="1"/>
  <c r="V981" i="1"/>
  <c r="W981" i="1"/>
  <c r="H982" i="1"/>
  <c r="S982" i="1" s="1"/>
  <c r="T982" i="1" s="1"/>
  <c r="Q982" i="1"/>
  <c r="U982" i="1"/>
  <c r="X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Y984" i="1" s="1"/>
  <c r="V984" i="1"/>
  <c r="W984" i="1"/>
  <c r="H985" i="1"/>
  <c r="R985" i="1" s="1"/>
  <c r="Q985" i="1"/>
  <c r="U985" i="1"/>
  <c r="X985" i="1" s="1"/>
  <c r="V985" i="1"/>
  <c r="W985" i="1"/>
  <c r="H986" i="1"/>
  <c r="R986" i="1" s="1"/>
  <c r="Q986" i="1"/>
  <c r="U986" i="1"/>
  <c r="X986" i="1" s="1"/>
  <c r="V986" i="1"/>
  <c r="W986" i="1"/>
  <c r="N5137" i="6"/>
  <c r="N5138" i="6"/>
  <c r="N5136" i="6"/>
  <c r="W873" i="1"/>
  <c r="V873" i="1"/>
  <c r="U873" i="1"/>
  <c r="Y873" i="1" s="1"/>
  <c r="Q873" i="1"/>
  <c r="H873" i="1"/>
  <c r="W872" i="1"/>
  <c r="V872" i="1"/>
  <c r="U872" i="1"/>
  <c r="Y872" i="1" s="1"/>
  <c r="Q872" i="1"/>
  <c r="H872" i="1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S870" i="1" s="1"/>
  <c r="T870" i="1" s="1"/>
  <c r="W869" i="1"/>
  <c r="V869" i="1"/>
  <c r="U869" i="1"/>
  <c r="Y869" i="1" s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2" i="1"/>
  <c r="V862" i="1"/>
  <c r="U862" i="1"/>
  <c r="Y862" i="1" s="1"/>
  <c r="Q862" i="1"/>
  <c r="H862" i="1"/>
  <c r="W854" i="1"/>
  <c r="V854" i="1"/>
  <c r="U854" i="1"/>
  <c r="Y854" i="1" s="1"/>
  <c r="Q854" i="1"/>
  <c r="H854" i="1"/>
  <c r="R854" i="1" s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Y851" i="1" s="1"/>
  <c r="Q851" i="1"/>
  <c r="H851" i="1"/>
  <c r="R851" i="1" s="1"/>
  <c r="W850" i="1"/>
  <c r="V850" i="1"/>
  <c r="U850" i="1"/>
  <c r="Y850" i="1" s="1"/>
  <c r="Q850" i="1"/>
  <c r="H850" i="1"/>
  <c r="W849" i="1"/>
  <c r="V849" i="1"/>
  <c r="U849" i="1"/>
  <c r="Y849" i="1" s="1"/>
  <c r="Q849" i="1"/>
  <c r="H849" i="1"/>
  <c r="S849" i="1" s="1"/>
  <c r="T849" i="1" s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W845" i="1"/>
  <c r="V845" i="1"/>
  <c r="U845" i="1"/>
  <c r="Y845" i="1" s="1"/>
  <c r="Q845" i="1"/>
  <c r="H845" i="1"/>
  <c r="S845" i="1" s="1"/>
  <c r="T845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07" i="1" l="1"/>
  <c r="T907" i="1" s="1"/>
  <c r="R907" i="1"/>
  <c r="Z776" i="1"/>
  <c r="S622" i="1"/>
  <c r="T622" i="1" s="1"/>
  <c r="R622" i="1"/>
  <c r="R1019" i="1"/>
  <c r="S1019" i="1"/>
  <c r="T1019" i="1" s="1"/>
  <c r="X1019" i="1"/>
  <c r="Z1019" i="1" s="1"/>
  <c r="R1018" i="1"/>
  <c r="X1018" i="1"/>
  <c r="Z1018" i="1" s="1"/>
  <c r="R1017" i="1"/>
  <c r="S1017" i="1"/>
  <c r="T1017" i="1" s="1"/>
  <c r="X1017" i="1"/>
  <c r="Z1017" i="1" s="1"/>
  <c r="R1016" i="1"/>
  <c r="X1016" i="1"/>
  <c r="Z1016" i="1" s="1"/>
  <c r="R1015" i="1"/>
  <c r="X1015" i="1"/>
  <c r="Z1015" i="1" s="1"/>
  <c r="R1014" i="1"/>
  <c r="X1014" i="1"/>
  <c r="Z1014" i="1" s="1"/>
  <c r="R1013" i="1"/>
  <c r="S1013" i="1"/>
  <c r="T1013" i="1" s="1"/>
  <c r="X1013" i="1"/>
  <c r="Z1013" i="1" s="1"/>
  <c r="R1012" i="1"/>
  <c r="S1012" i="1"/>
  <c r="T1012" i="1" s="1"/>
  <c r="X1012" i="1"/>
  <c r="Z1012" i="1" s="1"/>
  <c r="R1011" i="1"/>
  <c r="S1011" i="1"/>
  <c r="T1011" i="1" s="1"/>
  <c r="X1011" i="1"/>
  <c r="Z1011" i="1" s="1"/>
  <c r="S1010" i="1"/>
  <c r="T1010" i="1" s="1"/>
  <c r="X1010" i="1"/>
  <c r="Z1010" i="1" s="1"/>
  <c r="S1009" i="1"/>
  <c r="T1009" i="1" s="1"/>
  <c r="X1009" i="1"/>
  <c r="Z1009" i="1" s="1"/>
  <c r="S988" i="1"/>
  <c r="T988" i="1" s="1"/>
  <c r="Z988" i="1"/>
  <c r="Y988" i="1"/>
  <c r="R1008" i="1"/>
  <c r="X1008" i="1"/>
  <c r="Z1008" i="1" s="1"/>
  <c r="X1001" i="1"/>
  <c r="Z1001" i="1" s="1"/>
  <c r="X1002" i="1"/>
  <c r="Z1002" i="1" s="1"/>
  <c r="X1000" i="1"/>
  <c r="Z1000" i="1" s="1"/>
  <c r="X1004" i="1"/>
  <c r="Z1004" i="1" s="1"/>
  <c r="X999" i="1"/>
  <c r="Z999" i="1" s="1"/>
  <c r="X1007" i="1"/>
  <c r="Z1007" i="1" s="1"/>
  <c r="X998" i="1"/>
  <c r="Z998" i="1" s="1"/>
  <c r="R1000" i="1"/>
  <c r="X1006" i="1"/>
  <c r="Z1006" i="1" s="1"/>
  <c r="X1005" i="1"/>
  <c r="Z1005" i="1" s="1"/>
  <c r="R1007" i="1"/>
  <c r="S1006" i="1"/>
  <c r="T1006" i="1" s="1"/>
  <c r="R1005" i="1"/>
  <c r="R1004" i="1"/>
  <c r="X1003" i="1"/>
  <c r="Z1003" i="1" s="1"/>
  <c r="S1003" i="1"/>
  <c r="T1003" i="1" s="1"/>
  <c r="S1002" i="1"/>
  <c r="T1002" i="1" s="1"/>
  <c r="S1001" i="1"/>
  <c r="T1001" i="1" s="1"/>
  <c r="S999" i="1"/>
  <c r="T999" i="1" s="1"/>
  <c r="R998" i="1"/>
  <c r="X997" i="1"/>
  <c r="Z997" i="1" s="1"/>
  <c r="S997" i="1"/>
  <c r="T997" i="1" s="1"/>
  <c r="R995" i="1"/>
  <c r="X993" i="1"/>
  <c r="Z993" i="1" s="1"/>
  <c r="R59" i="1"/>
  <c r="X996" i="1"/>
  <c r="Z996" i="1" s="1"/>
  <c r="S82" i="1"/>
  <c r="T82" i="1" s="1"/>
  <c r="X995" i="1"/>
  <c r="Z995" i="1" s="1"/>
  <c r="R996" i="1"/>
  <c r="X994" i="1"/>
  <c r="Z994" i="1" s="1"/>
  <c r="S994" i="1"/>
  <c r="T994" i="1" s="1"/>
  <c r="S993" i="1"/>
  <c r="T993" i="1" s="1"/>
  <c r="R83" i="1"/>
  <c r="Z47" i="1"/>
  <c r="AI47" i="1" s="1"/>
  <c r="Z41" i="1"/>
  <c r="AI41" i="1" s="1"/>
  <c r="R50" i="1"/>
  <c r="S787" i="1"/>
  <c r="T787" i="1" s="1"/>
  <c r="X922" i="1"/>
  <c r="Z922" i="1" s="1"/>
  <c r="X952" i="1"/>
  <c r="Z952" i="1" s="1"/>
  <c r="X839" i="1"/>
  <c r="Z839" i="1" s="1"/>
  <c r="R42" i="1"/>
  <c r="S93" i="1"/>
  <c r="T93" i="1" s="1"/>
  <c r="X977" i="1"/>
  <c r="Z977" i="1" s="1"/>
  <c r="Z887" i="1"/>
  <c r="R920" i="1"/>
  <c r="Z912" i="1"/>
  <c r="X867" i="1"/>
  <c r="Z867" i="1" s="1"/>
  <c r="S829" i="1"/>
  <c r="T829" i="1" s="1"/>
  <c r="Z805" i="1"/>
  <c r="R66" i="1"/>
  <c r="X611" i="1"/>
  <c r="Z611" i="1" s="1"/>
  <c r="R58" i="1"/>
  <c r="X992" i="1"/>
  <c r="Z992" i="1" s="1"/>
  <c r="R908" i="1"/>
  <c r="X991" i="1"/>
  <c r="Z991" i="1" s="1"/>
  <c r="Z858" i="1"/>
  <c r="Z787" i="1"/>
  <c r="X990" i="1"/>
  <c r="Z990" i="1" s="1"/>
  <c r="R123" i="1"/>
  <c r="S859" i="1"/>
  <c r="T859" i="1" s="1"/>
  <c r="Y797" i="1"/>
  <c r="S98" i="1"/>
  <c r="T98" i="1" s="1"/>
  <c r="R51" i="1"/>
  <c r="R991" i="1"/>
  <c r="R992" i="1"/>
  <c r="S990" i="1"/>
  <c r="T990" i="1" s="1"/>
  <c r="X964" i="1"/>
  <c r="Z964" i="1" s="1"/>
  <c r="Z963" i="1"/>
  <c r="R890" i="1"/>
  <c r="S887" i="1"/>
  <c r="T887" i="1" s="1"/>
  <c r="S841" i="1"/>
  <c r="T841" i="1" s="1"/>
  <c r="X146" i="1"/>
  <c r="Z146" i="1" s="1"/>
  <c r="AI146" i="1" s="1"/>
  <c r="Z69" i="1"/>
  <c r="AI69" i="1" s="1"/>
  <c r="Z948" i="1"/>
  <c r="Z927" i="1"/>
  <c r="Z921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59" i="1"/>
  <c r="Z950" i="1"/>
  <c r="Y860" i="1"/>
  <c r="Y814" i="1"/>
  <c r="S90" i="1"/>
  <c r="T90" i="1" s="1"/>
  <c r="S959" i="1"/>
  <c r="T959" i="1" s="1"/>
  <c r="R956" i="1"/>
  <c r="S950" i="1"/>
  <c r="T950" i="1" s="1"/>
  <c r="R947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6" i="1"/>
  <c r="T976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7" i="1"/>
  <c r="Z932" i="1"/>
  <c r="S921" i="1"/>
  <c r="T921" i="1" s="1"/>
  <c r="R912" i="1"/>
  <c r="R909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8" i="1"/>
  <c r="T948" i="1" s="1"/>
  <c r="Y940" i="1"/>
  <c r="Y791" i="1"/>
  <c r="X618" i="1"/>
  <c r="Z618" i="1" s="1"/>
  <c r="Y617" i="1"/>
  <c r="X610" i="1"/>
  <c r="Z610" i="1" s="1"/>
  <c r="Y443" i="1"/>
  <c r="Y92" i="1"/>
  <c r="R54" i="1"/>
  <c r="S981" i="1"/>
  <c r="T981" i="1" s="1"/>
  <c r="Z958" i="1"/>
  <c r="R948" i="1"/>
  <c r="X917" i="1"/>
  <c r="Z917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982" i="1"/>
  <c r="R958" i="1"/>
  <c r="X905" i="1"/>
  <c r="Z905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2" i="1"/>
  <c r="R865" i="1"/>
  <c r="S816" i="1"/>
  <c r="T816" i="1" s="1"/>
  <c r="R106" i="1"/>
  <c r="S99" i="1"/>
  <c r="T99" i="1" s="1"/>
  <c r="S92" i="1"/>
  <c r="T92" i="1" s="1"/>
  <c r="R55" i="1"/>
  <c r="R46" i="1"/>
  <c r="Y966" i="1"/>
  <c r="Z448" i="1"/>
  <c r="AI448" i="1" s="1"/>
  <c r="Y88" i="1"/>
  <c r="Z939" i="1"/>
  <c r="S932" i="1"/>
  <c r="T932" i="1" s="1"/>
  <c r="R914" i="1"/>
  <c r="Z895" i="1"/>
  <c r="X137" i="1"/>
  <c r="Z137" i="1" s="1"/>
  <c r="AI137" i="1" s="1"/>
  <c r="X131" i="1"/>
  <c r="Z131" i="1" s="1"/>
  <c r="AI131" i="1" s="1"/>
  <c r="Y128" i="1"/>
  <c r="R112" i="1"/>
  <c r="R107" i="1"/>
  <c r="Z983" i="1"/>
  <c r="Z971" i="1"/>
  <c r="X968" i="1"/>
  <c r="Z968" i="1" s="1"/>
  <c r="Z967" i="1"/>
  <c r="S960" i="1"/>
  <c r="T960" i="1" s="1"/>
  <c r="Y953" i="1"/>
  <c r="S951" i="1"/>
  <c r="T951" i="1" s="1"/>
  <c r="Z946" i="1"/>
  <c r="S943" i="1"/>
  <c r="T943" i="1" s="1"/>
  <c r="S939" i="1"/>
  <c r="T939" i="1" s="1"/>
  <c r="R938" i="1"/>
  <c r="Z930" i="1"/>
  <c r="Z923" i="1"/>
  <c r="R910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3" i="1"/>
  <c r="T983" i="1" s="1"/>
  <c r="X980" i="1"/>
  <c r="Z980" i="1" s="1"/>
  <c r="S971" i="1"/>
  <c r="T971" i="1" s="1"/>
  <c r="R967" i="1"/>
  <c r="Y941" i="1"/>
  <c r="Y930" i="1"/>
  <c r="S919" i="1"/>
  <c r="T919" i="1" s="1"/>
  <c r="S915" i="1"/>
  <c r="T915" i="1" s="1"/>
  <c r="S911" i="1"/>
  <c r="T911" i="1" s="1"/>
  <c r="X904" i="1"/>
  <c r="Z904" i="1" s="1"/>
  <c r="Z903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6" i="1"/>
  <c r="Z976" i="1" s="1"/>
  <c r="Y969" i="1"/>
  <c r="Y931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980" i="1"/>
  <c r="S957" i="1"/>
  <c r="T957" i="1" s="1"/>
  <c r="Z954" i="1"/>
  <c r="Z945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4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9" i="1"/>
  <c r="R968" i="1"/>
  <c r="R955" i="1"/>
  <c r="Z940" i="1"/>
  <c r="Y914" i="1"/>
  <c r="X914" i="1"/>
  <c r="Z914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9" i="1"/>
  <c r="X936" i="1"/>
  <c r="Z936" i="1" s="1"/>
  <c r="Z935" i="1"/>
  <c r="R932" i="1"/>
  <c r="S931" i="1"/>
  <c r="T931" i="1" s="1"/>
  <c r="S929" i="1"/>
  <c r="T929" i="1" s="1"/>
  <c r="R928" i="1"/>
  <c r="S927" i="1"/>
  <c r="T927" i="1" s="1"/>
  <c r="S916" i="1"/>
  <c r="T916" i="1" s="1"/>
  <c r="X907" i="1"/>
  <c r="Z907" i="1" s="1"/>
  <c r="Y906" i="1"/>
  <c r="Y885" i="1"/>
  <c r="X987" i="1"/>
  <c r="Z987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984" i="1"/>
  <c r="T984" i="1" s="1"/>
  <c r="Z975" i="1"/>
  <c r="Z974" i="1"/>
  <c r="S973" i="1"/>
  <c r="T973" i="1" s="1"/>
  <c r="R972" i="1"/>
  <c r="S963" i="1"/>
  <c r="T963" i="1" s="1"/>
  <c r="S945" i="1"/>
  <c r="T945" i="1" s="1"/>
  <c r="X938" i="1"/>
  <c r="Z938" i="1" s="1"/>
  <c r="S935" i="1"/>
  <c r="T935" i="1" s="1"/>
  <c r="S924" i="1"/>
  <c r="T924" i="1" s="1"/>
  <c r="S923" i="1"/>
  <c r="T923" i="1" s="1"/>
  <c r="Y912" i="1"/>
  <c r="Y910" i="1"/>
  <c r="S903" i="1"/>
  <c r="T903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5" i="1"/>
  <c r="T975" i="1" s="1"/>
  <c r="R974" i="1"/>
  <c r="Y961" i="1"/>
  <c r="X960" i="1"/>
  <c r="Z960" i="1" s="1"/>
  <c r="Z951" i="1"/>
  <c r="X949" i="1"/>
  <c r="Z949" i="1" s="1"/>
  <c r="Y948" i="1"/>
  <c r="R946" i="1"/>
  <c r="X943" i="1"/>
  <c r="Z943" i="1" s="1"/>
  <c r="Y933" i="1"/>
  <c r="Y932" i="1"/>
  <c r="R930" i="1"/>
  <c r="Y925" i="1"/>
  <c r="Z924" i="1"/>
  <c r="Y913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6" i="1"/>
  <c r="S965" i="1"/>
  <c r="T965" i="1" s="1"/>
  <c r="R964" i="1"/>
  <c r="Y958" i="1"/>
  <c r="X956" i="1"/>
  <c r="Z956" i="1" s="1"/>
  <c r="Y924" i="1"/>
  <c r="X920" i="1"/>
  <c r="Z920" i="1" s="1"/>
  <c r="X911" i="1"/>
  <c r="Z911" i="1" s="1"/>
  <c r="Y911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985" i="1"/>
  <c r="X984" i="1"/>
  <c r="Z984" i="1" s="1"/>
  <c r="Y982" i="1"/>
  <c r="Z979" i="1"/>
  <c r="R966" i="1"/>
  <c r="Z955" i="1"/>
  <c r="Y946" i="1"/>
  <c r="S940" i="1"/>
  <c r="T940" i="1" s="1"/>
  <c r="S937" i="1"/>
  <c r="T937" i="1" s="1"/>
  <c r="X928" i="1"/>
  <c r="Z928" i="1" s="1"/>
  <c r="Y927" i="1"/>
  <c r="X926" i="1"/>
  <c r="Z926" i="1" s="1"/>
  <c r="Y903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72" i="1"/>
  <c r="Z972" i="1" s="1"/>
  <c r="Y945" i="1"/>
  <c r="S936" i="1"/>
  <c r="T936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31" i="1"/>
  <c r="Z919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18" i="1"/>
  <c r="S918" i="1"/>
  <c r="T918" i="1" s="1"/>
  <c r="R917" i="1"/>
  <c r="R913" i="1"/>
  <c r="Z913" i="1"/>
  <c r="S913" i="1"/>
  <c r="T913" i="1" s="1"/>
  <c r="X902" i="1"/>
  <c r="Z902" i="1" s="1"/>
  <c r="Y902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979" i="1"/>
  <c r="Y971" i="1"/>
  <c r="Y963" i="1"/>
  <c r="Y955" i="1"/>
  <c r="X915" i="1"/>
  <c r="Z915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986" i="1"/>
  <c r="T986" i="1" s="1"/>
  <c r="Z981" i="1"/>
  <c r="S978" i="1"/>
  <c r="T978" i="1" s="1"/>
  <c r="Z973" i="1"/>
  <c r="S970" i="1"/>
  <c r="T970" i="1" s="1"/>
  <c r="Z965" i="1"/>
  <c r="S962" i="1"/>
  <c r="T962" i="1" s="1"/>
  <c r="Z957" i="1"/>
  <c r="R954" i="1"/>
  <c r="X944" i="1"/>
  <c r="Z944" i="1" s="1"/>
  <c r="S942" i="1"/>
  <c r="T942" i="1" s="1"/>
  <c r="R936" i="1"/>
  <c r="R926" i="1"/>
  <c r="S926" i="1"/>
  <c r="T926" i="1" s="1"/>
  <c r="R925" i="1"/>
  <c r="Z925" i="1"/>
  <c r="Y919" i="1"/>
  <c r="X918" i="1"/>
  <c r="Z918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986" i="1"/>
  <c r="Y981" i="1"/>
  <c r="Z978" i="1"/>
  <c r="Y973" i="1"/>
  <c r="Z970" i="1"/>
  <c r="Y965" i="1"/>
  <c r="Z962" i="1"/>
  <c r="Y957" i="1"/>
  <c r="Y951" i="1"/>
  <c r="R942" i="1"/>
  <c r="R904" i="1"/>
  <c r="S904" i="1"/>
  <c r="T904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986" i="1"/>
  <c r="Y978" i="1"/>
  <c r="Y970" i="1"/>
  <c r="Y962" i="1"/>
  <c r="Y954" i="1"/>
  <c r="S953" i="1"/>
  <c r="T953" i="1" s="1"/>
  <c r="Y947" i="1"/>
  <c r="R934" i="1"/>
  <c r="S934" i="1"/>
  <c r="T934" i="1" s="1"/>
  <c r="R933" i="1"/>
  <c r="Z933" i="1"/>
  <c r="Y916" i="1"/>
  <c r="X916" i="1"/>
  <c r="Z916" i="1" s="1"/>
  <c r="R824" i="1"/>
  <c r="S824" i="1"/>
  <c r="T824" i="1" s="1"/>
  <c r="X811" i="1"/>
  <c r="Z811" i="1" s="1"/>
  <c r="Y811" i="1"/>
  <c r="S985" i="1"/>
  <c r="T985" i="1" s="1"/>
  <c r="Y983" i="1"/>
  <c r="S977" i="1"/>
  <c r="T977" i="1" s="1"/>
  <c r="Y975" i="1"/>
  <c r="S969" i="1"/>
  <c r="T969" i="1" s="1"/>
  <c r="Y967" i="1"/>
  <c r="S961" i="1"/>
  <c r="T961" i="1" s="1"/>
  <c r="Y959" i="1"/>
  <c r="Z953" i="1"/>
  <c r="Y950" i="1"/>
  <c r="X942" i="1"/>
  <c r="Z942" i="1" s="1"/>
  <c r="R941" i="1"/>
  <c r="Z941" i="1"/>
  <c r="X929" i="1"/>
  <c r="Z929" i="1" s="1"/>
  <c r="Y929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5" i="1"/>
  <c r="Z969" i="1"/>
  <c r="Z961" i="1"/>
  <c r="S952" i="1"/>
  <c r="T952" i="1" s="1"/>
  <c r="Y935" i="1"/>
  <c r="X934" i="1"/>
  <c r="Z934" i="1" s="1"/>
  <c r="Y923" i="1"/>
  <c r="R922" i="1"/>
  <c r="S917" i="1"/>
  <c r="T917" i="1" s="1"/>
  <c r="R896" i="1"/>
  <c r="S896" i="1"/>
  <c r="T896" i="1" s="1"/>
  <c r="Y819" i="1"/>
  <c r="Z817" i="1"/>
  <c r="AI817" i="1" s="1"/>
  <c r="R817" i="1"/>
  <c r="Y795" i="1"/>
  <c r="X795" i="1"/>
  <c r="Z795" i="1" s="1"/>
  <c r="R949" i="1"/>
  <c r="R944" i="1"/>
  <c r="X937" i="1"/>
  <c r="Z937" i="1" s="1"/>
  <c r="Y937" i="1"/>
  <c r="X909" i="1"/>
  <c r="Z909" i="1" s="1"/>
  <c r="Y909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10" i="1"/>
  <c r="S906" i="1"/>
  <c r="T906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6" i="1"/>
  <c r="R902" i="1"/>
  <c r="R889" i="1"/>
  <c r="Z889" i="1"/>
  <c r="Z860" i="1"/>
  <c r="R837" i="1"/>
  <c r="R826" i="1"/>
  <c r="R806" i="1"/>
  <c r="Y619" i="1"/>
  <c r="X619" i="1"/>
  <c r="Z619" i="1" s="1"/>
  <c r="R987" i="1"/>
  <c r="X789" i="1"/>
  <c r="Z789" i="1" s="1"/>
  <c r="Y789" i="1"/>
  <c r="R445" i="1"/>
  <c r="S445" i="1"/>
  <c r="T445" i="1" s="1"/>
  <c r="R905" i="1"/>
  <c r="R897" i="1"/>
  <c r="Z897" i="1"/>
  <c r="R815" i="1"/>
  <c r="Z815" i="1"/>
  <c r="Y921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8" i="1"/>
  <c r="Z908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W834" i="1" l="1"/>
  <c r="V834" i="1"/>
  <c r="Y834" i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V423" i="1"/>
  <c r="W423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115" i="1" l="1"/>
  <c r="T115" i="1" s="1"/>
  <c r="AU115" i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<sst xmlns="http://schemas.openxmlformats.org/spreadsheetml/2006/main" count="32052" uniqueCount="5502">
  <si>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</si>
  <si>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</si>
  <si>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</si>
  <si>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</si>
  <si>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</si>
  <si>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</si>
  <si>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</si>
  <si>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</si>
  <si>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</si>
  <si>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</si>
  <si>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</si>
  <si>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</si>
  <si>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</si>
  <si>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</si>
  <si>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</si>
  <si>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</si>
  <si>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</si>
  <si>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</si>
  <si>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</si>
  <si>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</si>
  <si>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</si>
  <si>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</si>
  <si>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</si>
  <si>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</si>
  <si>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</si>
  <si>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</si>
  <si>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</si>
  <si>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</si>
  <si>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</si>
  <si>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</si>
  <si>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</si>
  <si>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</si>
  <si>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</si>
  <si>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</si>
  <si>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</si>
  <si>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</si>
  <si>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</si>
  <si>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</si>
  <si>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</si>
  <si>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</si>
  <si>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</si>
  <si>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</si>
  <si>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</si>
  <si>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</si>
  <si>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</si>
  <si>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</si>
  <si>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</si>
  <si>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</si>
  <si>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</si>
  <si>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</si>
  <si>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</si>
  <si>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</si>
  <si>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</si>
  <si>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</si>
  <si>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</si>
  <si>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</si>
  <si>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</si>
  <si>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</si>
  <si>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</si>
  <si>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</si>
  <si>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</si>
  <si>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</si>
  <si>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</si>
  <si>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</si>
  <si>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</si>
  <si>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</si>
  <si>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</si>
  <si>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</si>
  <si>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</si>
  <si>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</si>
  <si>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</si>
  <si>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</si>
  <si>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</si>
  <si>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</si>
  <si>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</si>
  <si>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</si>
  <si>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</si>
  <si>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</si>
  <si>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</si>
  <si>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</si>
  <si>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</si>
  <si>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</si>
  <si>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</si>
  <si>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</si>
  <si>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</si>
  <si>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</si>
  <si>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</si>
  <si>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</si>
  <si>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</si>
  <si>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</si>
  <si>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</si>
  <si>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</si>
  <si>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</si>
  <si>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</si>
  <si>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</si>
  <si>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</si>
  <si>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</si>
  <si>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</si>
  <si>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</si>
  <si>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</si>
  <si>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</si>
  <si>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</si>
  <si>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</si>
  <si>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</si>
  <si>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</si>
  <si>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</si>
  <si>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</si>
  <si>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</si>
  <si>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</si>
  <si>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</si>
  <si>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</si>
  <si>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</si>
  <si>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</si>
  <si>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</si>
  <si>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</si>
  <si>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</si>
  <si>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</si>
  <si>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</si>
  <si>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</si>
  <si>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</si>
  <si>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</si>
  <si>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</si>
  <si>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</si>
  <si>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</si>
  <si>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</si>
  <si>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</si>
  <si>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</si>
  <si>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</si>
  <si>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</si>
  <si>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</si>
  <si>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</si>
  <si>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</si>
  <si>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</si>
  <si>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</si>
  <si>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</si>
  <si>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</si>
  <si>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</si>
  <si>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</si>
  <si>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</si>
  <si>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</si>
  <si>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</si>
  <si>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</si>
  <si>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</si>
  <si>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</si>
  <si>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</si>
  <si>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</si>
  <si>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</si>
  <si>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</si>
  <si>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</si>
  <si>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</si>
  <si>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</si>
  <si>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</si>
  <si>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</si>
  <si>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</si>
  <si>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</si>
  <si>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</si>
  <si>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</si>
  <si>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</si>
  <si>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</si>
  <si>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</si>
  <si>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</si>
  <si>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</si>
  <si>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</si>
  <si>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</si>
  <si>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</si>
  <si>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</si>
  <si>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</si>
  <si>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</si>
  <si>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</si>
  <si>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</si>
  <si>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</si>
  <si>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</si>
  <si>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</si>
  <si>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</si>
  <si>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</si>
  <si>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</si>
  <si>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</si>
  <si>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</si>
  <si>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</si>
  <si>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</si>
  <si>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</si>
  <si>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</si>
  <si>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</si>
  <si>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</si>
  <si>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</si>
  <si>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</si>
  <si>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</si>
  <si>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</si>
  <si>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</si>
  <si>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</si>
  <si>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</si>
  <si>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</si>
  <si>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</si>
  <si>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</si>
  <si>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</si>
  <si>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</si>
  <si>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</si>
  <si>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</si>
  <si>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</si>
  <si>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</si>
  <si>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</si>
  <si>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</si>
  <si>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</si>
  <si>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</si>
  <si>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</si>
  <si>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</si>
  <si>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</si>
  <si>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</si>
  <si>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</si>
  <si>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</si>
  <si>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</si>
  <si>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</si>
  <si>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</si>
  <si>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</si>
  <si>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</si>
  <si>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</si>
  <si>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</si>
  <si>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</si>
  <si>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</si>
  <si>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</si>
  <si>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</si>
  <si>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</si>
  <si>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</si>
  <si>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</si>
  <si>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</si>
  <si>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</si>
  <si>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</si>
  <si>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</si>
  <si>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</si>
  <si>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</si>
  <si>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</si>
  <si>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</si>
  <si>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</si>
  <si>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</si>
  <si>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</si>
  <si>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</si>
  <si>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</si>
  <si>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</si>
  <si>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</si>
  <si>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</si>
  <si>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</si>
  <si>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</si>
  <si>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</si>
  <si>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</si>
  <si>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</si>
  <si>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</si>
  <si>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</si>
  <si>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</si>
  <si>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</si>
  <si>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</si>
  <si>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</si>
  <si>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</si>
  <si>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</si>
  <si>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</si>
  <si>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</si>
  <si>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</si>
  <si>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</si>
  <si>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</si>
  <si>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</si>
  <si>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</si>
  <si>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</si>
  <si>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</si>
  <si>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</si>
  <si>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</si>
  <si>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</si>
  <si>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</si>
  <si>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</si>
  <si>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</si>
  <si>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</si>
  <si>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</si>
  <si>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</si>
  <si>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</si>
  <si>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</si>
  <si>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</si>
  <si>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</si>
  <si>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</si>
  <si>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</si>
  <si>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</si>
  <si>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</si>
  <si>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</si>
  <si>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</si>
  <si>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</si>
  <si>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</si>
  <si>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</si>
  <si>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</si>
  <si>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</si>
  <si>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</si>
  <si>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</si>
  <si>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</si>
  <si>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</si>
  <si>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</si>
  <si>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</si>
  <si>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</si>
  <si>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</si>
  <si>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</si>
  <si>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</si>
  <si>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</si>
  <si>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</si>
  <si>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</si>
  <si>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</si>
  <si>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</si>
  <si>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</si>
  <si>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</si>
  <si>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</si>
  <si>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</si>
  <si>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</si>
  <si>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</si>
  <si>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</si>
  <si>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</si>
  <si>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</si>
  <si>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</si>
  <si>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</si>
  <si>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</si>
  <si>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</si>
  <si>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</si>
  <si>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</si>
  <si>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</si>
  <si>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</si>
  <si>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</si>
  <si>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</si>
  <si>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</si>
  <si>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</si>
  <si>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</si>
  <si>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</si>
  <si>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</si>
  <si>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</si>
  <si>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</si>
  <si>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</si>
  <si>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</si>
  <si>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</si>
  <si>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</si>
  <si>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</si>
  <si>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</si>
  <si>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</si>
  <si>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</si>
  <si>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</si>
  <si>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</si>
  <si>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</si>
  <si>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</si>
  <si>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</si>
  <si>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</si>
  <si>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</si>
  <si>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</si>
  <si>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</si>
  <si>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</si>
  <si>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</si>
  <si>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</si>
  <si>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</si>
  <si>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</si>
  <si>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</si>
  <si>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</si>
  <si>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</si>
  <si>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</si>
  <si>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</si>
  <si>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</si>
  <si>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</si>
  <si>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</si>
  <si>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</si>
  <si>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</si>
  <si>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</si>
  <si>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</si>
  <si>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</si>
  <si>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</si>
  <si>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</si>
  <si>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</si>
  <si>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</si>
  <si>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</si>
  <si>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</si>
  <si>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</si>
  <si>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</si>
  <si>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</si>
  <si>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</si>
  <si>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</si>
  <si>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</si>
  <si>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</si>
  <si>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</si>
  <si>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</si>
  <si>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</si>
  <si>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</si>
  <si>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</si>
  <si>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</si>
  <si>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</si>
  <si>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</si>
  <si>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</si>
  <si>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</si>
  <si>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</si>
  <si>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</si>
  <si>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</si>
  <si>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</si>
  <si>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</si>
  <si>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</si>
  <si>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</si>
  <si>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</si>
  <si>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</si>
  <si>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</si>
  <si>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</si>
  <si>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</si>
  <si>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</si>
  <si>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</si>
  <si>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</si>
  <si>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</si>
  <si>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</si>
  <si>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</si>
  <si>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</si>
  <si>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</si>
  <si>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</si>
  <si>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</si>
  <si>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</si>
  <si>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</si>
  <si>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</si>
  <si>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</si>
  <si>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</si>
  <si>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</si>
  <si>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</si>
  <si>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</si>
  <si>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</si>
  <si>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</si>
  <si>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</si>
  <si>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</si>
  <si>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</si>
  <si>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</si>
  <si>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</si>
  <si>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</si>
  <si>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</si>
  <si>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</si>
  <si>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</si>
  <si>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</si>
  <si>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</si>
  <si>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</si>
  <si>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</si>
  <si>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</si>
  <si>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</si>
  <si>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</si>
  <si>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</si>
  <si>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</si>
  <si>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</si>
  <si>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</si>
  <si>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</si>
  <si>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</si>
  <si>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</si>
  <si>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</si>
  <si>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</si>
  <si>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</si>
  <si>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</si>
  <si>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</si>
  <si>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</si>
  <si>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</si>
  <si>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</si>
  <si>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</si>
  <si>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</si>
  <si>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</si>
  <si>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</si>
  <si>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</si>
  <si>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</si>
  <si>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</si>
  <si>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</si>
  <si>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</si>
  <si>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</si>
  <si>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</si>
  <si>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</si>
  <si>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</si>
  <si>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</si>
  <si>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</si>
  <si>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</si>
  <si>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</si>
  <si>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</si>
  <si>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</si>
  <si>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</si>
  <si>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</si>
  <si>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</si>
  <si>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</si>
  <si>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</si>
  <si>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</si>
  <si>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</si>
  <si>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</si>
  <si>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</si>
  <si>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</si>
  <si>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</si>
  <si>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</si>
  <si>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</si>
  <si>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</si>
  <si>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</si>
  <si>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</si>
  <si>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</si>
  <si>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</si>
  <si>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</si>
  <si>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</si>
  <si>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</si>
  <si>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</si>
  <si>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</si>
  <si>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</si>
  <si>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</si>
  <si>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</si>
  <si>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</si>
  <si>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</si>
  <si>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</si>
  <si>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</si>
  <si>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</si>
  <si>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</si>
  <si>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</si>
  <si>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</si>
  <si>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</si>
  <si>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</si>
  <si>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</si>
  <si>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</si>
  <si>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</si>
  <si>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</si>
  <si>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</si>
  <si>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</si>
  <si>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</si>
  <si>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</si>
  <si>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</si>
  <si>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</si>
  <si>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</si>
  <si>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</si>
  <si>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</si>
  <si>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</si>
  <si>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</si>
  <si>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</si>
  <si>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</si>
  <si>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</si>
  <si>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</si>
  <si>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</si>
  <si>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</si>
  <si>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</si>
  <si>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</si>
  <si>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</si>
  <si>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</si>
  <si>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</si>
  <si>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</si>
  <si>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</si>
  <si>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</si>
  <si>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</si>
  <si>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</si>
  <si>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</si>
  <si>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</si>
  <si>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</si>
  <si>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</si>
  <si>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</si>
  <si>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</si>
  <si>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</si>
  <si>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</si>
  <si>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</si>
  <si>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</si>
  <si>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</si>
  <si>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</si>
  <si>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</si>
  <si>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</si>
  <si>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</si>
  <si>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</si>
  <si>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</si>
  <si>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</si>
  <si>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</si>
  <si>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</si>
  <si>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</si>
  <si>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</si>
  <si>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</si>
  <si>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</si>
  <si>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</si>
  <si>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</si>
  <si>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</si>
  <si>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</si>
  <si>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</si>
  <si>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</si>
  <si>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</si>
  <si>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</si>
  <si>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</si>
  <si>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</si>
  <si>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</si>
  <si>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</si>
  <si>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</si>
  <si>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</si>
  <si>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</si>
  <si>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</si>
  <si>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</si>
  <si>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</si>
  <si>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</si>
  <si>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</si>
  <si>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</si>
  <si>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</si>
  <si>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</si>
  <si>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</si>
  <si>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</si>
  <si>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</si>
  <si>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</si>
  <si>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</si>
  <si>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</si>
  <si>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</si>
  <si>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</si>
  <si>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</si>
  <si>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</si>
  <si>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</si>
  <si>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</si>
  <si>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</si>
  <si>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</si>
  <si>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</si>
  <si>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</si>
  <si>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</si>
  <si>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</si>
  <si>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</si>
  <si>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</si>
  <si>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</si>
  <si>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</si>
  <si>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</si>
  <si>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</si>
  <si>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</si>
  <si>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</si>
  <si>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</si>
  <si>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</si>
  <si>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</si>
  <si>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</si>
  <si>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</si>
  <si>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</si>
  <si>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</si>
  <si>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</si>
  <si>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</si>
  <si>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</si>
  <si>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</si>
  <si>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</si>
  <si>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</si>
  <si>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</si>
  <si>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</si>
  <si>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</si>
  <si>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</si>
  <si>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</si>
  <si>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</si>
  <si>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</si>
  <si>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</si>
  <si>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</si>
  <si>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</si>
  <si>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</si>
  <si>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</si>
  <si>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</si>
  <si>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</si>
  <si>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</si>
  <si>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</si>
  <si>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</si>
  <si>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</si>
  <si>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</si>
  <si>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</si>
  <si>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</si>
  <si>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</si>
  <si>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</si>
  <si>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</si>
  <si>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</si>
  <si>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</si>
  <si>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</si>
  <si>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</si>
  <si>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</si>
  <si>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</si>
  <si>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</si>
  <si>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</si>
  <si>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</si>
  <si>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</si>
  <si>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</si>
  <si>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</si>
  <si>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</si>
  <si>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</si>
  <si>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</si>
  <si>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</si>
  <si>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</si>
  <si>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</si>
  <si>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</si>
  <si>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</si>
  <si>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</si>
  <si>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</si>
  <si>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</si>
  <si>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</si>
  <si>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</si>
  <si>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</si>
  <si>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</si>
  <si>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</si>
  <si>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</si>
  <si>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</si>
  <si>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</si>
  <si>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</si>
  <si>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</si>
  <si>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</si>
  <si>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</si>
  <si>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</si>
  <si>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</si>
  <si>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</si>
  <si>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</si>
  <si>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</si>
  <si>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</si>
  <si>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</si>
  <si>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</si>
  <si>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</si>
  <si>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</si>
  <si>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</si>
  <si>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</si>
  <si>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</si>
  <si>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</si>
  <si>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</si>
  <si>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</si>
  <si>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</si>
  <si>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</si>
  <si>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</si>
  <si>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</si>
  <si>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</si>
  <si>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</si>
  <si>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</si>
  <si>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</si>
  <si>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</si>
  <si>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</si>
  <si>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</si>
  <si>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</si>
  <si>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</si>
  <si>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</si>
  <si>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</si>
  <si>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</si>
  <si>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</si>
  <si>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</si>
  <si>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</si>
  <si>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</si>
  <si>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</si>
  <si>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</si>
  <si>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</si>
  <si>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</si>
  <si>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</si>
  <si>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</si>
  <si>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</si>
  <si>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</si>
  <si>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</si>
  <si>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</si>
  <si>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</si>
  <si>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</si>
  <si>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</si>
  <si>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</si>
  <si>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</si>
  <si>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</si>
  <si>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</si>
  <si>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</si>
  <si>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</si>
  <si>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</si>
  <si>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</si>
  <si>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</si>
  <si>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</si>
  <si>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</si>
  <si>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</si>
  <si>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</si>
  <si>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</si>
  <si>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</si>
  <si>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</si>
  <si>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</si>
  <si>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</si>
  <si>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</si>
  <si>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</si>
  <si>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</si>
  <si>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</si>
  <si>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</si>
  <si>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</si>
  <si>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</si>
  <si>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</si>
  <si>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</si>
  <si>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</si>
  <si>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</si>
  <si>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</si>
  <si>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</si>
  <si>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</si>
  <si>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</si>
  <si>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</si>
  <si>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</si>
  <si>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</si>
  <si>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</si>
  <si>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</si>
  <si>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</si>
  <si>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</si>
  <si>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</si>
  <si>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</si>
  <si>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</si>
  <si>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</si>
  <si>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</si>
  <si>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</si>
  <si>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</si>
  <si>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</si>
  <si>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</si>
  <si>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</si>
  <si>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</si>
  <si>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</si>
  <si>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</si>
  <si>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</si>
  <si>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</si>
  <si>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</si>
  <si>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</si>
  <si>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</si>
  <si>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</si>
  <si>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</si>
  <si>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</si>
  <si>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</si>
  <si>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</si>
  <si>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</si>
  <si>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</si>
  <si>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</si>
  <si>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</si>
  <si>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</si>
  <si>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</si>
  <si>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</si>
  <si>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</si>
  <si>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</si>
  <si>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</si>
  <si>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</si>
  <si>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</si>
  <si>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</si>
  <si>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</si>
  <si>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</si>
  <si>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</si>
  <si>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</si>
  <si>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</si>
  <si>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</si>
  <si>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</si>
  <si>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</si>
  <si>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</si>
  <si>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</si>
  <si>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</si>
  <si>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</si>
  <si>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</si>
  <si>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</si>
  <si>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</si>
  <si>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</si>
  <si>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</si>
  <si>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</si>
  <si>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</si>
  <si>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</si>
  <si>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</si>
  <si>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</si>
  <si>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</si>
  <si>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</si>
  <si>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</si>
  <si>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</si>
  <si>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</si>
  <si>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</si>
  <si>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</si>
  <si>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</si>
  <si>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</si>
  <si>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</si>
  <si>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</si>
  <si>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</si>
  <si>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</si>
  <si>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</si>
  <si>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</si>
  <si>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</si>
  <si>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</si>
  <si>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</si>
  <si>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</si>
  <si>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</si>
  <si>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</si>
  <si>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</si>
  <si>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</si>
  <si>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</si>
  <si>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</si>
  <si>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</si>
  <si>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</si>
  <si>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</si>
  <si>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</si>
  <si>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</si>
  <si>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</si>
  <si>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</si>
  <si>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</si>
  <si>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</si>
  <si>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</si>
  <si>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</si>
  <si>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</si>
  <si>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</si>
  <si>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</si>
  <si>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</si>
  <si>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</si>
  <si>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</si>
  <si>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</si>
  <si>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</si>
  <si>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</si>
  <si>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</si>
  <si>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</si>
  <si>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</si>
  <si>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</si>
  <si>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</si>
  <si>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</si>
  <si>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</si>
  <si>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</si>
  <si>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</si>
  <si>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</si>
  <si>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</si>
  <si>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</si>
  <si>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</si>
  <si>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</si>
  <si>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</si>
  <si>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</si>
  <si>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</si>
  <si>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</si>
  <si>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</si>
  <si>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</si>
  <si>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</si>
  <si>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</si>
  <si>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</si>
  <si>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</si>
  <si>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</si>
  <si>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</si>
  <si>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</si>
  <si>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</si>
  <si>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</si>
  <si>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</si>
  <si>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</si>
  <si>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</si>
  <si>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</si>
  <si>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</si>
  <si>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</si>
  <si>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</si>
  <si>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</si>
  <si>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</si>
  <si>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</si>
  <si>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</si>
  <si>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</si>
  <si>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</si>
  <si>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</si>
  <si>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</si>
  <si>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</si>
  <si>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</si>
  <si>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</si>
  <si>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</si>
  <si>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</si>
  <si>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</si>
  <si>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</si>
  <si>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</si>
  <si>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</si>
  <si>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</si>
  <si>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</si>
  <si>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</si>
  <si>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</si>
  <si>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</si>
  <si>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</si>
  <si>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</si>
  <si>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</si>
  <si>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</si>
  <si>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</si>
  <si>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</si>
  <si>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</si>
  <si>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</si>
  <si>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</si>
  <si>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</si>
  <si>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</si>
  <si>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</si>
  <si>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</si>
  <si>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</si>
  <si>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</si>
  <si>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</si>
  <si>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</si>
  <si>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</si>
  <si>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</si>
  <si>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</si>
  <si>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</si>
  <si>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</si>
  <si>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</si>
  <si>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</si>
  <si>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</si>
  <si>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</si>
  <si>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</si>
  <si>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</si>
  <si>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</si>
  <si>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</si>
  <si>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</si>
  <si>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</si>
  <si>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</si>
  <si>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</si>
  <si>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</si>
  <si>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</si>
  <si>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</si>
  <si>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</si>
  <si>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</si>
  <si>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</si>
  <si>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</si>
  <si>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</si>
  <si>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</si>
  <si>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</si>
  <si>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</si>
  <si>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</si>
  <si>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</si>
  <si>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</si>
  <si>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</si>
  <si>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</si>
  <si>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</si>
  <si>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</si>
  <si>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</si>
  <si>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</si>
  <si>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</si>
  <si>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</si>
  <si>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</si>
  <si>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</si>
  <si>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</si>
  <si>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</si>
  <si>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</si>
  <si>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</si>
  <si>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</si>
  <si>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</si>
  <si>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</si>
  <si>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</si>
  <si>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</si>
  <si>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</si>
  <si>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</si>
  <si>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</si>
  <si>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</si>
  <si>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</si>
  <si>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</si>
  <si>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</si>
  <si>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</si>
  <si>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</si>
  <si>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</si>
  <si>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</si>
  <si>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</si>
  <si>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</si>
  <si>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</si>
  <si>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</si>
  <si>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</si>
  <si>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</si>
  <si>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</si>
  <si>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</si>
  <si>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</si>
  <si>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</si>
  <si>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</si>
  <si>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</si>
  <si>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</si>
  <si>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</si>
  <si>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</si>
  <si>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</si>
  <si>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</si>
  <si>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</si>
  <si>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</si>
  <si>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</si>
  <si>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</si>
  <si>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</si>
  <si>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</si>
  <si>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</si>
  <si>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</si>
  <si>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</si>
  <si>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</si>
  <si>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</si>
  <si>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</si>
  <si>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</si>
  <si>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</si>
  <si>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</si>
  <si>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</si>
  <si>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</si>
  <si>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</si>
  <si>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</si>
  <si>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</si>
  <si>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</si>
  <si>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</si>
  <si>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</si>
  <si>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</si>
  <si>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</si>
  <si>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</si>
  <si>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</si>
  <si>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</si>
  <si>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</si>
  <si>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</si>
  <si>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</si>
  <si>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</si>
  <si>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</si>
  <si>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</si>
  <si>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</si>
  <si>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</si>
  <si>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</si>
  <si>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</si>
  <si>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</si>
  <si>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</si>
  <si>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</si>
  <si>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</si>
  <si>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</si>
  <si>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</si>
  <si>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</si>
  <si>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</si>
  <si>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</si>
  <si>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</si>
  <si>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</si>
  <si>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</si>
  <si>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</si>
  <si>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</si>
  <si>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</si>
  <si>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</si>
  <si>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</si>
  <si>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</si>
  <si>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</si>
  <si>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</si>
  <si>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</si>
  <si>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</si>
  <si>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</si>
  <si>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</si>
  <si>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</si>
  <si>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</si>
  <si>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</si>
  <si>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</si>
  <si>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</si>
  <si>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</si>
  <si>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</si>
  <si>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</si>
  <si>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</si>
  <si>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</si>
  <si>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</si>
  <si>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</si>
  <si>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</si>
  <si>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</si>
  <si>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</si>
  <si>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</si>
  <si>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</si>
  <si>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</si>
  <si>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</si>
  <si>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</si>
  <si>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</si>
  <si>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</si>
  <si>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</si>
  <si>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</si>
  <si>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</si>
  <si>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</si>
  <si>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</si>
  <si>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</si>
  <si>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</si>
  <si>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</si>
  <si>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</si>
  <si>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</si>
  <si>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</si>
  <si>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</si>
  <si>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</si>
  <si>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</si>
  <si>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</si>
  <si>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</si>
  <si>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</si>
  <si>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</si>
  <si>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</si>
  <si>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</si>
  <si>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</si>
  <si>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</si>
  <si>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</si>
  <si>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</si>
  <si>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</si>
  <si>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</si>
  <si>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</si>
  <si>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</si>
  <si>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</si>
  <si>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</si>
  <si>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</si>
  <si>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</si>
  <si>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</si>
  <si>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</si>
  <si>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</si>
  <si>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</si>
  <si>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</si>
  <si>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</si>
  <si>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</si>
  <si>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</si>
  <si>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</si>
  <si>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</si>
  <si>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</si>
  <si>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</si>
  <si>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</si>
  <si>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</si>
  <si>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</si>
  <si>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</si>
  <si>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</si>
  <si>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</si>
  <si>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</si>
  <si>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</si>
  <si>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</si>
  <si>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</si>
  <si>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</si>
  <si>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</si>
  <si>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</si>
  <si>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</si>
  <si>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</si>
  <si>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</si>
  <si>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</si>
  <si>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</si>
  <si>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</si>
  <si>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</si>
  <si>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</si>
  <si>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</si>
  <si>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</si>
  <si>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</si>
  <si>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</si>
  <si>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</si>
  <si>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</si>
  <si>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</si>
  <si>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</si>
  <si>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</si>
  <si>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</si>
  <si>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</si>
  <si>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</si>
  <si>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</si>
  <si>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</si>
  <si>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</si>
  <si>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</si>
  <si>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</si>
  <si>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</si>
  <si>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</si>
  <si>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</si>
  <si>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</si>
  <si>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</si>
  <si>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</si>
  <si>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</si>
  <si>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</si>
  <si>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</si>
  <si>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</si>
  <si>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</si>
  <si>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</si>
  <si>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</si>
  <si>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</si>
  <si>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</si>
  <si>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</si>
  <si>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</si>
  <si>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</si>
  <si>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</si>
  <si>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</si>
  <si>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</si>
  <si>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</si>
  <si>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</si>
  <si>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</si>
  <si>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</si>
  <si>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</si>
  <si>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</si>
  <si>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</si>
  <si>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</si>
  <si>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</si>
  <si>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</si>
  <si>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</si>
  <si>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</si>
  <si>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</si>
  <si>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</si>
  <si>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</si>
  <si>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</si>
  <si>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</si>
  <si>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</si>
  <si>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</si>
  <si>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</si>
  <si>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</si>
  <si>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</si>
  <si>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</si>
  <si>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</si>
  <si>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</si>
  <si>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</si>
  <si>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</si>
  <si>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</si>
  <si>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</si>
  <si>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</si>
  <si>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</si>
  <si>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</si>
  <si>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</si>
  <si>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</si>
  <si>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</si>
  <si>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</si>
  <si>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</si>
  <si>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</si>
  <si>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</si>
  <si>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</si>
  <si>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</si>
  <si>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</si>
  <si>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</si>
  <si>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</si>
  <si>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</si>
  <si>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</si>
  <si>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</si>
  <si>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</si>
  <si>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</si>
  <si>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</si>
  <si>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</si>
  <si>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</si>
  <si>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</si>
  <si>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</si>
  <si>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</si>
  <si>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</si>
  <si>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</si>
  <si>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</si>
  <si>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</si>
  <si>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</si>
  <si>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</si>
  <si>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</si>
  <si>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</si>
  <si>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</si>
  <si>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</si>
  <si>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</si>
  <si>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</si>
  <si>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</si>
  <si>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</si>
  <si>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</si>
  <si>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</si>
  <si>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</si>
  <si>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</si>
  <si>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</si>
  <si>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</si>
  <si>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</si>
  <si>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</si>
  <si>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</si>
  <si>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</si>
  <si>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</si>
  <si>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</si>
  <si>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</si>
  <si>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</si>
  <si>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</si>
  <si>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</si>
  <si>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</si>
  <si>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</si>
  <si>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</si>
  <si>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</si>
  <si>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</si>
  <si>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</si>
  <si>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</si>
  <si>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</si>
  <si>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</si>
  <si>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</si>
  <si>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</si>
  <si>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</si>
  <si>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</si>
  <si>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</si>
  <si>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</si>
  <si>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</si>
  <si>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</si>
  <si>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</si>
  <si>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</si>
  <si>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</si>
  <si>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</si>
  <si>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</si>
  <si>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</si>
  <si>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</si>
  <si>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</si>
  <si>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</si>
  <si>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</si>
  <si>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</si>
  <si>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</si>
  <si>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</si>
  <si>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</si>
  <si>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</si>
  <si>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</si>
  <si>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</si>
  <si>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</si>
  <si>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</si>
  <si>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</si>
  <si>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</si>
  <si>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</si>
  <si>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</si>
  <si>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</si>
  <si>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</si>
  <si>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</si>
  <si>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</si>
  <si>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</si>
  <si>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</si>
  <si>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</si>
  <si>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</si>
  <si>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</si>
  <si>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</si>
  <si>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</si>
  <si>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</si>
  <si>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</si>
  <si>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</si>
  <si>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</si>
  <si>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</si>
  <si>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</si>
  <si>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</si>
  <si>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</si>
  <si>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</si>
  <si>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</si>
  <si>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</si>
  <si>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</si>
  <si>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</si>
  <si>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</si>
  <si>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</si>
  <si>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</si>
  <si>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</si>
  <si>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</si>
  <si>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</si>
  <si>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</si>
  <si>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</si>
  <si>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</si>
  <si>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</si>
  <si>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</si>
  <si>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</si>
  <si>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</si>
  <si>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</si>
  <si>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</si>
  <si>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</si>
  <si>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</si>
  <si>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</si>
  <si>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</si>
  <si>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</si>
  <si>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</si>
  <si>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</si>
  <si>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</si>
  <si>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</si>
  <si>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</si>
  <si>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</si>
  <si>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</si>
  <si>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</si>
  <si>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</si>
  <si>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</si>
  <si>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</si>
  <si>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</si>
  <si>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</si>
  <si>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</si>
  <si>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</si>
  <si>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</si>
  <si>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</si>
  <si>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</si>
  <si>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</si>
  <si>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</si>
  <si>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</si>
  <si>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</si>
  <si>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</si>
  <si>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</si>
  <si>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</si>
  <si>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</si>
  <si>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</si>
  <si>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</si>
  <si>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</si>
  <si>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</si>
  <si>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</si>
  <si>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</si>
  <si>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</si>
  <si>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</si>
  <si>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</si>
  <si>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</si>
  <si>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</si>
  <si>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</si>
  <si>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</si>
  <si>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</si>
  <si>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</si>
  <si>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</si>
  <si>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</si>
  <si>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</si>
  <si>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</si>
  <si>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</si>
  <si>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</si>
  <si>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</si>
  <si>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</si>
  <si>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</si>
  <si>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</si>
  <si>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</si>
  <si>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</si>
  <si>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</si>
  <si>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</si>
  <si>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</si>
  <si>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</si>
  <si>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</si>
  <si>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</si>
  <si>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</si>
  <si>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</si>
  <si>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</si>
  <si>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</si>
  <si>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</si>
  <si>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</si>
  <si>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</si>
  <si>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</si>
  <si>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</si>
  <si>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</si>
  <si>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</si>
  <si>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</si>
  <si>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</si>
  <si>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</si>
  <si>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</si>
  <si>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</si>
  <si>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</si>
  <si>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</si>
  <si>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</si>
  <si>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</si>
  <si>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</si>
  <si>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</si>
  <si>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</si>
  <si>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</si>
  <si>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</si>
  <si>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</si>
  <si>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</si>
  <si>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</si>
  <si>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</si>
  <si>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</si>
  <si>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</si>
  <si>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</si>
  <si>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</si>
  <si>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</si>
  <si>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</si>
  <si>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</si>
  <si>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</si>
  <si>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</si>
  <si>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</si>
  <si>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</si>
  <si>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</si>
  <si>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</si>
  <si>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</si>
  <si>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</si>
  <si>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</si>
  <si>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</si>
  <si>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</si>
  <si>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</si>
  <si>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</si>
  <si>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</si>
  <si>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</si>
  <si>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</si>
  <si>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</si>
  <si>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</si>
  <si>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</si>
  <si>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</si>
  <si>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</si>
  <si>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</si>
  <si>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</si>
  <si>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</si>
  <si>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</si>
  <si>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</si>
  <si>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</si>
  <si>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</si>
  <si>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</si>
  <si>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</si>
  <si>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</si>
  <si>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</si>
  <si>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</si>
  <si>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</si>
  <si>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</si>
  <si>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</si>
  <si>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</si>
  <si>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</si>
  <si>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</si>
  <si>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</si>
  <si>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</si>
  <si>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</si>
  <si>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</si>
  <si>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</si>
  <si>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</si>
  <si>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</si>
  <si>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</si>
  <si>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</si>
  <si>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</si>
  <si>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</si>
  <si>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</si>
  <si>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</si>
  <si>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</si>
  <si>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</si>
  <si>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</si>
  <si>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</si>
  <si>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</si>
  <si>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</si>
  <si>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</si>
  <si>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</si>
  <si>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</si>
  <si>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</si>
  <si>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</si>
  <si>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</si>
  <si>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</si>
  <si>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</si>
  <si>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</si>
  <si>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</si>
  <si>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</si>
  <si>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</si>
  <si>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</si>
  <si>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</si>
  <si>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</si>
  <si>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</si>
  <si>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</si>
  <si>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</si>
  <si>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</si>
  <si>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</si>
  <si>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</si>
  <si>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</si>
  <si>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</si>
  <si>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</si>
  <si>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</si>
  <si>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</si>
  <si>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</si>
  <si>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</si>
  <si>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</si>
  <si>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</si>
  <si>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</si>
  <si>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</si>
  <si>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</si>
  <si>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</si>
  <si>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</si>
  <si>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</si>
  <si>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</si>
  <si>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</si>
  <si>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</si>
  <si>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</si>
  <si>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</si>
  <si>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</si>
  <si>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</si>
  <si>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</si>
  <si>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</si>
  <si>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</si>
  <si>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</si>
  <si>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</si>
  <si>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</si>
  <si>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</si>
  <si>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</si>
  <si>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</si>
  <si>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</si>
  <si>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</si>
  <si>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</si>
  <si>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</si>
  <si>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</si>
  <si>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</si>
  <si>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</si>
  <si>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</si>
  <si>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</si>
  <si>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</si>
  <si>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</si>
  <si>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</si>
  <si>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</si>
  <si>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</si>
  <si>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</si>
  <si>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</si>
  <si>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</si>
  <si>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</si>
  <si>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</si>
  <si>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</si>
  <si>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</si>
  <si>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</si>
  <si>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</si>
  <si>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</si>
  <si>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</si>
  <si>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</si>
  <si>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</si>
  <si>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</si>
  <si>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</si>
  <si>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</si>
  <si>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</si>
  <si>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</si>
  <si>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</si>
  <si>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</si>
  <si>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</si>
  <si>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</si>
  <si>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</si>
  <si>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</si>
  <si>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</si>
  <si>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</si>
  <si>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</si>
  <si>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</si>
  <si>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</si>
  <si>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</si>
  <si>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</si>
  <si>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</si>
  <si>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</si>
  <si>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</si>
  <si>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</si>
  <si>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</si>
  <si>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</si>
  <si>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</si>
  <si>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</si>
  <si>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</si>
  <si>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</si>
  <si>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</si>
  <si>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</si>
  <si>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</si>
  <si>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</si>
  <si>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</si>
  <si>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</si>
  <si>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</si>
  <si>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</si>
  <si>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</si>
  <si>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</si>
  <si>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</si>
  <si>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</si>
  <si>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</si>
  <si>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</si>
  <si>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</si>
  <si>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</si>
  <si>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</si>
  <si>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</si>
  <si>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</si>
  <si>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</si>
  <si>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</si>
  <si>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</si>
  <si>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</si>
  <si>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</si>
  <si>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</si>
  <si>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</si>
  <si>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</si>
  <si>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</si>
  <si>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</si>
  <si>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</si>
  <si>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</si>
  <si>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</si>
  <si>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</si>
  <si>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</si>
  <si>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</si>
  <si>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</si>
  <si>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</si>
  <si>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</si>
  <si>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</si>
  <si>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</si>
  <si>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</si>
  <si>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</si>
  <si>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</si>
  <si>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</si>
  <si>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</si>
  <si>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</si>
  <si>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</si>
  <si>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</si>
  <si>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</si>
  <si>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</si>
  <si>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</si>
  <si>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</si>
  <si>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</si>
  <si>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</si>
  <si>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</si>
  <si>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</si>
  <si>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</si>
  <si>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</si>
  <si>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</si>
  <si>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</si>
  <si>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</si>
  <si>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</si>
  <si>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</si>
  <si>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</si>
  <si>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</si>
  <si>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</si>
  <si>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</si>
  <si>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</si>
  <si>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</si>
  <si>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</si>
  <si>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</si>
  <si>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</si>
  <si>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</si>
  <si>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</si>
  <si>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</si>
  <si>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</si>
  <si>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</si>
  <si>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</si>
  <si>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</si>
  <si>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</si>
  <si>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</si>
  <si>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</si>
  <si>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</si>
  <si>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</si>
  <si>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</si>
  <si>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</si>
  <si>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</si>
  <si>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</si>
  <si>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</si>
  <si>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</si>
  <si>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</si>
  <si>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</si>
  <si>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</si>
  <si>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</si>
  <si>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</si>
  <si>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</si>
  <si>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</si>
  <si>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</si>
  <si>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</si>
  <si>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</si>
  <si>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</si>
  <si>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</si>
  <si>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</si>
  <si>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</si>
  <si>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</si>
  <si>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</si>
  <si>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</si>
  <si>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</si>
  <si>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</si>
  <si>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</si>
  <si>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</si>
  <si>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</si>
  <si>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</si>
  <si>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</si>
  <si>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</si>
  <si>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</si>
  <si>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</si>
  <si>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</si>
  <si>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</si>
  <si>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</si>
  <si>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</si>
  <si>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</si>
  <si>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</si>
  <si>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</si>
  <si>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</si>
  <si>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</si>
  <si>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</si>
  <si>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</si>
  <si>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</si>
  <si>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</si>
  <si>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</si>
  <si>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</si>
  <si>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</si>
  <si>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</si>
  <si>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</si>
  <si>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</si>
  <si>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</si>
  <si>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</si>
  <si>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</si>
  <si>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</si>
  <si>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</si>
  <si>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</si>
  <si>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</si>
  <si>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</si>
  <si>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</si>
  <si>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</si>
  <si>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</si>
  <si>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</si>
  <si>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</si>
  <si>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</si>
  <si>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</si>
  <si>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</si>
  <si>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</si>
  <si>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</si>
  <si>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</si>
  <si>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</si>
  <si>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</si>
  <si>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</si>
  <si>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</si>
  <si>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</si>
  <si>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</si>
  <si>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</si>
  <si>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</si>
  <si>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</si>
  <si>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</si>
  <si>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</si>
  <si>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</si>
  <si>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</si>
  <si>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</si>
  <si>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</si>
  <si>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</si>
  <si>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</si>
  <si>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</si>
  <si>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</si>
  <si>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</si>
  <si>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</si>
  <si>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</si>
  <si>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</si>
  <si>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</si>
  <si>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</si>
  <si>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</si>
  <si>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</si>
  <si>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</si>
  <si>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</si>
  <si>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</si>
  <si>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</si>
  <si>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</si>
  <si>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</si>
  <si>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</si>
  <si>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</si>
  <si>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</si>
  <si>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</si>
  <si>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</si>
  <si>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</si>
  <si>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</si>
  <si>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</si>
  <si>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</si>
  <si>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</si>
  <si>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</si>
  <si>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</si>
  <si>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</si>
  <si>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</si>
  <si>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</si>
  <si>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</si>
  <si>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</si>
  <si>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</si>
  <si>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</si>
  <si>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</si>
  <si>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</si>
  <si>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</si>
  <si>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</si>
  <si>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</si>
  <si>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</si>
  <si>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</si>
  <si>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</si>
  <si>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</si>
  <si>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</si>
  <si>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</si>
  <si>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</si>
  <si>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</si>
  <si>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</si>
  <si>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</si>
  <si>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</si>
  <si>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</si>
  <si>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</si>
  <si>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</si>
  <si>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</si>
  <si>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</si>
  <si>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</si>
  <si>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</si>
  <si>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</si>
  <si>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</si>
  <si>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</si>
  <si>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</si>
  <si>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</si>
  <si>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</si>
  <si>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</si>
  <si>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</si>
  <si>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</si>
  <si>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</si>
  <si>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</si>
  <si>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</si>
  <si>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</si>
  <si>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</si>
  <si>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</si>
  <si>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</si>
  <si>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</si>
  <si>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</si>
  <si>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</si>
  <si>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</si>
  <si>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</si>
  <si>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</si>
  <si>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</si>
  <si>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</si>
  <si>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</si>
  <si>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</si>
  <si>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</si>
  <si>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</si>
  <si>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</si>
  <si>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</si>
  <si>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</si>
  <si>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</si>
  <si>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</si>
  <si>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</si>
  <si>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</si>
  <si>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</si>
  <si>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</si>
  <si>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</si>
  <si>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</si>
  <si>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</si>
  <si>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</si>
  <si>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</si>
  <si>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</si>
  <si>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</si>
  <si>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</si>
  <si>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</si>
  <si>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</si>
  <si>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</si>
  <si>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</si>
  <si>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</si>
  <si>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</si>
  <si>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</si>
  <si>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</si>
  <si>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</si>
  <si>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</si>
  <si>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</si>
  <si>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</si>
  <si>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</si>
  <si>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</si>
  <si>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</si>
  <si>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</si>
  <si>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</si>
  <si>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</si>
  <si>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</si>
  <si>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</si>
  <si>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</si>
  <si>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</si>
  <si>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</si>
  <si>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</si>
  <si>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</si>
  <si>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</si>
  <si>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</si>
  <si>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</si>
  <si>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</si>
  <si>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</si>
  <si>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</si>
  <si>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</si>
  <si>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</si>
  <si>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</si>
  <si>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</si>
  <si>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</si>
  <si>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</si>
  <si>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</si>
  <si>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</si>
  <si>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</si>
  <si>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</si>
  <si>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</si>
  <si>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</si>
  <si>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</si>
  <si>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</si>
  <si>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</si>
  <si>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</si>
  <si>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</si>
  <si>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</si>
  <si>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</si>
  <si>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</si>
  <si>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</si>
  <si>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</si>
  <si>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</si>
  <si>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</si>
  <si>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</si>
  <si>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</si>
  <si>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</si>
  <si>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</si>
  <si>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</si>
  <si>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</si>
  <si>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</si>
  <si>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</si>
  <si>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</si>
  <si>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</si>
  <si>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</si>
  <si>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</si>
  <si>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</si>
  <si>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</si>
  <si>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</si>
  <si>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</si>
  <si>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</si>
  <si>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</si>
  <si>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</si>
  <si>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</si>
  <si>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</si>
  <si>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</si>
  <si>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</si>
  <si>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</si>
  <si>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</si>
  <si>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</si>
  <si>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</si>
  <si>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</si>
  <si>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</si>
  <si>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</si>
  <si>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</si>
  <si>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</si>
  <si>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</si>
  <si>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</si>
  <si>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</si>
  <si>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</si>
  <si>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</si>
  <si>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</si>
  <si>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</si>
  <si>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</si>
  <si>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</si>
  <si>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</si>
  <si>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</si>
  <si>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</si>
  <si>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</si>
  <si>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</si>
  <si>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</si>
  <si>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</si>
  <si>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</si>
  <si>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</si>
  <si>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</si>
  <si>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</si>
  <si>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</si>
  <si>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</si>
  <si>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</si>
  <si>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</si>
  <si>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</si>
  <si>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</si>
  <si>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</si>
  <si>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</si>
  <si>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</si>
  <si>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</si>
  <si>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</si>
  <si>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</si>
  <si>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</si>
  <si>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</si>
  <si>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</si>
  <si>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</si>
  <si>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</si>
  <si>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</si>
  <si>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</si>
  <si>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</si>
  <si>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</si>
  <si>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</si>
  <si>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</si>
  <si>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</si>
  <si>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</si>
  <si>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</si>
  <si>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</si>
  <si>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</si>
  <si>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</si>
  <si>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</si>
  <si>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</si>
  <si>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</si>
  <si>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</si>
  <si>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</si>
  <si>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</si>
  <si>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</si>
  <si>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</si>
  <si>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</si>
  <si>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</si>
  <si>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</si>
  <si>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</si>
  <si>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</si>
  <si>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</si>
  <si>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</si>
  <si>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</si>
  <si>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</si>
  <si>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</si>
  <si>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</si>
  <si>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</si>
  <si>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</si>
  <si>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</si>
  <si>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</si>
  <si>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</si>
  <si>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</si>
  <si>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</si>
  <si>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</si>
  <si>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</si>
  <si>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</si>
  <si>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</si>
  <si>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</si>
  <si>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</si>
  <si>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</si>
  <si>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</si>
  <si>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</si>
  <si>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</si>
  <si>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</si>
  <si>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</si>
  <si>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</si>
  <si>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</si>
  <si>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</si>
  <si>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</si>
  <si>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</si>
  <si>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</si>
  <si>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</si>
  <si>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</si>
  <si>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</si>
  <si>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</si>
  <si>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</si>
  <si>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</si>
  <si>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</si>
  <si>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</si>
  <si>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</si>
  <si>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</si>
  <si>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</si>
  <si>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</si>
  <si>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</si>
  <si>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</si>
  <si>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</si>
  <si>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</si>
  <si>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</si>
  <si>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</si>
  <si>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</si>
  <si>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</si>
  <si>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</si>
  <si>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</si>
  <si>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</si>
  <si>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</si>
  <si>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</si>
  <si>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</si>
  <si>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</si>
  <si>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</si>
  <si>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</si>
  <si>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</si>
  <si>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</si>
  <si>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</si>
  <si>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</si>
  <si>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</si>
  <si>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</si>
  <si>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</si>
  <si>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</si>
  <si>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</si>
  <si>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</si>
  <si>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</si>
  <si>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</si>
  <si>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</si>
  <si>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</si>
  <si>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</si>
  <si>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</si>
  <si>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</si>
  <si>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</si>
  <si>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</si>
  <si>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</si>
  <si>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</si>
  <si>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</si>
  <si>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</si>
  <si>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</si>
  <si>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</si>
  <si>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</si>
  <si>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</si>
  <si>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</si>
  <si>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</si>
  <si>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</si>
  <si>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</si>
  <si>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</si>
  <si>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</si>
  <si>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</si>
  <si>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</si>
  <si>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</si>
  <si>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</si>
  <si>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</si>
  <si>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</si>
  <si>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</si>
  <si>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</si>
  <si>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</si>
  <si>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</si>
  <si>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</si>
  <si>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</si>
  <si>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</si>
  <si>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</si>
  <si>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</si>
  <si>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</si>
  <si>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</si>
  <si>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</si>
  <si>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</si>
  <si>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</si>
  <si>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</si>
  <si>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</si>
  <si>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</si>
  <si>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</si>
  <si>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</si>
  <si>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</si>
  <si>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</si>
  <si>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</si>
  <si>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</si>
  <si>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</si>
  <si>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</si>
  <si>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</si>
  <si>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</si>
  <si>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</si>
  <si>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</si>
  <si>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</si>
  <si>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</si>
  <si>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</si>
  <si>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</si>
  <si>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</si>
  <si>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</si>
  <si>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</si>
  <si>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</si>
  <si>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</si>
  <si>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</si>
  <si>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</si>
  <si>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</si>
  <si>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</si>
  <si>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</si>
  <si>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</si>
  <si>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</si>
  <si>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</si>
  <si>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</si>
  <si>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</si>
  <si>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</si>
  <si>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</si>
  <si>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</si>
  <si>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</si>
  <si>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</si>
  <si>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</si>
  <si>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</si>
  <si>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</si>
  <si>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</si>
  <si>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</si>
  <si>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</si>
  <si>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</si>
  <si>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</si>
  <si>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</si>
  <si>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</si>
  <si>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</si>
  <si>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</si>
  <si>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</si>
  <si>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</si>
  <si>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</si>
  <si>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</si>
  <si>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</si>
  <si>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</si>
  <si>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</si>
  <si>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</si>
  <si>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</si>
  <si>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</si>
  <si>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</si>
  <si>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</si>
  <si>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</si>
  <si>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</si>
  <si>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</si>
  <si>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</si>
  <si>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</si>
  <si>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</si>
  <si>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</si>
  <si>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</si>
  <si>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</si>
  <si>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</si>
  <si>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</si>
  <si>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</si>
  <si>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</si>
  <si>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</si>
  <si>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</si>
  <si>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</si>
  <si>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</si>
  <si>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</si>
  <si>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</si>
  <si>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</si>
  <si>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</si>
  <si>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</si>
  <si>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</si>
  <si>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</si>
  <si>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</si>
  <si>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</si>
  <si>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</si>
  <si>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</si>
  <si>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</si>
  <si>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</si>
  <si>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</si>
  <si>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</si>
  <si>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</si>
  <si>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</si>
  <si>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</si>
  <si>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</si>
  <si>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</si>
  <si>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</si>
  <si>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</si>
  <si>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</si>
  <si>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</si>
  <si>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</si>
  <si>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</si>
  <si>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</si>
  <si>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</si>
  <si>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</si>
  <si>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</si>
  <si>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</si>
  <si>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</si>
  <si>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</si>
  <si>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</si>
  <si>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</si>
  <si>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</si>
  <si>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</si>
  <si>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</si>
  <si>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</si>
  <si>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</si>
  <si>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</si>
  <si>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</si>
  <si>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</si>
  <si>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</si>
  <si>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</si>
  <si>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</si>
  <si>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</si>
  <si>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</si>
  <si>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</si>
  <si>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</si>
  <si>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</si>
  <si>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</si>
  <si>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</si>
  <si>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</si>
  <si>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</si>
  <si>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</si>
  <si>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</si>
  <si>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</si>
  <si>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</si>
  <si>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</si>
  <si>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</si>
  <si>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</si>
  <si>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</si>
  <si>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</si>
  <si>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</si>
  <si>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</si>
  <si>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</si>
  <si>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</si>
  <si>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</si>
  <si>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</si>
  <si>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</si>
  <si>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</si>
  <si>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</si>
  <si>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</si>
  <si>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</si>
  <si>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</si>
  <si>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</si>
  <si>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</si>
  <si>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</si>
  <si>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</si>
  <si>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</si>
  <si>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</si>
  <si>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</si>
  <si>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</si>
  <si>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</si>
  <si>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</si>
  <si>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</si>
  <si>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</si>
  <si>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</si>
  <si>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</si>
  <si>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</si>
  <si>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</si>
  <si>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</si>
  <si>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</si>
  <si>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</si>
  <si>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</si>
  <si>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</si>
  <si>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</si>
  <si>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</si>
  <si>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</si>
  <si>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</si>
  <si>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</si>
  <si>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</si>
  <si>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</si>
  <si>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</si>
  <si>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</si>
  <si>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</si>
  <si>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</si>
  <si>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</si>
  <si>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</si>
  <si>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</si>
  <si>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</si>
  <si>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</si>
  <si>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</si>
  <si>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</si>
  <si>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</si>
  <si>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</si>
  <si>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</si>
  <si>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</si>
  <si>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</si>
  <si>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</si>
  <si>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</si>
  <si>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</si>
  <si>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</si>
  <si>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</si>
  <si>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</si>
  <si>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</si>
  <si>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</si>
  <si>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</si>
  <si>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</si>
  <si>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</si>
  <si>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</si>
  <si>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</si>
  <si>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</si>
  <si>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</si>
  <si>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</si>
  <si>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</si>
  <si>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</si>
  <si>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</si>
  <si>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</si>
  <si>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</si>
  <si>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</si>
  <si>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</si>
  <si>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</si>
  <si>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</si>
  <si>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</si>
  <si>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</si>
  <si>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</si>
  <si>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</si>
  <si>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</si>
  <si>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</si>
  <si>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</si>
  <si>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</si>
  <si>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</si>
  <si>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</si>
  <si>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</si>
  <si>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</si>
  <si>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</si>
  <si>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</si>
  <si>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</si>
  <si>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</si>
  <si>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</si>
  <si>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</si>
  <si>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</si>
  <si>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</si>
  <si>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</si>
  <si>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</si>
  <si>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</si>
  <si>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</si>
  <si>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</si>
  <si>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</si>
  <si>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</si>
  <si>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</si>
  <si>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</si>
  <si>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</si>
  <si>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</si>
  <si>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</si>
  <si>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</si>
  <si>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</si>
  <si>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</si>
  <si>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</si>
  <si>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</si>
  <si>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</si>
  <si>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</si>
  <si>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</si>
  <si>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</si>
  <si>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</si>
  <si>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</si>
  <si>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</si>
  <si>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</si>
  <si>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</si>
  <si>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</si>
  <si>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</si>
  <si>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</si>
  <si>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</si>
  <si>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</si>
  <si>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</si>
  <si>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</si>
  <si>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</si>
  <si>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</si>
  <si>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</si>
  <si>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</si>
  <si>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</si>
  <si>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</si>
  <si>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</si>
  <si>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</si>
  <si>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</si>
  <si>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</si>
  <si>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</si>
  <si>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</si>
  <si>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</si>
  <si>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</si>
  <si>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</si>
  <si>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</si>
  <si>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</si>
  <si>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</si>
  <si>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</si>
  <si>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</si>
  <si>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</si>
  <si>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</si>
  <si>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</si>
  <si>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</si>
  <si>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</si>
  <si>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</si>
  <si>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</si>
  <si>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</si>
  <si>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</si>
  <si>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</si>
  <si>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</si>
  <si>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</si>
  <si>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</si>
  <si>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</si>
  <si>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</si>
  <si>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</si>
  <si>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</si>
  <si>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</si>
  <si>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</si>
  <si>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</si>
  <si>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</si>
  <si>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</si>
  <si>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</si>
  <si>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</si>
  <si>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</si>
  <si>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</si>
  <si>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</si>
  <si>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</si>
  <si>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</si>
  <si>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</si>
  <si>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</si>
  <si>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</si>
  <si>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</si>
  <si>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</si>
  <si>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</si>
  <si>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</si>
  <si>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</si>
  <si>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</si>
  <si>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</si>
  <si>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</si>
  <si>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</si>
  <si>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</si>
  <si>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</si>
  <si>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</si>
  <si>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</si>
  <si>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</si>
  <si>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</si>
  <si>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</si>
  <si>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</si>
  <si>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</si>
  <si>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</si>
  <si>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</si>
  <si>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</si>
  <si>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</si>
  <si>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</si>
  <si>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</si>
  <si>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</si>
  <si>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</si>
  <si>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</si>
  <si>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</si>
  <si>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</si>
  <si>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</si>
  <si>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</si>
  <si>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</si>
  <si>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</si>
  <si>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</si>
  <si>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</si>
  <si>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</si>
  <si>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</si>
  <si>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</si>
  <si>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</si>
  <si>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</si>
  <si>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</si>
  <si>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</si>
  <si>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</si>
  <si>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</si>
  <si>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</si>
  <si>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</si>
  <si>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</si>
  <si>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</si>
  <si>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</si>
  <si>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</si>
  <si>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</si>
  <si>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</si>
  <si>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</si>
  <si>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</si>
  <si>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</si>
  <si>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</si>
  <si>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</si>
  <si>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</si>
  <si>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</si>
  <si>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</si>
  <si>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</si>
  <si>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</si>
  <si>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</si>
  <si>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</si>
  <si>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</si>
  <si>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</si>
  <si>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</si>
  <si>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</si>
  <si>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</si>
  <si>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</si>
  <si>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</si>
  <si>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</si>
  <si>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</si>
  <si>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</si>
  <si>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</si>
  <si>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</si>
  <si>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</si>
  <si>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</si>
  <si>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</si>
  <si>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</si>
  <si>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</si>
  <si>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</si>
  <si>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</si>
  <si>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</si>
  <si>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</si>
  <si>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</si>
  <si>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</si>
  <si>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</si>
  <si>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</si>
  <si>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</si>
  <si>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</si>
  <si>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</si>
  <si>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</si>
  <si>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</si>
  <si>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</si>
  <si>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</si>
  <si>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</si>
  <si>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</si>
  <si>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</si>
  <si>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</si>
  <si>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</si>
  <si>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</si>
  <si>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</si>
  <si>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</si>
  <si>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</si>
  <si>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</si>
  <si>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</si>
  <si>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</si>
  <si>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</si>
  <si>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</si>
  <si>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</si>
  <si>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</si>
  <si>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</si>
  <si>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</si>
  <si>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</si>
  <si>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</si>
  <si>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</si>
  <si>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</si>
  <si>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</si>
  <si>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</si>
  <si>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</si>
  <si>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</si>
  <si>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</si>
  <si>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</si>
  <si>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</si>
  <si>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</si>
  <si>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</si>
  <si>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</si>
  <si>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</si>
  <si>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</si>
  <si>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</si>
  <si>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</si>
  <si>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</si>
  <si>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</si>
  <si>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</si>
  <si>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</si>
  <si>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</si>
  <si>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</si>
  <si>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</si>
  <si>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</si>
  <si>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</si>
  <si>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</si>
  <si>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</si>
  <si>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</si>
  <si>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</si>
  <si>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</si>
  <si>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</si>
  <si>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</si>
  <si>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</si>
  <si>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</si>
  <si>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</si>
  <si>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</si>
  <si>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</si>
  <si>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</si>
  <si>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</si>
  <si>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</si>
  <si>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</si>
  <si>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</si>
  <si>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</si>
  <si>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</si>
  <si>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</si>
  <si>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</si>
  <si>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</si>
  <si>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</si>
  <si>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</si>
  <si>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</si>
  <si>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</si>
  <si>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</si>
  <si>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</si>
  <si>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</si>
  <si>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</si>
  <si>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</si>
  <si>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</si>
  <si>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</si>
  <si>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</si>
  <si>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</si>
  <si>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</si>
  <si>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</si>
  <si>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</si>
  <si>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</si>
  <si>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</si>
  <si>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</si>
  <si>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</si>
  <si>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</si>
  <si>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</si>
  <si>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</si>
  <si>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</si>
  <si>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</si>
  <si>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</si>
  <si>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</si>
  <si>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</si>
  <si>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</si>
  <si>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</si>
  <si>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</si>
  <si>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</si>
  <si>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</si>
  <si>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</si>
  <si>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</si>
  <si>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</si>
  <si>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</si>
  <si>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</si>
  <si>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</si>
  <si>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</si>
  <si>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</si>
  <si>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</si>
  <si>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</si>
  <si>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</si>
  <si>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</si>
  <si>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</si>
  <si>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</si>
  <si>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</si>
  <si>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</si>
  <si>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</si>
  <si>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</si>
  <si>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</si>
  <si>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</si>
  <si>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</si>
  <si>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</si>
  <si>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</si>
  <si>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</si>
  <si>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</si>
  <si>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</si>
  <si>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</si>
  <si>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</si>
  <si>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</si>
  <si>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</si>
  <si>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</si>
  <si>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</si>
  <si>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</si>
  <si>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</si>
  <si>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</si>
  <si>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</si>
  <si>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</si>
  <si>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</si>
  <si>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</si>
  <si>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</si>
  <si>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</si>
  <si>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</si>
  <si>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</si>
  <si>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</si>
  <si>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</si>
  <si>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</si>
  <si>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</si>
  <si>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</si>
  <si>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</si>
  <si>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</si>
  <si>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</si>
  <si>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</si>
  <si>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</si>
  <si>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</si>
  <si>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</si>
  <si>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</si>
  <si>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</si>
  <si>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</si>
  <si>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</si>
  <si>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</si>
  <si>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</si>
  <si>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</si>
  <si>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</si>
  <si>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</si>
  <si>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</si>
  <si>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</si>
  <si>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</si>
  <si>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</si>
  <si>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</si>
  <si>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</si>
  <si>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</si>
  <si>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</si>
  <si>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</si>
  <si>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</si>
  <si>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</si>
  <si>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</si>
  <si>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</si>
  <si>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</si>
  <si>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</si>
  <si>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</si>
  <si>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</si>
  <si>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</si>
  <si>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</si>
  <si>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</si>
  <si>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</si>
  <si>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</si>
  <si>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</si>
  <si>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</si>
  <si>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</si>
  <si>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</si>
  <si>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</si>
  <si>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</si>
  <si>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</si>
  <si>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</si>
  <si>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</si>
  <si>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</si>
  <si>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</si>
  <si>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</si>
  <si>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</si>
  <si>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</si>
  <si>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</si>
  <si>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</si>
  <si>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</si>
  <si>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</si>
  <si>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</si>
  <si>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</si>
  <si>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</si>
  <si>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</si>
  <si>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</si>
  <si>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</si>
  <si>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</si>
  <si>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</si>
  <si>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</si>
  <si>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</si>
  <si>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</si>
  <si>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</si>
  <si>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</si>
  <si>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</si>
  <si>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</si>
  <si>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</si>
  <si>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</si>
  <si>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</si>
  <si>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</si>
  <si>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</si>
  <si>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</si>
  <si>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</si>
  <si>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</si>
  <si>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</si>
  <si>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</si>
  <si>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</si>
  <si>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</si>
  <si>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</si>
  <si>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</si>
  <si>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</si>
  <si>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</si>
  <si>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</si>
  <si>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</si>
  <si>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</si>
  <si>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</si>
  <si>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</si>
  <si>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</si>
  <si>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</si>
  <si>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</si>
  <si>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</si>
  <si>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</si>
  <si>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</si>
  <si>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</si>
  <si>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</si>
  <si>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</si>
  <si>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</si>
  <si>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</si>
  <si>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</si>
  <si>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</si>
  <si>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</si>
  <si>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</si>
  <si>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</si>
  <si>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</si>
  <si>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</si>
  <si>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</si>
  <si>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</si>
  <si>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</si>
  <si>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</si>
  <si>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</si>
  <si>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</si>
  <si>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</si>
  <si>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</si>
  <si>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</si>
  <si>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</si>
  <si>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</si>
  <si>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</si>
  <si>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</si>
  <si>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</si>
  <si>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</si>
  <si>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</si>
  <si>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</si>
  <si>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</si>
  <si>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</si>
  <si>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</si>
  <si>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</si>
  <si>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</si>
  <si>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</si>
  <si>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</si>
  <si>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</si>
  <si>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</si>
  <si>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</si>
  <si>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</si>
  <si>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</si>
  <si>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</si>
  <si>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</si>
  <si>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</si>
  <si>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</si>
  <si>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</si>
  <si>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</si>
  <si>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</si>
  <si>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</si>
  <si>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</si>
  <si>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</si>
  <si>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</si>
  <si>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</si>
  <si>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</si>
  <si>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</si>
  <si>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</si>
  <si>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</si>
  <si>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</si>
  <si>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</si>
  <si>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</si>
  <si>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</si>
  <si>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</si>
  <si>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</si>
  <si>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</si>
  <si>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</si>
  <si>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</si>
  <si>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</si>
  <si>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</si>
  <si>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</si>
  <si>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</si>
  <si>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</si>
  <si>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</si>
  <si>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</si>
  <si>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</si>
  <si>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</si>
  <si>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</si>
  <si>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</si>
  <si>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</si>
  <si>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</si>
  <si>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</si>
  <si>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</si>
  <si>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</si>
  <si>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</si>
  <si>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</si>
  <si>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</si>
  <si>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</si>
  <si>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</si>
  <si>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</si>
  <si>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</si>
  <si>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</si>
  <si>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</si>
  <si>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</si>
  <si>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</si>
  <si>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</si>
  <si>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</si>
  <si>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</si>
  <si>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</si>
  <si>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</si>
  <si>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</si>
  <si>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</si>
  <si>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</si>
  <si>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</si>
  <si>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</si>
  <si>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</si>
  <si>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</si>
  <si>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</si>
  <si>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</si>
  <si>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</si>
  <si>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</si>
  <si>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</si>
  <si>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</si>
  <si>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</si>
  <si>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</si>
  <si>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</si>
  <si>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</si>
  <si>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</si>
  <si>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</si>
  <si>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</si>
  <si>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</si>
  <si>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</si>
  <si>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</si>
  <si>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</si>
  <si>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</si>
  <si>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</si>
  <si>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</si>
  <si>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</si>
  <si>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</si>
  <si>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</si>
  <si>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</si>
  <si>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</si>
  <si>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</si>
  <si>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</si>
  <si>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</si>
  <si>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</si>
  <si>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</si>
  <si>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</si>
  <si>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</si>
  <si>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</si>
  <si>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</si>
  <si>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</si>
  <si>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</si>
  <si>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</si>
  <si>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</si>
  <si>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</si>
  <si>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</si>
  <si>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</si>
  <si>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</si>
  <si>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</si>
  <si>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</si>
  <si>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</si>
  <si>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</si>
  <si>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</si>
  <si>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</si>
  <si>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</si>
  <si>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</si>
  <si>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</si>
  <si>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</si>
  <si>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</si>
  <si>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</si>
  <si>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</si>
  <si>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</si>
  <si>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</si>
  <si>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</si>
  <si>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</si>
  <si>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</si>
  <si>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</si>
  <si>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</si>
  <si>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</si>
  <si>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</si>
  <si>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</si>
  <si>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</si>
  <si>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</si>
  <si>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</si>
  <si>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</si>
  <si>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</si>
  <si>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</si>
  <si>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</si>
  <si>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</si>
  <si>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</si>
  <si>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</si>
  <si>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</si>
  <si>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</si>
  <si>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</si>
  <si>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</si>
  <si>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</si>
  <si>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</si>
  <si>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</si>
  <si>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</si>
  <si>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</si>
  <si>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</si>
  <si>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</si>
  <si>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</si>
  <si>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</si>
  <si>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</si>
  <si>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</si>
  <si>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</si>
  <si>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</si>
  <si>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</si>
  <si>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</si>
  <si>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</si>
  <si>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</si>
  <si>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</si>
  <si>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</si>
  <si>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</si>
  <si>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</si>
  <si>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</si>
  <si>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</si>
  <si>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</si>
  <si>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</si>
  <si>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</si>
  <si>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</si>
  <si>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</si>
  <si>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</si>
  <si>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</si>
  <si>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</si>
  <si>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</si>
  <si>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</si>
  <si>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</si>
  <si>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</si>
  <si>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</si>
  <si>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</si>
  <si>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</si>
  <si>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</si>
  <si>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</si>
  <si>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</si>
  <si>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</si>
  <si>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</si>
  <si>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</si>
  <si>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</si>
  <si>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</si>
  <si>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</si>
  <si>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</si>
  <si>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</si>
  <si>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</si>
  <si>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</si>
  <si>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</si>
  <si>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</si>
  <si>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</si>
  <si>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</si>
  <si>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</si>
  <si>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</si>
  <si>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</si>
  <si>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</si>
  <si>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</si>
  <si>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</si>
  <si>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</si>
  <si>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</si>
  <si>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</si>
  <si>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</si>
  <si>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</si>
  <si>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</si>
  <si>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</si>
  <si>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</si>
  <si>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</si>
  <si>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</si>
  <si>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</si>
  <si>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</si>
  <si>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</si>
  <si>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</si>
  <si>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</si>
  <si>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</si>
  <si>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</si>
  <si>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</si>
  <si>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</si>
  <si>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</si>
  <si>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</si>
  <si>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</si>
  <si>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</si>
  <si>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</si>
  <si>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</si>
  <si>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</si>
  <si>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</si>
  <si>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</si>
  <si>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</si>
  <si>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</si>
  <si>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</si>
  <si>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</si>
  <si>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</si>
  <si>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</si>
  <si>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</si>
  <si>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</si>
  <si>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</si>
  <si>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</si>
  <si>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</si>
  <si>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</si>
  <si>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</si>
  <si>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</si>
  <si>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</si>
  <si>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</si>
  <si>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</si>
  <si>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</si>
  <si>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</si>
  <si>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</si>
  <si>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</si>
  <si>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</si>
  <si>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</si>
  <si>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</si>
  <si>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</si>
  <si>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</si>
  <si>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</si>
  <si>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</si>
  <si>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</si>
  <si>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</si>
  <si>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</si>
  <si>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</si>
  <si>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</si>
  <si>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</si>
  <si>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</si>
  <si>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</si>
  <si>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</si>
  <si>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</si>
  <si>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</si>
  <si>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</si>
  <si>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</si>
  <si>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</si>
  <si>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</si>
  <si>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</si>
  <si>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</si>
  <si>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</si>
  <si>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</si>
  <si>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</si>
  <si>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</si>
  <si>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</si>
  <si>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</si>
  <si>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</si>
  <si>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</si>
  <si>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</si>
  <si>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</si>
  <si>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</si>
  <si>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</si>
  <si>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</si>
  <si>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</si>
  <si>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</si>
  <si>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</si>
  <si>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</si>
  <si>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</si>
  <si>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</si>
  <si>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</si>
  <si>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</si>
  <si>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</si>
  <si>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</si>
  <si>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</si>
  <si>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</si>
  <si>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</si>
  <si>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</si>
  <si>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</si>
  <si>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</si>
  <si>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</si>
  <si>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</si>
  <si>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</si>
  <si>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</si>
  <si>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</si>
  <si>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</si>
  <si>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</si>
  <si>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</si>
  <si>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</si>
  <si>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</si>
  <si>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</si>
  <si>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</si>
  <si>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</si>
  <si>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</si>
  <si>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</si>
  <si>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</si>
  <si>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</si>
  <si>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</si>
  <si>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</si>
  <si>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</si>
  <si>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</si>
  <si>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</si>
  <si>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</si>
  <si>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</si>
  <si>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</si>
  <si>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</si>
  <si>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</si>
  <si>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</si>
  <si>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</si>
  <si>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</si>
  <si>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</si>
  <si>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</si>
  <si>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</si>
  <si>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</si>
  <si>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</si>
  <si>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</si>
  <si>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</si>
  <si>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</si>
  <si>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</si>
  <si>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</si>
  <si>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</si>
  <si>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</si>
  <si>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</si>
  <si>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</si>
  <si>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</si>
  <si>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</si>
  <si>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</si>
  <si>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</si>
  <si>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</si>
  <si>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</si>
  <si>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</si>
  <si>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</si>
  <si>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</si>
  <si>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</si>
  <si>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</si>
  <si>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</si>
  <si>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</si>
  <si>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</si>
  <si>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</si>
  <si>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</si>
  <si>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</si>
  <si>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</si>
  <si>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</si>
  <si>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</si>
  <si>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</si>
  <si>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</si>
  <si>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</si>
  <si>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</si>
  <si>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</si>
  <si>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</si>
  <si>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</si>
  <si>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</si>
  <si>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</si>
  <si>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</si>
  <si>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</si>
  <si>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</si>
  <si>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</si>
  <si>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</si>
  <si>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</si>
  <si>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</si>
  <si>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</si>
  <si>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</si>
  <si>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</si>
  <si>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</si>
  <si>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</si>
  <si>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</si>
  <si>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</si>
  <si>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</si>
  <si>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</si>
  <si>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</si>
  <si>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</si>
  <si>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</si>
  <si>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</si>
  <si>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</si>
  <si>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</si>
  <si>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</si>
  <si>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</si>
  <si>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</si>
  <si>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</si>
  <si>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</si>
  <si>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</si>
  <si>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</si>
  <si>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</si>
  <si>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</si>
  <si>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</si>
  <si>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</si>
  <si>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</si>
  <si>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</si>
  <si>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</si>
  <si>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</si>
  <si>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</si>
  <si>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</si>
  <si>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</si>
  <si>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</si>
  <si>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</si>
  <si>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</si>
  <si>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</si>
  <si>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</si>
  <si>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</si>
  <si>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</si>
  <si>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</si>
  <si>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</si>
  <si>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</si>
  <si>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</si>
  <si>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</si>
  <si>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</si>
  <si>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</si>
  <si>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</si>
  <si>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</si>
  <si>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</si>
  <si>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</si>
  <si>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</si>
  <si>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</si>
  <si>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</si>
  <si>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</si>
  <si>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</si>
  <si>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</si>
  <si>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</si>
  <si>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</si>
  <si>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</si>
  <si>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</si>
  <si>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</si>
  <si>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</si>
  <si>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</si>
  <si>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</si>
  <si>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</si>
  <si>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</si>
  <si>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</si>
  <si>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</si>
  <si>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</si>
  <si>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</si>
  <si>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</si>
  <si>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</si>
  <si>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</si>
  <si>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</si>
  <si>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</si>
  <si>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</si>
  <si>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</si>
  <si>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</si>
  <si>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</si>
  <si>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</si>
  <si>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</si>
  <si>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</si>
  <si>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</si>
  <si>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</si>
  <si>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</si>
  <si>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</si>
  <si>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</si>
  <si>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</si>
  <si>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</si>
  <si>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</si>
  <si>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</si>
  <si>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</si>
  <si>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</si>
  <si>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</si>
  <si>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</si>
  <si>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</si>
  <si>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</si>
  <si>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</si>
  <si>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</si>
  <si>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</si>
  <si>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</si>
  <si>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</si>
  <si>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</si>
  <si>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</si>
  <si>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</si>
  <si>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</si>
  <si>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</si>
  <si>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</si>
  <si>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</si>
  <si>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</si>
  <si>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</si>
  <si>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</si>
  <si>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</si>
  <si>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</si>
  <si>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</si>
  <si>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</si>
  <si>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</si>
  <si>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</si>
  <si>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</si>
  <si>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</si>
  <si>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</si>
  <si>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</si>
  <si>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</si>
  <si>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</si>
  <si>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</si>
  <si>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</si>
  <si>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</si>
  <si>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</si>
  <si>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</si>
  <si>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</si>
  <si>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</si>
  <si>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</si>
  <si>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</si>
  <si>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</si>
  <si>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</si>
  <si>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</si>
  <si>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</si>
  <si>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</si>
  <si>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</si>
  <si>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</si>
  <si>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</si>
  <si>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</si>
  <si>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</si>
  <si>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</si>
  <si>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</si>
  <si>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</si>
  <si>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</si>
  <si>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</si>
  <si>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</si>
  <si>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</si>
  <si>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</si>
  <si>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</si>
  <si>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</si>
  <si>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</si>
  <si>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</si>
  <si>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</si>
  <si>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</si>
  <si>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</si>
  <si>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</si>
  <si>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</si>
  <si>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</si>
  <si>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</si>
  <si>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</si>
  <si>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</si>
  <si>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</si>
  <si>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</si>
  <si>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</si>
  <si>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</si>
  <si>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</si>
  <si>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</si>
  <si>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</si>
  <si>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</si>
  <si>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</si>
  <si>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</si>
  <si>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</si>
  <si>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</si>
  <si>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</si>
  <si>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</si>
  <si>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</si>
  <si>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</si>
  <si>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</si>
  <si>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</si>
  <si>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</si>
  <si>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</si>
  <si>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</si>
  <si>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</si>
  <si>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</si>
  <si>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</si>
  <si>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</si>
  <si>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</si>
  <si>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</si>
  <si>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</si>
  <si>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</si>
  <si>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</si>
  <si>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</si>
  <si>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</si>
  <si>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</si>
  <si>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</si>
  <si>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</si>
  <si>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</si>
  <si>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</si>
  <si>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</si>
  <si>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</si>
  <si>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</si>
  <si>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</si>
  <si>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</si>
  <si>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</si>
  <si>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</si>
  <si>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</si>
  <si>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</si>
  <si>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</si>
  <si>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</si>
  <si>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</si>
  <si>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</si>
  <si>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</si>
  <si>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</si>
  <si>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</si>
  <si>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</si>
  <si>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</si>
  <si>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</si>
  <si>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</si>
  <si>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</si>
  <si>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</si>
  <si>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</si>
  <si>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</si>
  <si>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</si>
  <si>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</si>
  <si>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</si>
  <si>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</si>
  <si>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</si>
  <si>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</si>
  <si>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</si>
  <si>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</si>
  <si>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</si>
  <si>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</si>
  <si>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</si>
  <si>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</si>
  <si>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</si>
  <si>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</si>
  <si>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</si>
  <si>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</si>
  <si>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</si>
  <si>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</si>
  <si>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</si>
  <si>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</si>
  <si>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</si>
  <si>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</si>
  <si>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</si>
  <si>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</si>
  <si>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</si>
  <si>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</si>
  <si>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</si>
  <si>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</si>
  <si>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</si>
  <si>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</si>
  <si>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</si>
  <si>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</si>
  <si>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</si>
  <si>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</si>
  <si>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</si>
  <si>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</si>
  <si>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</si>
  <si>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</si>
  <si>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</si>
  <si>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</si>
  <si>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</si>
  <si>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</si>
  <si>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</si>
  <si>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</si>
  <si>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</si>
  <si>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</si>
  <si>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</si>
  <si>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</si>
  <si>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</si>
  <si>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</si>
  <si>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</si>
  <si>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</si>
  <si>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</si>
  <si>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</si>
  <si>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</si>
  <si>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</si>
  <si>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</si>
  <si>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</si>
  <si>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</si>
  <si>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</si>
  <si>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</si>
  <si>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</si>
  <si>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</si>
  <si>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</si>
  <si>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</si>
  <si>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</si>
  <si>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</si>
  <si>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</si>
  <si>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</si>
  <si>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</si>
  <si>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</si>
  <si>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</si>
  <si>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</si>
  <si>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</si>
  <si>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</si>
  <si>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</si>
  <si>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</si>
  <si>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</si>
  <si>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</si>
  <si>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</si>
  <si>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</si>
  <si>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</si>
  <si>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</si>
  <si>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</si>
  <si>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</si>
  <si>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</si>
  <si>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</si>
  <si>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</si>
  <si>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</si>
  <si>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</si>
  <si>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</si>
  <si>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</si>
  <si>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</si>
  <si>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</si>
  <si>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</si>
  <si>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</si>
  <si>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</si>
  <si>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</si>
  <si>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</si>
  <si>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</si>
  <si>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</si>
  <si>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</si>
  <si>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</si>
  <si>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</si>
  <si>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</si>
  <si>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</si>
  <si>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</si>
  <si>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</si>
  <si>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</si>
  <si>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</si>
  <si>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</si>
  <si>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</si>
  <si>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</si>
  <si>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</si>
  <si>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</si>
  <si>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</si>
  <si>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</si>
  <si>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</si>
  <si>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</si>
  <si>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</si>
  <si>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</si>
  <si>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</si>
  <si>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</si>
  <si>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</si>
  <si>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</si>
  <si>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</si>
  <si>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</si>
  <si>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</si>
  <si>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</si>
  <si>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</si>
  <si>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</si>
  <si>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</si>
  <si>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</si>
  <si>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</si>
  <si>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</si>
  <si>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</si>
  <si>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</si>
  <si>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</si>
  <si>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</si>
  <si>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</si>
  <si>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</si>
  <si>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</si>
  <si>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</si>
  <si>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</si>
  <si>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</si>
  <si>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</si>
  <si>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</si>
  <si>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</si>
  <si>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</si>
  <si>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</si>
  <si>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</si>
  <si>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</si>
  <si>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</si>
  <si>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</si>
  <si>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</si>
  <si>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</si>
  <si>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</si>
  <si>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</si>
  <si>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</si>
  <si>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</si>
  <si>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</si>
  <si>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</si>
  <si>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</si>
  <si>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</si>
  <si>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</si>
  <si>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</si>
  <si>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</si>
  <si>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</si>
  <si>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</si>
  <si>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</si>
  <si>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</si>
  <si>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</si>
  <si>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</si>
  <si>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</si>
  <si>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</si>
  <si>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</si>
  <si>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</si>
  <si>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</si>
  <si>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</si>
  <si>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</si>
  <si>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</si>
  <si>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</si>
  <si>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</si>
  <si>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</si>
  <si>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</si>
  <si>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</si>
  <si>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</si>
  <si>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</si>
  <si>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</si>
  <si>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</si>
  <si>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</si>
  <si>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</si>
  <si>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</si>
  <si>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</si>
  <si>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</si>
  <si>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</si>
  <si>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</si>
  <si>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</si>
  <si>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</si>
  <si>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</si>
  <si>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</si>
  <si>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</si>
  <si>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</si>
  <si>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</si>
  <si>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</si>
  <si>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</si>
  <si>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</si>
  <si>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</si>
  <si>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</si>
  <si>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</si>
  <si>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</si>
  <si>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</si>
  <si>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</si>
  <si>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</si>
  <si>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</si>
  <si>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</si>
  <si>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</si>
  <si>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</si>
  <si>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</si>
  <si>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</si>
  <si>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</si>
  <si>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</si>
  <si>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</si>
  <si>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</si>
  <si>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</si>
  <si>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</si>
  <si>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</si>
  <si>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</si>
  <si>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</si>
  <si>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</si>
  <si>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</si>
  <si>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</si>
  <si>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</si>
  <si>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</si>
  <si>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</si>
  <si>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</si>
  <si>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</si>
  <si>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</si>
  <si>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</si>
  <si>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</si>
  <si>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</si>
  <si>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</si>
  <si>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</si>
  <si>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</si>
  <si>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</si>
  <si>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</si>
  <si>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</si>
  <si>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</si>
  <si>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</si>
  <si>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</si>
  <si>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</si>
  <si>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</si>
  <si>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</si>
  <si>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</si>
  <si>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</si>
  <si>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</si>
  <si>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</si>
  <si>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</si>
  <si>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</si>
  <si>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</si>
  <si>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</si>
  <si>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</si>
  <si>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</si>
  <si>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</si>
  <si>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</si>
  <si>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</si>
  <si>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</si>
  <si>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</si>
  <si>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</si>
  <si>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</si>
  <si>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</si>
  <si>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</si>
  <si>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</si>
  <si>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</si>
  <si>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</si>
  <si>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</si>
  <si>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</si>
  <si>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</si>
  <si>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</si>
  <si>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</si>
  <si>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</si>
  <si>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</si>
  <si>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</si>
  <si>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</si>
  <si>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</si>
  <si>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</si>
  <si>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</si>
  <si>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</si>
  <si>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</si>
  <si>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</si>
  <si>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</si>
  <si>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</si>
  <si>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</si>
  <si>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</si>
  <si>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</si>
  <si>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</si>
  <si>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</si>
  <si>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</si>
  <si>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</si>
  <si>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</si>
  <si>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</si>
  <si>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</si>
  <si>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</si>
  <si>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</si>
  <si>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</si>
  <si>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</si>
  <si>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</si>
  <si>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</si>
  <si>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</si>
  <si>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</si>
  <si>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</si>
  <si>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</si>
  <si>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</si>
  <si>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</si>
  <si>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</si>
  <si>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</si>
  <si>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</si>
  <si>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</si>
  <si>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</si>
  <si>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</si>
  <si>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</si>
  <si>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</si>
  <si>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</si>
  <si>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</si>
  <si>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</si>
  <si>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</si>
  <si>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</si>
  <si>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</si>
  <si>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</si>
  <si>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</si>
  <si>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</si>
  <si>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</si>
  <si>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</si>
  <si>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</si>
  <si>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</si>
  <si>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</si>
  <si>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</si>
  <si>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</si>
  <si>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</si>
  <si>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</si>
  <si>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</si>
  <si>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</si>
  <si>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</si>
  <si>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</si>
  <si>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</si>
  <si>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</si>
  <si>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</si>
  <si>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</si>
  <si>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</si>
  <si>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</si>
  <si>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</si>
  <si>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</si>
  <si>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</si>
  <si>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</si>
  <si>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</si>
  <si>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</si>
  <si>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</si>
  <si>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</si>
  <si>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</si>
  <si>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</si>
  <si>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</si>
  <si>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</si>
  <si>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</si>
  <si>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</si>
  <si>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</si>
  <si>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</si>
  <si>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</si>
  <si>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</si>
  <si>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</si>
  <si>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</si>
  <si>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</si>
  <si>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</si>
  <si>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</si>
  <si>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</si>
  <si>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</si>
  <si>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</si>
  <si>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</si>
  <si>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</si>
  <si>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</si>
  <si>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</si>
  <si>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</si>
  <si>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</si>
  <si>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</si>
  <si>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</si>
  <si>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</si>
  <si>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</si>
  <si>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</si>
  <si>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</si>
  <si>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</si>
  <si>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</si>
  <si>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</si>
  <si>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</si>
  <si>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</si>
  <si>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</si>
  <si>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</si>
  <si>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</si>
  <si>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</si>
  <si>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</si>
  <si>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</si>
  <si>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</si>
  <si>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</si>
  <si>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</si>
  <si>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</si>
  <si>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</si>
  <si>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</si>
  <si>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</si>
  <si>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</si>
  <si>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</si>
  <si>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</si>
  <si>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</si>
  <si>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</si>
  <si>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</si>
  <si>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</si>
  <si>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</si>
  <si>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</si>
  <si>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</si>
  <si>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</si>
  <si>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</si>
  <si>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</si>
  <si>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</si>
  <si>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</si>
  <si>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</si>
  <si>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</si>
  <si>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</si>
  <si>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</si>
  <si>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</si>
  <si>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</si>
  <si>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</si>
  <si>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</si>
  <si>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</si>
  <si>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</si>
  <si>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</si>
  <si>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</si>
  <si>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</si>
  <si>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</si>
  <si>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</si>
  <si>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</si>
  <si>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</si>
  <si>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</si>
  <si>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</si>
  <si>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</si>
  <si>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</si>
  <si>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</si>
  <si>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</si>
  <si>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</si>
  <si>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</si>
  <si>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</si>
  <si>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</si>
  <si>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</si>
  <si>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</si>
  <si>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</si>
  <si>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</si>
  <si>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</si>
  <si>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</si>
  <si>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</si>
  <si>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</si>
  <si>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</si>
  <si>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</si>
  <si>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</si>
  <si>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</si>
  <si>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</si>
  <si>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</si>
  <si>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</si>
  <si>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</si>
  <si>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</si>
  <si>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</si>
  <si>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</si>
  <si>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</si>
  <si>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</si>
  <si>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</si>
  <si>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</si>
  <si>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</si>
  <si>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</si>
  <si>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</si>
  <si>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</si>
  <si>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</si>
  <si>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</si>
  <si>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</si>
  <si>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</si>
  <si>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</si>
  <si>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</si>
  <si>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</si>
  <si>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</si>
  <si>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</si>
  <si>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</si>
  <si>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</si>
  <si>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</si>
  <si>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</si>
  <si>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</si>
  <si>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</si>
  <si>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</si>
  <si>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</si>
  <si>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</si>
  <si>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</si>
  <si>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</si>
  <si>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</si>
  <si>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</si>
  <si>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</si>
  <si>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</si>
  <si>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</si>
  <si>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</si>
  <si>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</si>
  <si>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</si>
  <si>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</si>
  <si>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</si>
  <si>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</si>
  <si>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</si>
  <si>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</si>
  <si>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</si>
  <si>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</si>
  <si>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</si>
  <si>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</si>
  <si>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</si>
  <si>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</si>
  <si>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</si>
  <si>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</si>
  <si>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</si>
  <si>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</si>
  <si>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</si>
  <si>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</si>
  <si>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</si>
  <si>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</si>
  <si>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</si>
  <si>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</si>
  <si>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</si>
  <si>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</si>
  <si>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</si>
  <si>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</si>
  <si>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</si>
  <si>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</si>
  <si>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</si>
  <si>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</si>
  <si>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</si>
  <si>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</si>
  <si>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</si>
  <si>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</si>
  <si>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</si>
  <si>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</si>
  <si>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</si>
  <si>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</si>
  <si>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</si>
  <si>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</si>
  <si>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</si>
  <si>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</si>
  <si>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</si>
  <si>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</si>
  <si>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</si>
  <si>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</si>
  <si>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</si>
  <si>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</si>
  <si>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</si>
  <si>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</si>
  <si>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</si>
  <si>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</si>
  <si>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</si>
  <si>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</si>
  <si>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</si>
  <si>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</si>
  <si>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</si>
  <si>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</si>
  <si>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</si>
  <si>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</si>
  <si>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</si>
  <si>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</si>
  <si>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</si>
  <si>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</si>
  <si>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</si>
  <si>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</si>
  <si>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</si>
  <si>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</si>
  <si>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</si>
  <si>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</si>
  <si>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</si>
  <si>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</si>
  <si>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</si>
  <si>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</si>
  <si>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</si>
  <si>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</si>
  <si>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</si>
  <si>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</si>
  <si>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</si>
  <si>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</si>
  <si>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</si>
  <si>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</si>
  <si>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</si>
  <si>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</si>
  <si>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</si>
  <si>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</si>
  <si>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</si>
  <si>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</si>
  <si>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</si>
  <si>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</si>
  <si>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</si>
  <si>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</si>
  <si>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</si>
  <si>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</si>
  <si>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</si>
  <si>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</si>
  <si>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</si>
  <si>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</si>
  <si>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</si>
  <si>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</si>
  <si>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</si>
  <si>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</si>
  <si>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</si>
  <si>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</si>
  <si>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</si>
  <si>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</si>
  <si>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</si>
  <si>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</si>
  <si>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</si>
  <si>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</si>
  <si>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</si>
  <si>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</si>
  <si>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</si>
  <si>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</si>
  <si>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</si>
  <si>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</si>
  <si>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</si>
  <si>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</si>
  <si>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</si>
  <si>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</si>
  <si>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</si>
  <si>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</si>
  <si>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</si>
  <si>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</si>
  <si>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</si>
  <si>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</si>
  <si>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</si>
  <si>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</si>
  <si>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</si>
  <si>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</si>
  <si>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</si>
  <si>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</si>
  <si>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</si>
  <si>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</si>
  <si>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</si>
  <si>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</si>
  <si>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</si>
  <si>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</si>
  <si>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</si>
  <si>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</si>
  <si>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</si>
  <si>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</si>
  <si>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</si>
  <si>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</si>
  <si>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</si>
  <si>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</si>
  <si>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</si>
  <si>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</si>
  <si>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</si>
  <si>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</si>
  <si>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</si>
  <si>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</si>
  <si>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</si>
  <si>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</si>
  <si>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</si>
  <si>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</si>
  <si>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</si>
  <si>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</si>
  <si>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</si>
  <si>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</si>
  <si>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</si>
  <si>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</si>
  <si>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</si>
  <si>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</si>
  <si>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</si>
  <si>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</si>
  <si>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</si>
  <si>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</si>
  <si>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</si>
  <si>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</si>
  <si>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</si>
  <si>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</si>
  <si>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</si>
  <si>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</si>
  <si>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</si>
  <si>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</si>
  <si>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</si>
  <si>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</si>
  <si>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</si>
  <si>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</si>
  <si>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</si>
  <si>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</si>
  <si>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</si>
  <si>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</si>
  <si>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</si>
  <si>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</si>
  <si>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</si>
  <si>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</si>
  <si>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</si>
  <si>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</si>
  <si>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</si>
  <si>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</si>
  <si>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</si>
  <si>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</si>
  <si>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</si>
  <si>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</si>
  <si>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</si>
  <si>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</si>
  <si>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</si>
  <si>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</si>
  <si>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</si>
  <si>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</si>
  <si>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</si>
  <si>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</si>
  <si>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</si>
  <si>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</si>
  <si>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</si>
  <si>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</si>
  <si>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</si>
  <si>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</si>
  <si>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</si>
  <si>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</si>
  <si>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</si>
  <si>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</si>
  <si>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</si>
  <si>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</si>
  <si>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</si>
  <si>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</si>
  <si>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</si>
  <si>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</si>
  <si>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</si>
  <si>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</si>
  <si>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</si>
  <si>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</si>
  <si>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</si>
  <si>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</si>
  <si>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</si>
  <si>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</si>
  <si>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</si>
  <si>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</si>
  <si>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</si>
  <si>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</si>
  <si>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</si>
  <si>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</si>
  <si>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</si>
  <si>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</si>
  <si>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</si>
  <si>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</si>
  <si>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</si>
  <si>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</si>
  <si>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</si>
  <si>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</si>
  <si>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</si>
  <si>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</si>
  <si>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</si>
  <si>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</si>
  <si>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</si>
  <si>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</si>
  <si>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</si>
  <si>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</si>
  <si>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</si>
  <si>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</si>
  <si>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</si>
  <si>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</si>
  <si>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</si>
  <si>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</si>
  <si>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</si>
  <si>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</si>
  <si>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</si>
  <si>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</si>
  <si>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</si>
  <si>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</si>
  <si>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</si>
  <si>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</si>
  <si>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</si>
  <si>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</si>
  <si>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</si>
  <si>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</si>
  <si>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</si>
  <si>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</si>
  <si>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</si>
  <si>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</si>
  <si>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</si>
  <si>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</si>
  <si>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</si>
  <si>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</si>
  <si>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</si>
  <si>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</si>
  <si>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</si>
  <si>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</si>
  <si>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</si>
  <si>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</si>
  <si>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</si>
  <si>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</si>
  <si>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</si>
  <si>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</si>
  <si>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</si>
  <si>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</si>
  <si>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</si>
  <si>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</si>
  <si>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</si>
  <si>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</si>
  <si>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</si>
  <si>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</si>
  <si>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</si>
  <si>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</si>
  <si>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</si>
  <si>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</si>
  <si>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</si>
  <si>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</si>
  <si>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</si>
  <si>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</si>
  <si>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</si>
  <si>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</si>
  <si>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</si>
  <si>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</si>
  <si>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</si>
  <si>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</si>
  <si>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</si>
  <si>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</si>
  <si>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</si>
  <si>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</si>
  <si>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</si>
  <si>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</si>
  <si>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</si>
  <si>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</si>
  <si>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</si>
  <si>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</si>
  <si>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</si>
  <si>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</si>
  <si>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</si>
  <si>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</si>
  <si>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</si>
  <si>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</si>
  <si>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</si>
  <si>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</si>
  <si>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</si>
  <si>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</si>
  <si>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</si>
  <si>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</si>
  <si>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</si>
  <si>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</si>
  <si>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</si>
  <si>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</si>
  <si>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</si>
  <si>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</si>
  <si>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</si>
  <si>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</si>
  <si>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</si>
  <si>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</si>
  <si>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</si>
  <si>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</si>
  <si>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</si>
  <si>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</si>
  <si>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</si>
  <si>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</si>
  <si>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</si>
  <si>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</si>
  <si>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</si>
  <si>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</si>
  <si>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</si>
  <si>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</si>
  <si>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</si>
  <si>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</si>
  <si>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</si>
  <si>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</si>
  <si>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</si>
  <si>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</si>
  <si>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</si>
  <si>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</si>
  <si>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</si>
  <si>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</si>
  <si>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</si>
  <si>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</si>
  <si>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</si>
  <si>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</si>
  <si>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</si>
  <si>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</si>
  <si>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</si>
  <si>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</si>
  <si>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</si>
  <si>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</si>
  <si>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</si>
  <si>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</si>
  <si>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</si>
  <si>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</si>
  <si>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</si>
  <si>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</si>
  <si>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</si>
  <si>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</si>
  <si>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</si>
  <si>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</si>
  <si>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</si>
  <si>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</si>
  <si>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</si>
  <si>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</si>
  <si>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</si>
  <si>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</si>
  <si>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</si>
  <si>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</si>
  <si>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</si>
  <si>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</si>
  <si>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</si>
  <si>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</si>
  <si>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</si>
  <si>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</si>
  <si>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</si>
  <si>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</si>
  <si>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</si>
  <si>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</si>
  <si>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</si>
  <si>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</si>
  <si>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</si>
  <si>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</si>
  <si>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</si>
  <si>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</si>
  <si>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</si>
  <si>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</si>
  <si>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</si>
  <si>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</si>
  <si>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</si>
  <si>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</si>
  <si>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</si>
  <si>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</si>
  <si>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</si>
  <si>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</si>
  <si>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</si>
  <si>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</si>
  <si>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</si>
  <si>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</si>
  <si>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</si>
  <si>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</si>
  <si>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</si>
  <si>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</si>
  <si>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</si>
  <si>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</si>
  <si>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</si>
  <si>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</si>
  <si>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</si>
  <si>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</si>
  <si>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</si>
  <si>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</si>
  <si>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</si>
  <si>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</si>
  <si>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</si>
  <si>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</si>
  <si>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</si>
  <si>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</si>
  <si>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</si>
  <si>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</si>
  <si>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</si>
  <si>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</si>
  <si>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</si>
  <si>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</si>
  <si>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</si>
  <si>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</si>
  <si>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</si>
  <si>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</si>
  <si>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</si>
  <si>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</si>
  <si>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</si>
  <si>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</si>
  <si>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</si>
  <si>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</si>
  <si>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</si>
  <si>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</si>
  <si>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</si>
  <si>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</si>
  <si>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</si>
  <si>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</si>
  <si>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</si>
  <si>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</si>
  <si>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</si>
  <si>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</si>
  <si>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</si>
  <si>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</si>
  <si>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</si>
  <si>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</si>
  <si>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</si>
  <si>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</si>
  <si>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</si>
  <si>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</si>
  <si>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</si>
  <si>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</si>
  <si>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</si>
  <si>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</si>
  <si>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</si>
  <si>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</si>
  <si>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</si>
  <si>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</si>
  <si>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</si>
  <si>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</si>
  <si>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</si>
  <si>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</si>
  <si>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</si>
  <si>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</si>
  <si>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</si>
  <si>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</si>
  <si>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</si>
  <si>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</si>
  <si>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</si>
  <si>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</si>
  <si>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</si>
  <si>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</si>
  <si>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</si>
  <si>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</si>
  <si>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</si>
  <si>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</si>
  <si>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</si>
  <si>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</si>
  <si>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</si>
  <si>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</si>
  <si>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</si>
  <si>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</si>
  <si>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</si>
  <si>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</si>
  <si>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</si>
  <si>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</si>
  <si>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</si>
  <si>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</si>
  <si>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</si>
  <si>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</si>
  <si>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</si>
  <si>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</si>
  <si>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</si>
  <si>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</si>
  <si>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</si>
  <si>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</si>
  <si>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</si>
  <si>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</si>
  <si>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</si>
  <si>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</si>
  <si>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</si>
  <si>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</si>
  <si>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</si>
  <si>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</si>
  <si>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</si>
  <si>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</si>
  <si>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</si>
  <si>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</si>
  <si>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</si>
  <si>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</si>
  <si>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</si>
  <si>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</si>
  <si>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</si>
  <si>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</si>
  <si>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</si>
  <si>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</si>
  <si>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</si>
  <si>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</si>
  <si>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</si>
  <si>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</si>
  <si>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</si>
  <si>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</si>
  <si>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</si>
  <si>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</si>
  <si>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</si>
  <si>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</si>
  <si>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</si>
  <si>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</si>
  <si>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</si>
  <si>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</si>
  <si>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</si>
  <si>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</si>
  <si>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</si>
  <si>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</si>
  <si>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</si>
  <si>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</si>
  <si>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</si>
  <si>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</si>
  <si>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</si>
  <si>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</si>
  <si>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</si>
  <si>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</si>
  <si>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</si>
  <si>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</si>
  <si>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</si>
  <si>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</si>
  <si>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</si>
  <si>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</si>
  <si>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</si>
  <si>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</si>
  <si>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</si>
  <si>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</si>
  <si>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</si>
  <si>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</si>
  <si>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</si>
  <si>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</si>
  <si>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</si>
  <si>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</si>
  <si>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</si>
  <si>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</si>
  <si>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</si>
  <si>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</si>
  <si>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</si>
  <si>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</si>
  <si>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</si>
  <si>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</si>
  <si>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</si>
  <si>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</si>
  <si>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</si>
  <si>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</si>
  <si>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</si>
  <si>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</si>
  <si>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</si>
  <si>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</si>
  <si>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</si>
  <si>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</si>
  <si>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</si>
  <si>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</si>
  <si>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</si>
  <si>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</si>
  <si>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</si>
  <si>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</si>
  <si>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</si>
  <si>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</si>
  <si>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</si>
  <si>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</si>
  <si>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</si>
  <si>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</si>
  <si>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</si>
  <si>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</si>
  <si>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</si>
  <si>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</si>
  <si>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</si>
  <si>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</si>
  <si>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</si>
  <si>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</si>
  <si>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</si>
  <si>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</si>
  <si>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</si>
  <si>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</si>
  <si>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</si>
  <si>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</si>
  <si>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</si>
  <si>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</si>
  <si>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</si>
  <si>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</si>
  <si>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</si>
  <si>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</si>
  <si>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</si>
  <si>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</si>
  <si>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</si>
  <si>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</si>
  <si>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</si>
  <si>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</si>
  <si>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</si>
  <si>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</si>
  <si>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</si>
  <si>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</si>
  <si>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</si>
  <si>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</si>
  <si>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</si>
  <si>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</si>
  <si>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</si>
  <si>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</si>
  <si>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</si>
  <si>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</si>
  <si>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</si>
  <si>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</si>
  <si>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</si>
  <si>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</si>
  <si>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</si>
  <si>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</si>
  <si>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</si>
  <si>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</si>
  <si>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</si>
  <si>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</si>
  <si>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</si>
  <si>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</si>
  <si>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</si>
  <si>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</si>
  <si>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</si>
  <si>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</si>
  <si>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</si>
  <si>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</si>
  <si>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</si>
  <si>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</si>
  <si>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</si>
  <si>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</si>
  <si>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</si>
  <si>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</si>
  <si>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</si>
  <si>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</si>
  <si>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</si>
  <si>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</si>
  <si>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</si>
  <si>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</si>
  <si>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</si>
  <si>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</si>
  <si>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</si>
  <si>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</si>
  <si>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</si>
  <si>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</si>
  <si>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</si>
  <si>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</si>
  <si>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</si>
  <si>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</si>
  <si>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</si>
  <si>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</si>
  <si>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</si>
  <si>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</si>
  <si>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</si>
  <si>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</si>
  <si>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</si>
  <si>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</si>
  <si>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</si>
  <si>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</si>
  <si>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</si>
  <si>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</si>
  <si>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</si>
  <si>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</si>
  <si>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</si>
  <si>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</si>
  <si>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</si>
  <si>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</si>
  <si>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</si>
  <si>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</si>
  <si>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</si>
  <si>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</si>
  <si>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</si>
  <si>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</si>
  <si>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</si>
  <si>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</si>
  <si>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</si>
  <si>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</si>
  <si>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</si>
  <si>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</si>
  <si>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</si>
  <si>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</si>
  <si>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</si>
  <si>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</si>
  <si>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</si>
  <si>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</si>
  <si>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</si>
  <si>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</si>
  <si>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</si>
  <si>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</si>
  <si>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</si>
  <si>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</si>
  <si>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</si>
  <si>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</si>
  <si>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</si>
  <si>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</si>
  <si>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</si>
  <si>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</si>
  <si>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</si>
  <si>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</si>
  <si>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</si>
  <si>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</si>
  <si>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</si>
  <si>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</si>
  <si>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</si>
  <si>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</si>
  <si>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</si>
  <si>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</si>
  <si>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</si>
  <si>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</si>
  <si>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</si>
  <si>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</si>
  <si>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</si>
  <si>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</si>
  <si>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</si>
  <si>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</si>
  <si>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</si>
  <si>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</si>
  <si>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</si>
  <si>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</si>
  <si>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</si>
  <si>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</si>
  <si>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</si>
  <si>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</si>
  <si>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</si>
  <si>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</si>
  <si>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</si>
  <si>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</si>
  <si>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</si>
  <si>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</si>
  <si>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</si>
  <si>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</si>
  <si>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</si>
  <si>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</si>
  <si>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</si>
  <si>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</si>
  <si>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</si>
  <si>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</si>
  <si>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</si>
  <si>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</si>
  <si>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</si>
  <si>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</si>
  <si>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</si>
  <si>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</si>
  <si>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</si>
  <si>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</si>
  <si>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</si>
  <si>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</si>
  <si>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</si>
  <si>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</si>
  <si>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</si>
  <si>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</si>
  <si>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</si>
  <si>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</si>
  <si>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</si>
  <si>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</si>
  <si>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</si>
  <si>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</si>
  <si>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</si>
  <si>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</si>
  <si>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</si>
  <si>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</si>
  <si>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</si>
  <si>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</si>
  <si>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</si>
  <si>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</si>
  <si>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</si>
  <si>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</si>
  <si>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</si>
  <si>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</si>
  <si>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</si>
  <si>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</si>
  <si>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</si>
  <si>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</si>
  <si>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</si>
  <si>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</si>
  <si>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</si>
  <si>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</si>
  <si>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</si>
  <si>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</si>
  <si>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</si>
  <si>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</si>
  <si>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</si>
  <si>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</si>
  <si>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</si>
  <si>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</si>
  <si>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</si>
  <si>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</si>
  <si>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</si>
  <si>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</si>
  <si>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</si>
  <si>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</si>
  <si>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</si>
  <si>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</si>
  <si>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</si>
  <si>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</si>
  <si>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</si>
  <si>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</si>
  <si>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</si>
  <si>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</si>
  <si>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</si>
  <si>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</si>
  <si>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</si>
  <si>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</si>
  <si>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</si>
  <si>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</si>
  <si>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</si>
  <si>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</si>
  <si>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</si>
  <si>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</si>
  <si>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</si>
  <si>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</si>
  <si>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</si>
  <si>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</si>
  <si>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</si>
  <si>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</si>
  <si>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</si>
  <si>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</si>
  <si>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</si>
  <si>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</si>
  <si>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</si>
  <si>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</si>
  <si>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</si>
  <si>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</si>
  <si>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</si>
  <si>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</si>
  <si>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</si>
  <si>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</si>
  <si>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</si>
  <si>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</si>
  <si>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</si>
  <si>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</si>
  <si>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</si>
  <si>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</si>
  <si>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</si>
  <si>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</si>
  <si>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</si>
  <si>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</si>
  <si>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</si>
  <si>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</si>
  <si>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</si>
  <si>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</si>
  <si>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</si>
  <si>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</si>
  <si>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</si>
  <si>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</si>
  <si>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</si>
  <si>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</si>
  <si>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</si>
  <si>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</si>
  <si>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</si>
  <si>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</si>
  <si>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</si>
  <si>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</si>
  <si>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</si>
  <si>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</si>
  <si>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</si>
  <si>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</si>
  <si>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</si>
  <si>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</si>
  <si>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</si>
  <si>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</si>
  <si>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</si>
  <si>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</si>
  <si>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</si>
  <si>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</si>
  <si>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</si>
  <si>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</si>
  <si>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</si>
  <si>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</si>
  <si>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</si>
  <si>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</si>
  <si>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</si>
  <si>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</si>
  <si>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</si>
  <si>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</si>
  <si>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</si>
  <si>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</si>
  <si>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</si>
  <si>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</si>
  <si>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</si>
  <si>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</si>
  <si>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</si>
  <si>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</si>
  <si>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</si>
  <si>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</si>
  <si>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</si>
  <si>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</si>
  <si>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</si>
  <si>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</si>
  <si>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</si>
  <si>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</si>
  <si>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</si>
  <si>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</si>
  <si>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</si>
  <si>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</si>
  <si>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</si>
  <si>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</si>
  <si>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</si>
  <si>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</si>
  <si>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</si>
  <si>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</si>
  <si>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</si>
  <si>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</si>
  <si>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</si>
  <si>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</si>
  <si>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</si>
  <si>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</si>
  <si>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</si>
  <si>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</si>
  <si>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</si>
  <si>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</si>
  <si>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</si>
  <si>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</si>
  <si>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</si>
  <si>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</si>
  <si>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</si>
  <si>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</si>
  <si>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</si>
  <si>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</si>
  <si>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</si>
  <si>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</si>
  <si>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</si>
  <si>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</si>
  <si>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</si>
  <si>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</si>
  <si>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</si>
  <si>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</si>
  <si>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</si>
  <si>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</si>
  <si>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</si>
  <si>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</si>
  <si>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</si>
  <si>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</si>
  <si>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</si>
  <si>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</si>
  <si>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</si>
  <si>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</si>
  <si>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</si>
  <si>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</si>
  <si>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</si>
  <si>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</si>
  <si>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</si>
  <si>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</si>
  <si>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</si>
  <si>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</si>
  <si>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</si>
  <si>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</si>
  <si>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</si>
  <si>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</si>
  <si>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</si>
  <si>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</si>
  <si>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</si>
  <si>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</si>
  <si>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</si>
  <si>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</si>
  <si>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</si>
  <si>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</si>
  <si>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</si>
  <si>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</si>
  <si>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</si>
  <si>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</si>
  <si>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</si>
  <si>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</si>
  <si>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</si>
  <si>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</si>
  <si>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</si>
  <si>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</si>
  <si>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</si>
  <si>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</si>
  <si>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</si>
  <si>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</si>
  <si>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</si>
  <si>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</si>
  <si>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</si>
  <si>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</si>
  <si>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</si>
  <si>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</si>
  <si>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</si>
  <si>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</si>
  <si>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</si>
  <si>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</si>
  <si>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</si>
  <si>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</si>
  <si>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</si>
  <si>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</si>
  <si>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</si>
  <si>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</si>
  <si>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</si>
  <si>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</si>
  <si>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</si>
  <si>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</si>
  <si>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</si>
  <si>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</si>
  <si>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</si>
  <si>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</si>
  <si>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</si>
  <si>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</si>
  <si>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</si>
  <si>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</si>
  <si>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</si>
  <si>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</si>
  <si>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</si>
  <si>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</si>
  <si>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</si>
  <si>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</si>
  <si>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</si>
  <si>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</si>
  <si>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</si>
  <si>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</si>
  <si>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</si>
  <si>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</si>
  <si>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</si>
  <si>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</si>
  <si>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</si>
  <si>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</si>
  <si>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</si>
  <si>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</si>
  <si>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</si>
  <si>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</si>
  <si>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</si>
  <si>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</si>
  <si>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</si>
  <si>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</si>
  <si>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</si>
  <si>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</si>
  <si>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</si>
  <si>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</si>
  <si>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</si>
  <si>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</si>
  <si>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</si>
  <si>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</si>
  <si>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</si>
  <si>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</si>
  <si>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</si>
  <si>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</si>
  <si>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</si>
  <si>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</si>
  <si>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</si>
  <si>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</si>
  <si>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</si>
  <si>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</si>
  <si>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</si>
  <si>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</si>
  <si>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</si>
  <si>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</si>
  <si>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</si>
  <si>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</si>
  <si>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</si>
  <si>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</si>
  <si>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</si>
  <si>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</si>
  <si>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</si>
  <si>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</si>
  <si>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</si>
  <si>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</si>
  <si>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</si>
  <si>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</si>
  <si>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</si>
  <si>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</si>
  <si>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</si>
  <si>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</si>
  <si>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</si>
  <si>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</si>
  <si>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</si>
  <si>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</si>
  <si>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</si>
  <si>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</si>
  <si>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</si>
  <si>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</si>
  <si>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</si>
  <si>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</si>
  <si>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</si>
  <si>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</si>
  <si>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</si>
  <si>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</si>
  <si>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</si>
  <si>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</si>
  <si>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</si>
  <si>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</si>
  <si>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</si>
  <si>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</si>
  <si>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</si>
  <si>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</si>
  <si>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</si>
  <si>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</si>
  <si>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</si>
  <si>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</si>
  <si>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</si>
  <si>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</si>
  <si>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</si>
  <si>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</si>
  <si>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</si>
  <si>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</si>
  <si>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</si>
  <si>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</si>
  <si>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</si>
  <si>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</si>
  <si>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</si>
  <si>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</si>
  <si>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</si>
  <si>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</si>
  <si>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</si>
  <si>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</si>
  <si>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</si>
  <si>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</si>
  <si>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</si>
  <si>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</si>
  <si>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</si>
  <si>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</si>
  <si>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</si>
  <si>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</si>
  <si>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</si>
  <si>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</si>
  <si>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</si>
  <si>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</si>
  <si>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</si>
  <si>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</si>
  <si>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</si>
  <si>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</si>
  <si>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</si>
  <si>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</si>
  <si>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</si>
  <si>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</si>
  <si>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</si>
  <si>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</si>
  <si>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</si>
  <si>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</si>
  <si>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</si>
  <si>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</si>
  <si>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</si>
  <si>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</si>
  <si>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</si>
  <si>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</si>
  <si>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</si>
  <si>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</si>
  <si>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</si>
  <si>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</si>
  <si>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</si>
  <si>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</si>
  <si>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</si>
  <si>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</si>
  <si>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</si>
  <si>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</si>
  <si>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</si>
  <si>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</si>
  <si>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</si>
  <si>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</si>
  <si>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</si>
  <si>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</si>
  <si>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</si>
  <si>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</si>
  <si>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</si>
  <si>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</si>
  <si>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</si>
  <si>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</si>
  <si>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</si>
  <si>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</si>
  <si>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</si>
  <si>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</si>
  <si>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</si>
  <si>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</si>
  <si>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</si>
  <si>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</si>
  <si>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</si>
  <si>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</si>
  <si>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</si>
  <si>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</si>
  <si>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</si>
  <si>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</si>
  <si>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</si>
  <si>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</si>
  <si>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</si>
  <si>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</si>
  <si>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</si>
  <si>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</si>
  <si>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</si>
  <si>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</si>
  <si>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</si>
  <si>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</si>
  <si>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</si>
  <si>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</si>
  <si>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</si>
  <si>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</si>
  <si>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</si>
  <si>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</si>
  <si>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</si>
  <si>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</si>
  <si>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</si>
  <si>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</si>
  <si>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</si>
  <si>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</si>
  <si>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</si>
  <si>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</si>
  <si>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</si>
  <si>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</si>
  <si>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</si>
  <si>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</si>
  <si>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</si>
  <si>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</si>
  <si>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</si>
  <si>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</si>
  <si>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</si>
  <si>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</si>
  <si>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</si>
  <si>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</si>
  <si>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</si>
  <si>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</si>
  <si>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</si>
  <si>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</si>
  <si>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</si>
  <si>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</si>
  <si>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</si>
  <si>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</si>
  <si>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</si>
  <si>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</si>
  <si>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</si>
  <si>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</si>
  <si>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</si>
  <si>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</si>
  <si>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</si>
  <si>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</si>
  <si>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</si>
  <si>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</si>
  <si>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</si>
  <si>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</si>
  <si>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</si>
  <si>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</si>
  <si>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</si>
  <si>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</si>
  <si>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</si>
  <si>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</si>
  <si>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</si>
  <si>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</si>
  <si>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</si>
  <si>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</si>
  <si>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</si>
  <si>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</si>
  <si>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</si>
  <si>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</si>
  <si>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</si>
  <si>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</si>
  <si>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</si>
  <si>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</si>
  <si>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</si>
  <si>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</si>
  <si>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</si>
  <si>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</si>
  <si>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</si>
  <si>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</si>
  <si>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</si>
  <si>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</si>
  <si>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</si>
  <si>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</si>
  <si>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</si>
  <si>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</si>
  <si>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</si>
  <si>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</si>
  <si>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</si>
  <si>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</si>
  <si>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</si>
  <si>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</si>
  <si>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</si>
  <si>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</si>
  <si>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</si>
  <si>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</si>
  <si>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</si>
  <si>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</si>
  <si>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</si>
  <si>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</si>
  <si>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</si>
  <si>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</si>
  <si>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</si>
  <si>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</si>
  <si>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</si>
  <si>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</si>
  <si>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</si>
  <si>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</si>
  <si>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</si>
  <si>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</si>
  <si>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</si>
  <si>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</si>
  <si>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</si>
  <si>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</si>
  <si>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</si>
  <si>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</si>
  <si>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</si>
  <si>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</si>
  <si>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</si>
  <si>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</si>
  <si>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</si>
  <si>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</si>
  <si>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</si>
  <si>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</si>
  <si>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</si>
  <si>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</si>
  <si>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</si>
  <si>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</si>
  <si>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</si>
  <si>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</si>
  <si>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</si>
  <si>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</si>
  <si>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</si>
  <si>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</si>
  <si>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</si>
  <si>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</si>
  <si>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</si>
  <si>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</si>
  <si>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</si>
  <si>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</si>
  <si>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</si>
  <si>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</si>
  <si>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</si>
  <si>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</si>
  <si>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</si>
  <si>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</si>
  <si>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</si>
  <si>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</si>
  <si>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</si>
  <si>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</si>
  <si>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</si>
  <si>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</si>
  <si>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</si>
  <si>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</si>
  <si>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</si>
  <si>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</si>
  <si>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</si>
  <si>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</si>
  <si>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</si>
  <si>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</si>
  <si>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</si>
  <si>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</si>
  <si>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</si>
  <si>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</si>
  <si>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</si>
  <si>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</si>
  <si>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</si>
  <si>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</si>
  <si>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</si>
  <si>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</si>
  <si>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</si>
  <si>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</si>
  <si>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</si>
  <si>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</si>
  <si>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</si>
  <si>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</si>
  <si>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</si>
  <si>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</si>
  <si>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</si>
  <si>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AXION INDUSTRIALIZAÇÃO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</si>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</sst>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scheme val="minor"/>
    </font>
    <font>
      <b/>
      <sz val="14"/>
      <name val="Arial Narrow"/>
    </font>
    <font>
      <sz val="11"/>
      <color theme="1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93" fillId="0" borderId="18" xfId="0" applyFont="1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0" fillId="0" borderId="18" xfId="0" applyBorder="1"/>
    <xf numFmtId="0" fontId="89" fillId="71" borderId="5" xfId="0" applyFont="1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8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8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8.8104999999999976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10.1736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35.063099999999999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16.374600000000001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2.6507999999999998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62.535399999999996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20.229399999999998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12.0456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80.785300000000007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4.5556999999999981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0.64080000000000048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16.306599999999996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75" totalsRowShown="0" headerRowDxfId="187" tableBorderDxfId="186">
  <autoFilter ref="A1:AW1075" xr:uid="{00000000-000C-0000-FFFF-FFFF00000000}">
    <filterColumn colId="0">
      <filters>
        <filter val="T-073222-1"/>
      </filters>
    </filterColumn>
    <filterColumn colId="5">
      <filters>
        <filter val="40"/>
      </filters>
    </filterColumn>
    <filterColumn colId="10">
      <filters>
        <filter val="ESTRUTURA"/>
      </filters>
    </filterColumn>
    <filterColumn colId="11">
      <filters>
        <filter val="P-198"/>
      </filters>
    </filterColumn>
  </autoFilter>
  <tableColumns count="49">
    <tableColumn id="1" xr3:uid="{00000000-0010-0000-0000-000001000000}" name="DESENHO_x000a_MDE" dataDxfId="185"/>
    <tableColumn id="43" xr3:uid="{56981E1B-CD3E-434D-AB02-C5F83A6F3E43}" name="DESENHO_x000a_CLIENTE" dataDxfId="184"/>
    <tableColumn id="2" xr3:uid="{00000000-0010-0000-0000-000002000000}" name="QTE" dataDxfId="183"/>
    <tableColumn id="3" xr3:uid="{00000000-0010-0000-0000-000003000000}" name="DESCRIÇÃO" dataDxfId="182"/>
    <tableColumn id="41" xr3:uid="{00000000-0010-0000-0000-000029000000}" name="COD.MDE" dataDxfId="181"/>
    <tableColumn id="40" xr3:uid="{00000000-0010-0000-0000-000028000000}" name="REMESSA" dataDxfId="180"/>
    <tableColumn id="4" xr3:uid="{00000000-0010-0000-0000-000004000000}" name="PESO UNI" dataDxfId="179"/>
    <tableColumn id="5" xr3:uid="{00000000-0010-0000-0000-000005000000}" name="PESO TOTAL" dataDxfId="178"/>
    <tableColumn id="6" xr3:uid="{00000000-0010-0000-0000-000006000000}" name="Revisão" dataDxfId="177"/>
    <tableColumn id="7" xr3:uid="{00000000-0010-0000-0000-000007000000}" name="TAG" dataDxfId="176"/>
    <tableColumn id="38" xr3:uid="{00000000-0010-0000-0000-000026000000}" name="PRODUTO" dataDxfId="175"/>
    <tableColumn id="8" xr3:uid="{00000000-0010-0000-0000-000008000000}" name="PEDIDO" dataDxfId="174"/>
    <tableColumn id="9" xr3:uid="{00000000-0010-0000-0000-000009000000}" name="Engenharia" dataDxfId="173"/>
    <tableColumn id="10" xr3:uid="{00000000-0010-0000-0000-00000A000000}" name="FORNECEDOR" dataDxfId="172"/>
    <tableColumn id="11" xr3:uid="{00000000-0010-0000-0000-00000B000000}" name="QTDE/ Fabricação" dataDxfId="171"/>
    <tableColumn id="12" xr3:uid="{00000000-0010-0000-0000-00000C000000}" name="DATA/Fabricação" dataDxfId="170"/>
    <tableColumn id="13" xr3:uid="{00000000-0010-0000-0000-00000D000000}" name="SALDO PENDENTE/Fabricação" dataDxfId="169"/>
    <tableColumn id="14" xr3:uid="{00000000-0010-0000-0000-00000E000000}" name="EVOLUÇÃO PRETO / Fabricação_x000a_(kg)" dataDxfId="168"/>
    <tableColumn id="15" xr3:uid="{00000000-0010-0000-0000-00000F000000}" name="PRONTO ACABADO kg" dataDxfId="167">
      <calculatedColumnFormula>IFERROR(H2*AG2,"")</calculatedColumnFormula>
    </tableColumn>
    <tableColumn id="16" xr3:uid="{00000000-0010-0000-0000-000010000000}" name="Pendencia  / Fabricação_x000a_EM KG" dataDxfId="166"/>
    <tableColumn id="17" xr3:uid="{00000000-0010-0000-0000-000011000000}" name="QIANTIDADE EXPEDIDA" dataDxfId="165"/>
    <tableColumn id="18" xr3:uid="{00000000-0010-0000-0000-000012000000}" name="ROMANEIO " dataDxfId="164"/>
    <tableColumn id="19" xr3:uid="{00000000-0010-0000-0000-000013000000}" name="DATA EXPEDIÇÃO" dataDxfId="163"/>
    <tableColumn id="20" xr3:uid="{00000000-0010-0000-0000-000014000000}" name="Peso Expedido" dataDxfId="162"/>
    <tableColumn id="21" xr3:uid="{00000000-0010-0000-0000-000015000000}" name="QUANTIDADE PENDENTE/Expedição" dataDxfId="161"/>
    <tableColumn id="22" xr3:uid="{00000000-0010-0000-0000-000016000000}" name="PESO PENDENTE/Expedição" dataDxfId="160"/>
    <tableColumn id="23" xr3:uid="{00000000-0010-0000-0000-000017000000}" name="MATÉRIA PRIMA" dataDxfId="159"/>
    <tableColumn id="24" xr3:uid="{00000000-0010-0000-0000-000018000000}" name="RELATORIO" dataDxfId="158"/>
    <tableColumn id="25" xr3:uid="{00000000-0010-0000-0000-000019000000}" name="PREPARAÇÃO " dataDxfId="157"/>
    <tableColumn id="26" xr3:uid="{00000000-0010-0000-0000-00001A000000}" name="CALDEIRARIA" dataDxfId="156"/>
    <tableColumn id="27" xr3:uid="{00000000-0010-0000-0000-00001B000000}" name="SOLDA" dataDxfId="155"/>
    <tableColumn id="28" xr3:uid="{00000000-0010-0000-0000-00001C000000}" name="ACABAMENTO" dataDxfId="154"/>
    <tableColumn id="29" xr3:uid="{00000000-0010-0000-0000-00001D000000}" name="PRONTO ACABADO" dataDxfId="153"/>
    <tableColumn id="30" xr3:uid="{00000000-0010-0000-0000-00001E000000}" name="EXPEDIÇÃO " dataDxfId="152"/>
    <tableColumn id="31" xr3:uid="{00000000-0010-0000-0000-00001F000000}" name="FINALIZADO " dataDxfId="151"/>
    <tableColumn id="32" xr3:uid="{00000000-0010-0000-0000-000020000000}" name="Coluna1" dataDxfId="150"/>
    <tableColumn id="33" xr3:uid="{00000000-0010-0000-0000-000021000000}" name="Coluna2" dataDxfId="149"/>
    <tableColumn id="34" xr3:uid="{00000000-0010-0000-0000-000022000000}" name="Coluna3" dataDxfId="148"/>
    <tableColumn id="35" xr3:uid="{00000000-0010-0000-0000-000023000000}" name="Coluna4" dataDxfId="14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46"/>
    <tableColumn id="42" xr3:uid="{44772FB5-94B9-4683-9D51-42A525419432}" name="Colunas7" dataDxfId="145"/>
    <tableColumn id="44" xr3:uid="{7DBCA215-A831-41EC-8668-4217050D7CEF}" name="Coluna5" dataDxfId="144"/>
    <tableColumn id="52" xr3:uid="{0F1E3E30-ACD2-41A7-9FEB-CFC4141C720F}" name="PRONTO NO PRETO" dataDxfId="143"/>
    <tableColumn id="53" xr3:uid="{7B42991E-C57D-449B-9CA4-FF51ED3B7EE1}" name="PRONTO ACABADO3" dataDxfId="142"/>
    <tableColumn id="54" xr3:uid="{B185D57F-2904-41B4-A913-414AD30553DC}" name="PESO EXPEDIDO2" dataDxfId="141"/>
    <tableColumn id="55" xr3:uid="{216FC5C0-1E81-4ACF-B1FE-D38AAA1F26E6}" name="PRONTO ACABADO2" dataDxfId="140"/>
    <tableColumn id="57" xr3:uid="{58807113-78D0-4422-B88A-8E66792B9681}" name="Coluna7" dataDxfId="13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6" totalsRowShown="0" headerRowDxfId="138" headerRowBorderDxfId="137" tableBorderDxfId="136" totalsRowBorderDxfId="135">
  <autoFilter ref="A1:F26" xr:uid="{9E04BDB3-7991-400D-A075-6EF4E207F167}"/>
  <tableColumns count="6">
    <tableColumn id="1" xr3:uid="{0986BF72-EBA9-4CAA-A22C-20021A2F0193}" name="PEDIDO" dataDxfId="134"/>
    <tableColumn id="2" xr3:uid="{1E29E510-3230-4D4A-9101-BF1603DA1959}" name="EQUIPAMENTO" dataDxfId="133"/>
    <tableColumn id="3" xr3:uid="{27EA8246-98FE-4DF0-AB4F-2563340E3A33}" name="DATA PREVISTA " dataDxfId="132"/>
    <tableColumn id="4" xr3:uid="{178705E0-20E1-4EA8-BD6A-04EDA09B960F}" name="DATA REPROGRAMADA" dataDxfId="131"/>
    <tableColumn id="5" xr3:uid="{D69E8AE6-FCF7-4D70-8443-DFF41092DBA5}" name="Observação" dataDxfId="130"/>
    <tableColumn id="6" xr3:uid="{7ED96CF2-6F65-4A02-A0B9-FFDE23E894EB}" name="CLIENTE" dataDxfId="12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28">
  <autoFilter ref="D3:R395" xr:uid="{D635AFD0-01A4-4F4C-B4BB-2C0A84AFA373}"/>
  <tableColumns count="15">
    <tableColumn id="1" xr3:uid="{71019319-E348-41C4-90A8-BD800AFA385A}" name="TAG" dataDxfId="127"/>
    <tableColumn id="2" xr3:uid="{6205B1F5-4B96-401E-A8F0-D0B582A87E91}" name="PEDIDO" dataDxfId="126">
      <calculatedColumnFormula>VLOOKUP(Tabela2[[#This Row],[TAG]],MICRO!J:L,3,0)</calculatedColumnFormula>
    </tableColumn>
    <tableColumn id="3" xr3:uid="{EBC41BBB-459B-4DB5-8152-2C7C2C7ADFAA}" name="FORNECEDOR" dataDxfId="125" dataCellStyle="Normal 2"/>
    <tableColumn id="4" xr3:uid="{EE719B42-3B82-4AC6-AB4D-66A5AF76AAFC}" name="RECEBIDO ENGENHARIA (kg)" dataDxfId="124">
      <calculatedColumnFormula>SUMIF(MICRO!AP:AP,O:O,MICRO!H:H)</calculatedColumnFormula>
    </tableColumn>
    <tableColumn id="5" xr3:uid="{F8EF71F0-2467-40E6-8596-0C50AE8B2E56}" name="EM AVANÇO NO PRETO (kg)" dataDxfId="123">
      <calculatedColumnFormula>SUMIF(MICRO!AP:AP,O:O,MICRO!R:R)</calculatedColumnFormula>
    </tableColumn>
    <tableColumn id="6" xr3:uid="{70FA8036-1726-409E-865E-BBD68DD0CF2B}" name="Pendencia  / Fabricação_x000a_EM KG _x000a_(Kg)" dataDxfId="122">
      <calculatedColumnFormula>SUMIF(MICRO!AP:AP,O:O,MICRO!T:T)</calculatedColumnFormula>
    </tableColumn>
    <tableColumn id="7" xr3:uid="{2EDBF5C8-B6A0-4234-9B37-F4D245CBE335}" name="EVOLUÇÃO %" dataDxfId="121">
      <calculatedColumnFormula>IF(G4 = 0,0,H4/G4)</calculatedColumnFormula>
    </tableColumn>
    <tableColumn id="8" xr3:uid="{981D372E-5C81-43AA-82CF-C526D0CD7BC5}" name="PESO EXPEDIDO" dataDxfId="120">
      <calculatedColumnFormula>SUMIF(MICRO!AP:AP,O:O,MICRO!X:X)</calculatedColumnFormula>
    </tableColumn>
    <tableColumn id="9" xr3:uid="{9581E1B5-4976-4A66-B050-5EDFF64499FF}" name="% EXPEDIDO" dataDxfId="119">
      <calculatedColumnFormula>IF(G4&lt;&gt;0,SUM(K4/G4*1),"0%")</calculatedColumnFormula>
    </tableColumn>
    <tableColumn id="10" xr3:uid="{5A0DEF47-FBD5-46D6-A019-DB5E3CF46E5B}" name="PESO PENDENTE4" dataDxfId="118">
      <calculatedColumnFormula>G4-K4</calculatedColumnFormula>
    </tableColumn>
    <tableColumn id="11" xr3:uid="{AD13F8E0-0652-4176-B922-E74BEC175E7A}" name="Coluna1" dataDxfId="117">
      <calculatedColumnFormula>E4&amp;F4</calculatedColumnFormula>
    </tableColumn>
    <tableColumn id="12" xr3:uid="{9AB5E2D8-1AD6-4B63-A9ED-66372E94A48F}" name="Coluna2" dataDxfId="116">
      <calculatedColumnFormula>D4&amp;E4&amp;F4</calculatedColumnFormula>
    </tableColumn>
    <tableColumn id="13" xr3:uid="{ED15B1A8-5672-4E4D-9246-3BC797332C64}" name="PRONTO NO PRETO" dataDxfId="115">
      <calculatedColumnFormula>SUMIF(MICRO!AP:AP,O4,MICRO!AS:AS)</calculatedColumnFormula>
    </tableColumn>
    <tableColumn id="14" xr3:uid="{986427E9-0E8F-46D1-987F-01DBA908B397}" name="PRONTO ACABADO" dataDxfId="114">
      <calculatedColumnFormula>SUMIF(MICRO!AP:AP,O4,MICRO!AT:AT)</calculatedColumnFormula>
    </tableColumn>
    <tableColumn id="15" xr3:uid="{4361E9F4-014E-4677-9D4A-8DBAE707BA31}" name="PESO EXPEDIDO2" dataDxfId="11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4" t="s">
        <v>326</v>
      </c>
      <c r="B1" s="246" t="s">
        <v>891</v>
      </c>
      <c r="C1" s="247"/>
      <c r="D1" s="247"/>
      <c r="E1" s="247"/>
      <c r="F1" s="247"/>
      <c r="G1" s="248"/>
      <c r="H1" s="241" t="s">
        <v>331</v>
      </c>
      <c r="I1" s="242"/>
      <c r="J1" s="242"/>
      <c r="K1" s="243"/>
    </row>
    <row r="2" spans="1:11" x14ac:dyDescent="0.25">
      <c r="A2" s="245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5109</v>
      </c>
      <c r="J2" s="181" t="s">
        <v>5281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8"/>
      <c r="B5" s="239"/>
      <c r="C5" s="239"/>
      <c r="D5" s="239"/>
      <c r="E5" s="239"/>
      <c r="F5" s="239"/>
      <c r="G5" s="239"/>
      <c r="H5" s="239"/>
      <c r="I5" s="239"/>
      <c r="J5" s="239"/>
      <c r="K5" s="240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75"/>
  <sheetViews>
    <sheetView showGridLines="0" tabSelected="1" topLeftCell="B1" zoomScale="77" zoomScaleNormal="77" workbookViewId="0">
      <pane ySplit="1" topLeftCell="A805" activePane="bottomLeft" state="frozen"/>
      <selection activeCell="N1072" sqref="N1070:N1072"/>
      <selection pane="bottomLeft" activeCell="H806" sqref="H806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20.925000000000001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1.125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52.762499999999996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42.525000000000006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1.2375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1.3499999999999999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5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5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5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5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5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5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5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5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5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5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5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5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5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5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5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5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5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5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5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5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5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5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5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5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5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5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5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5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5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5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5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5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5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2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5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5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5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5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5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5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5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5499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577.66500000000008</v>
      </c>
      <c r="S606" s="18">
        <f t="shared" si="117"/>
        <v>0</v>
      </c>
      <c r="T606" s="19">
        <f t="shared" ref="T606:T624" si="122">IFERROR(S606-H606,"")</f>
        <v>-1283.7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1283.7</v>
      </c>
      <c r="AA606" s="17">
        <v>0.9</v>
      </c>
      <c r="AB606" s="33"/>
      <c r="AC606" s="33">
        <v>0.9</v>
      </c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178.29</v>
      </c>
      <c r="S607" s="18">
        <f t="shared" si="117"/>
        <v>0</v>
      </c>
      <c r="T607" s="19">
        <f t="shared" si="122"/>
        <v>-396.2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396.2</v>
      </c>
      <c r="AA607" s="17">
        <v>0.9</v>
      </c>
      <c r="AB607" s="33"/>
      <c r="AC607" s="33">
        <v>0.9</v>
      </c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5497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5497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5496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5391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5496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5391</v>
      </c>
      <c r="O611" s="12"/>
      <c r="P611" s="13"/>
      <c r="Q611" s="14">
        <f>Tabela1[[#This Row],[QTDE/ Fabricação]]-Tabela1[[#This Row],[QTE]]</f>
        <v>-1</v>
      </c>
      <c r="R611" s="18">
        <f t="shared" si="121"/>
        <v>29.45</v>
      </c>
      <c r="S611" s="18">
        <f t="shared" si="117"/>
        <v>0</v>
      </c>
      <c r="T611" s="19">
        <f t="shared" si="122"/>
        <v>-117.8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5500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342.85500000000002</v>
      </c>
      <c r="S617" s="18">
        <f t="shared" si="117"/>
        <v>0</v>
      </c>
      <c r="T617" s="19">
        <f t="shared" si="122"/>
        <v>-761.9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761.9</v>
      </c>
      <c r="AA617" s="17">
        <v>0.9</v>
      </c>
      <c r="AB617" s="33"/>
      <c r="AC617" s="33">
        <v>0.9</v>
      </c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5500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76.59</v>
      </c>
      <c r="S618" s="18">
        <f t="shared" si="117"/>
        <v>0</v>
      </c>
      <c r="T618" s="19">
        <f t="shared" si="122"/>
        <v>-170.2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170.2</v>
      </c>
      <c r="AA618" s="17">
        <v>0.9</v>
      </c>
      <c r="AB618" s="33"/>
      <c r="AC618" s="33">
        <v>0.9</v>
      </c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5500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46.62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0.9</v>
      </c>
      <c r="AB619" s="33"/>
      <c r="AC619" s="33">
        <v>0.9</v>
      </c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5500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2.4300000000000002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0.9</v>
      </c>
      <c r="AB620" s="33"/>
      <c r="AC620" s="33">
        <v>0.9</v>
      </c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5500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0.67500000000000004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0.9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5500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0.72000000000000008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0.9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144.42750000000001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5501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>Tabela1[[#This Row],[PESO UNI]]*Tabela1[[#This Row],[QTE]]</f>
        <v>31.2</v>
      </c>
      <c r="I776" s="7" t="s">
        <v>5501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14.04</v>
      </c>
      <c r="S776" s="18">
        <f t="shared" si="153"/>
        <v>0</v>
      </c>
      <c r="T776" s="19">
        <f t="shared" si="154"/>
        <v>-31.2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31.2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5501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5501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19.71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5501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9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0.9</v>
      </c>
      <c r="AB779" s="33"/>
      <c r="AC779" s="33">
        <v>0.9</v>
      </c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5501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7.38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0.9</v>
      </c>
      <c r="AB780" s="33"/>
      <c r="AC780" s="33">
        <v>0.9</v>
      </c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5387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65.52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>
        <v>0.9</v>
      </c>
      <c r="AB781" s="33"/>
      <c r="AC781" s="33">
        <v>0.9</v>
      </c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5387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29.16</v>
      </c>
      <c r="S782" s="18">
        <f t="shared" si="153"/>
        <v>0</v>
      </c>
      <c r="T782" s="19">
        <f t="shared" si="154"/>
        <v>-64.8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64.8</v>
      </c>
      <c r="AA782" s="17">
        <v>0.9</v>
      </c>
      <c r="AB782" s="33"/>
      <c r="AC782" s="33">
        <v>0.9</v>
      </c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5387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1.08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>
        <v>0.9</v>
      </c>
      <c r="AB783" s="33"/>
      <c r="AC783" s="33">
        <v>0.9</v>
      </c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5387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5387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5387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5387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5387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5387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5387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5387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5387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5387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63.989999999999995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5387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14.58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>
        <v>0.9</v>
      </c>
      <c r="AB794" s="33"/>
      <c r="AC794" s="33">
        <v>0.9</v>
      </c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5387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1.08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>
        <v>0.9</v>
      </c>
      <c r="AB795" s="33"/>
      <c r="AC795" s="33">
        <v>0.9</v>
      </c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5387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5387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5387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5387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5387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5387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5387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5387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5387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5387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>Tabela1[[#This Row],[PESO UNI]]*Tabela1[[#This Row],[QTE]]</f>
        <v>1297.5999999999999</v>
      </c>
      <c r="I806" s="7" t="s">
        <v>5387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583.91999999999996</v>
      </c>
      <c r="S806" s="18">
        <f t="shared" si="153"/>
        <v>0</v>
      </c>
      <c r="T806" s="19">
        <f t="shared" si="154"/>
        <v>-1297.5999999999999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1297.5999999999999</v>
      </c>
      <c r="AA806" s="17">
        <v>0.9</v>
      </c>
      <c r="AB806" s="33"/>
      <c r="AC806" s="33">
        <v>0.9</v>
      </c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5387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4.32</v>
      </c>
      <c r="S807" s="18">
        <f t="shared" ref="S807:S833" si="158">IFERROR(H807*AG807,"")</f>
        <v>0</v>
      </c>
      <c r="T807" s="19">
        <f t="shared" ref="T807:T833" si="159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60">U807-C807</f>
        <v>-16</v>
      </c>
      <c r="Z807" s="20">
        <f>Tabela1[[#This Row],[PESO TOTAL]]-Tabela1[[#This Row],[Peso Expedido]]</f>
        <v>9.6</v>
      </c>
      <c r="AA807" s="17">
        <v>0.9</v>
      </c>
      <c r="AB807" s="33"/>
      <c r="AC807" s="33">
        <v>0.9</v>
      </c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5387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40.32</v>
      </c>
      <c r="S808" s="18">
        <f t="shared" si="158"/>
        <v>0</v>
      </c>
      <c r="T808" s="19">
        <f t="shared" si="159"/>
        <v>-89.6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60"/>
        <v>-8</v>
      </c>
      <c r="Z808" s="20">
        <f>Tabela1[[#This Row],[PESO TOTAL]]-Tabela1[[#This Row],[Peso Expedido]]</f>
        <v>89.6</v>
      </c>
      <c r="AA808" s="17">
        <v>0.9</v>
      </c>
      <c r="AB808" s="33"/>
      <c r="AC808" s="33">
        <v>0.9</v>
      </c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5387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5387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5387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81.45</v>
      </c>
      <c r="S811" s="18">
        <f t="shared" si="158"/>
        <v>0</v>
      </c>
      <c r="T811" s="19">
        <f t="shared" si="159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-2</v>
      </c>
      <c r="Z811" s="20">
        <f>Tabela1[[#This Row],[PESO TOTAL]]-Tabela1[[#This Row],[Peso Expedido]]</f>
        <v>181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5387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14.58</v>
      </c>
      <c r="S812" s="18">
        <f t="shared" si="158"/>
        <v>0</v>
      </c>
      <c r="T812" s="19">
        <f t="shared" si="159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60"/>
        <v>-4</v>
      </c>
      <c r="Z812" s="20">
        <f>Tabela1[[#This Row],[PESO TOTAL]]-Tabela1[[#This Row],[Peso Expedido]]</f>
        <v>32.4</v>
      </c>
      <c r="AA812" s="17">
        <v>0.9</v>
      </c>
      <c r="AB812" s="33"/>
      <c r="AC812" s="33">
        <v>0.9</v>
      </c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5387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1.08</v>
      </c>
      <c r="S813" s="18">
        <f t="shared" si="158"/>
        <v>0</v>
      </c>
      <c r="T813" s="19">
        <f t="shared" si="159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60"/>
        <v>-4</v>
      </c>
      <c r="Z813" s="20">
        <f>Tabela1[[#This Row],[PESO TOTAL]]-Tabela1[[#This Row],[Peso Expedido]]</f>
        <v>2.4</v>
      </c>
      <c r="AA813" s="17">
        <v>0.9</v>
      </c>
      <c r="AB813" s="33"/>
      <c r="AC813" s="33">
        <v>0.9</v>
      </c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5387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10.08</v>
      </c>
      <c r="S814" s="18">
        <f t="shared" si="158"/>
        <v>0</v>
      </c>
      <c r="T814" s="19">
        <f t="shared" si="159"/>
        <v>-22.4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60"/>
        <v>-2</v>
      </c>
      <c r="Z814" s="20">
        <f>Tabela1[[#This Row],[PESO TOTAL]]-Tabela1[[#This Row],[Peso Expedido]]</f>
        <v>22.4</v>
      </c>
      <c r="AA814" s="17">
        <v>0.9</v>
      </c>
      <c r="AB814" s="33"/>
      <c r="AC814" s="33">
        <v>0.9</v>
      </c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5387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5387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5387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5391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5391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5495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515.745</v>
      </c>
      <c r="S821" s="18">
        <f t="shared" si="158"/>
        <v>0</v>
      </c>
      <c r="T821" s="19">
        <f t="shared" si="159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-1</v>
      </c>
      <c r="Z821" s="20">
        <f>Tabela1[[#This Row],[PESO TOTAL]]-Tabela1[[#This Row],[Peso Expedido]]</f>
        <v>1146.0999999999999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5285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5391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5285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5391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5488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5391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5488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5391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5488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5391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5391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5391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5391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5391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5391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5391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5391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5420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5391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5304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5391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5304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301.77000000000004</v>
      </c>
      <c r="S839" s="18">
        <f t="shared" si="166"/>
        <v>0</v>
      </c>
      <c r="T839" s="19">
        <f t="shared" si="167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670.6</v>
      </c>
      <c r="AA839" s="17">
        <v>0.9</v>
      </c>
      <c r="AB839" s="33"/>
      <c r="AC839" s="33">
        <v>0.9</v>
      </c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5304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5391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5304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5391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4978</v>
      </c>
      <c r="B843" s="21"/>
      <c r="C843" s="1">
        <v>32</v>
      </c>
      <c r="D843" s="1" t="s">
        <v>5417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5416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206.07999999999998</v>
      </c>
      <c r="S843" s="18">
        <f>IFERROR(H843*AG843,"")</f>
        <v>206.07999999999998</v>
      </c>
      <c r="T843" s="19">
        <f>IFERROR(S843-H843,"")</f>
        <v>-382.71999999999997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64</v>
      </c>
      <c r="D844" s="1" t="s">
        <v>5418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5416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896</v>
      </c>
      <c r="S844" s="18">
        <f>IFERROR(H844*AG844,"")</f>
        <v>896</v>
      </c>
      <c r="T844" s="19">
        <f>IFERROR(S844-H844,"")</f>
        <v>-1664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5416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22</v>
      </c>
      <c r="D846" s="1" t="s">
        <v>5419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5416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5416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45.219999999999992</v>
      </c>
      <c r="S847" s="18">
        <f t="shared" si="170"/>
        <v>45.219999999999992</v>
      </c>
      <c r="T847" s="19">
        <f t="shared" si="171"/>
        <v>-83.97999999999999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5416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40.32</v>
      </c>
      <c r="S848" s="18">
        <f t="shared" si="170"/>
        <v>40.32</v>
      </c>
      <c r="T848" s="19">
        <f t="shared" si="171"/>
        <v>-74.88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5416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40.32</v>
      </c>
      <c r="S849" s="18">
        <f t="shared" si="170"/>
        <v>40.32</v>
      </c>
      <c r="T849" s="19">
        <f t="shared" si="171"/>
        <v>-74.88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5416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38.64</v>
      </c>
      <c r="S850" s="18">
        <f t="shared" si="170"/>
        <v>38.64</v>
      </c>
      <c r="T850" s="19">
        <f t="shared" si="171"/>
        <v>-71.760000000000005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5416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25.759999999999998</v>
      </c>
      <c r="S851" s="18">
        <f t="shared" si="170"/>
        <v>25.759999999999998</v>
      </c>
      <c r="T851" s="19">
        <f t="shared" si="171"/>
        <v>-47.839999999999996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5416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80.08</v>
      </c>
      <c r="S852" s="18">
        <f t="shared" si="170"/>
        <v>80.08</v>
      </c>
      <c r="T852" s="19">
        <f t="shared" si="171"/>
        <v>-148.72000000000003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9.4499999999999993</v>
      </c>
      <c r="S853" s="18">
        <f t="shared" si="170"/>
        <v>9.4499999999999993</v>
      </c>
      <c r="T853" s="19">
        <f t="shared" si="171"/>
        <v>-17.55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0.35</v>
      </c>
      <c r="AB853" s="33"/>
      <c r="AC853" s="33">
        <v>0.35</v>
      </c>
      <c r="AD853" s="33">
        <v>0.35</v>
      </c>
      <c r="AE853" s="33">
        <v>0.35</v>
      </c>
      <c r="AF853" s="33">
        <v>0.35</v>
      </c>
      <c r="AG853" s="33">
        <v>0.35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5304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5391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814</v>
      </c>
      <c r="B862" s="21"/>
      <c r="C862" s="1">
        <v>2</v>
      </c>
      <c r="D862" s="1" t="s">
        <v>5010</v>
      </c>
      <c r="E862" s="7">
        <v>4514</v>
      </c>
      <c r="F862" s="7">
        <v>1</v>
      </c>
      <c r="G862" s="1">
        <v>5.2</v>
      </c>
      <c r="H862" s="34">
        <f>Tabela1[[#This Row],[PESO UNI]]*Tabela1[[#This Row],[QTE]]</f>
        <v>10.4</v>
      </c>
      <c r="I862" s="7">
        <v>1</v>
      </c>
      <c r="J862" s="8" t="s">
        <v>5011</v>
      </c>
      <c r="K862" s="8" t="s">
        <v>23</v>
      </c>
      <c r="L862" s="9" t="s">
        <v>5012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2.6</v>
      </c>
      <c r="S862" s="18">
        <f t="shared" si="174"/>
        <v>0</v>
      </c>
      <c r="T862" s="19">
        <f t="shared" si="175"/>
        <v>-10.4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10.4</v>
      </c>
      <c r="AA862" s="17">
        <v>1</v>
      </c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55.125000000000007</v>
      </c>
      <c r="S869" s="18">
        <f t="shared" si="174"/>
        <v>0</v>
      </c>
      <c r="T869" s="19">
        <f t="shared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64.3125</v>
      </c>
      <c r="S870" s="18">
        <f t="shared" ref="S870" si="178">IFERROR(H870*AG870,"")</f>
        <v>0</v>
      </c>
      <c r="T870" s="19">
        <f t="shared" ref="T870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02" si="181">IFERROR(H871*((AA871*0.25)+(AC871*0.25)+(AD871*0.225)+(AE871*0.225)+(AF871*0.05)),"")</f>
        <v>107.18750000000001</v>
      </c>
      <c r="S871" s="18">
        <f t="shared" ref="S871:S902" si="182">IFERROR(H871*AG871,"")</f>
        <v>0</v>
      </c>
      <c r="T871" s="19">
        <f t="shared" ref="T871:T902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02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414</v>
      </c>
      <c r="B873" s="21"/>
      <c r="C873" s="1">
        <v>10</v>
      </c>
      <c r="D873" s="1" t="s">
        <v>5035</v>
      </c>
      <c r="E873" s="7">
        <v>4526</v>
      </c>
      <c r="F873" s="7">
        <v>1</v>
      </c>
      <c r="G873" s="1">
        <v>5</v>
      </c>
      <c r="H873" s="34">
        <f>Tabela1[[#This Row],[PESO UNI]]*Tabela1[[#This Row],[QTE]]</f>
        <v>50</v>
      </c>
      <c r="I873" s="7">
        <v>0</v>
      </c>
      <c r="J873" s="8" t="s">
        <v>5036</v>
      </c>
      <c r="K873" s="8" t="s">
        <v>23</v>
      </c>
      <c r="L873" s="9" t="s">
        <v>5037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-10</v>
      </c>
      <c r="R873" s="18">
        <f t="shared" si="181"/>
        <v>38.000000000000007</v>
      </c>
      <c r="S873" s="18">
        <f t="shared" si="182"/>
        <v>0</v>
      </c>
      <c r="T873" s="19">
        <f t="shared" si="183"/>
        <v>-50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-10</v>
      </c>
      <c r="Z873" s="20">
        <f>Tabela1[[#This Row],[PESO TOTAL]]-Tabela1[[#This Row],[Peso Expedido]]</f>
        <v>50</v>
      </c>
      <c r="AA873" s="17">
        <v>0.8</v>
      </c>
      <c r="AB873" s="33"/>
      <c r="AC873" s="33">
        <v>0.8</v>
      </c>
      <c r="AD873" s="33">
        <v>0.8</v>
      </c>
      <c r="AE873" s="33">
        <v>0.8</v>
      </c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5109</v>
      </c>
      <c r="O874" s="12"/>
      <c r="P874" s="13"/>
      <c r="Q874" s="14">
        <f>Tabela1[[#This Row],[QTDE/ Fabricação]]-Tabela1[[#This Row],[QTE]]</f>
        <v>-1</v>
      </c>
      <c r="R874" s="18">
        <f t="shared" si="181"/>
        <v>74.45</v>
      </c>
      <c r="S874" s="18">
        <f t="shared" si="182"/>
        <v>0</v>
      </c>
      <c r="T874" s="19">
        <f t="shared" si="183"/>
        <v>-297.8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5109</v>
      </c>
      <c r="O875" s="12"/>
      <c r="P875" s="13"/>
      <c r="Q875" s="14">
        <f>Tabela1[[#This Row],[QTDE/ Fabricação]]-Tabela1[[#This Row],[QTE]]</f>
        <v>-1</v>
      </c>
      <c r="R875" s="18">
        <f t="shared" si="181"/>
        <v>74.45</v>
      </c>
      <c r="S875" s="18">
        <f t="shared" si="182"/>
        <v>0</v>
      </c>
      <c r="T875" s="19">
        <f t="shared" si="183"/>
        <v>-297.8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5109</v>
      </c>
      <c r="O876" s="12"/>
      <c r="P876" s="13"/>
      <c r="Q876" s="14">
        <f>Tabela1[[#This Row],[QTDE/ Fabricação]]-Tabela1[[#This Row],[QTE]]</f>
        <v>-1</v>
      </c>
      <c r="R876" s="18">
        <f t="shared" si="181"/>
        <v>221.65</v>
      </c>
      <c r="S876" s="18">
        <f t="shared" si="182"/>
        <v>0</v>
      </c>
      <c r="T876" s="19">
        <f t="shared" si="183"/>
        <v>-886.6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5109</v>
      </c>
      <c r="O877" s="12"/>
      <c r="P877" s="13"/>
      <c r="Q877" s="14">
        <f>Tabela1[[#This Row],[QTDE/ Fabricação]]-Tabela1[[#This Row],[QTE]]</f>
        <v>-1</v>
      </c>
      <c r="R877" s="18">
        <f t="shared" si="181"/>
        <v>160.85</v>
      </c>
      <c r="S877" s="18">
        <f t="shared" si="182"/>
        <v>0</v>
      </c>
      <c r="T877" s="19">
        <f t="shared" si="183"/>
        <v>-643.4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5109</v>
      </c>
      <c r="O878" s="12"/>
      <c r="P878" s="13"/>
      <c r="Q878" s="14">
        <f>Tabela1[[#This Row],[QTDE/ Fabricação]]-Tabela1[[#This Row],[QTE]]</f>
        <v>-1</v>
      </c>
      <c r="R878" s="18">
        <f t="shared" si="181"/>
        <v>92.1</v>
      </c>
      <c r="S878" s="18">
        <f t="shared" si="182"/>
        <v>0</v>
      </c>
      <c r="T878" s="19">
        <f t="shared" si="183"/>
        <v>-368.4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5109</v>
      </c>
      <c r="O879" s="12"/>
      <c r="P879" s="13"/>
      <c r="Q879" s="14">
        <f>Tabela1[[#This Row],[QTDE/ Fabricação]]-Tabela1[[#This Row],[QTE]]</f>
        <v>-1</v>
      </c>
      <c r="R879" s="18">
        <f t="shared" si="181"/>
        <v>85.174999999999997</v>
      </c>
      <c r="S879" s="18">
        <f t="shared" si="182"/>
        <v>0</v>
      </c>
      <c r="T879" s="19">
        <f t="shared" si="183"/>
        <v>-340.7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5109</v>
      </c>
      <c r="O880" s="12"/>
      <c r="P880" s="13"/>
      <c r="Q880" s="14">
        <f>Tabela1[[#This Row],[QTDE/ Fabricação]]-Tabela1[[#This Row],[QTE]]</f>
        <v>-4</v>
      </c>
      <c r="R880" s="18">
        <f t="shared" si="181"/>
        <v>6.2</v>
      </c>
      <c r="S880" s="18">
        <f t="shared" si="182"/>
        <v>0</v>
      </c>
      <c r="T880" s="19">
        <f t="shared" si="183"/>
        <v>-24.8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5109</v>
      </c>
      <c r="O881" s="12"/>
      <c r="P881" s="13"/>
      <c r="Q881" s="14">
        <f>Tabela1[[#This Row],[QTDE/ Fabricação]]-Tabela1[[#This Row],[QTE]]</f>
        <v>-1</v>
      </c>
      <c r="R881" s="18">
        <f t="shared" si="181"/>
        <v>78.099999999999994</v>
      </c>
      <c r="S881" s="18">
        <f t="shared" si="182"/>
        <v>0</v>
      </c>
      <c r="T881" s="19">
        <f t="shared" si="183"/>
        <v>-312.39999999999998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5109</v>
      </c>
      <c r="O882" s="12"/>
      <c r="P882" s="13"/>
      <c r="Q882" s="14">
        <f>Tabela1[[#This Row],[QTDE/ Fabricação]]-Tabela1[[#This Row],[QTE]]</f>
        <v>-2</v>
      </c>
      <c r="R882" s="18">
        <f t="shared" si="181"/>
        <v>2.7</v>
      </c>
      <c r="S882" s="18">
        <f t="shared" si="182"/>
        <v>0</v>
      </c>
      <c r="T882" s="19">
        <f t="shared" si="183"/>
        <v>-10.8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5109</v>
      </c>
      <c r="O883" s="12"/>
      <c r="P883" s="13"/>
      <c r="Q883" s="14">
        <f>Tabela1[[#This Row],[QTDE/ Fabricação]]-Tabela1[[#This Row],[QTE]]</f>
        <v>-2</v>
      </c>
      <c r="R883" s="18">
        <f t="shared" si="181"/>
        <v>2.35</v>
      </c>
      <c r="S883" s="18">
        <f t="shared" si="182"/>
        <v>0</v>
      </c>
      <c r="T883" s="19">
        <f t="shared" si="183"/>
        <v>-9.4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5109</v>
      </c>
      <c r="O884" s="12"/>
      <c r="P884" s="13"/>
      <c r="Q884" s="14">
        <f>Tabela1[[#This Row],[QTDE/ Fabricação]]-Tabela1[[#This Row],[QTE]]</f>
        <v>-1</v>
      </c>
      <c r="R884" s="18">
        <f t="shared" si="181"/>
        <v>52.85</v>
      </c>
      <c r="S884" s="18">
        <f t="shared" si="182"/>
        <v>0</v>
      </c>
      <c r="T884" s="19">
        <f t="shared" si="183"/>
        <v>-211.4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511.63500000000005</v>
      </c>
      <c r="S885" s="18">
        <f t="shared" si="182"/>
        <v>0</v>
      </c>
      <c r="T885" s="19">
        <f t="shared" si="183"/>
        <v>-593.20000000000005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0.5</v>
      </c>
      <c r="AF885" s="33">
        <v>0.5</v>
      </c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720.7</v>
      </c>
      <c r="H886" s="34">
        <f>Tabela1[[#This Row],[PESO UNI]]*Tabela1[[#This Row],[QTE]]</f>
        <v>720.7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621.6037500000001</v>
      </c>
      <c r="S886" s="18">
        <f t="shared" si="182"/>
        <v>0</v>
      </c>
      <c r="T886" s="19">
        <f t="shared" si="183"/>
        <v>-720.7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720.7</v>
      </c>
      <c r="AA886" s="17">
        <v>1</v>
      </c>
      <c r="AB886" s="33"/>
      <c r="AC886" s="17">
        <v>1</v>
      </c>
      <c r="AD886" s="33">
        <v>1</v>
      </c>
      <c r="AE886" s="33">
        <v>0.5</v>
      </c>
      <c r="AF886" s="33">
        <v>0.5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497.8</v>
      </c>
      <c r="H888" s="34">
        <f>Tabela1[[#This Row],[PESO UNI]]*Tabela1[[#This Row],[QTE]]</f>
        <v>497.8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429.35250000000002</v>
      </c>
      <c r="S888" s="18">
        <f t="shared" si="182"/>
        <v>0</v>
      </c>
      <c r="T888" s="19">
        <f t="shared" si="183"/>
        <v>-497.8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497.8</v>
      </c>
      <c r="AA888" s="17">
        <v>1</v>
      </c>
      <c r="AB888" s="33"/>
      <c r="AC888" s="17">
        <v>1</v>
      </c>
      <c r="AD888" s="33">
        <v>1</v>
      </c>
      <c r="AE888" s="33">
        <v>0.5</v>
      </c>
      <c r="AF888" s="33">
        <v>0.5</v>
      </c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418.14000000000004</v>
      </c>
      <c r="S889" s="18">
        <f t="shared" si="182"/>
        <v>0</v>
      </c>
      <c r="T889" s="19">
        <f t="shared" si="183"/>
        <v>-484.8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0.5</v>
      </c>
      <c r="AF889" s="33">
        <v>0.5</v>
      </c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941</v>
      </c>
      <c r="H890" s="34">
        <f>Tabela1[[#This Row],[PESO UNI]]*Tabela1[[#This Row],[QTE]]</f>
        <v>941</v>
      </c>
      <c r="I890" s="7">
        <v>0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811.61250000000007</v>
      </c>
      <c r="S890" s="18">
        <f t="shared" si="182"/>
        <v>0</v>
      </c>
      <c r="T890" s="19">
        <f t="shared" si="183"/>
        <v>-941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941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239</v>
      </c>
      <c r="H891" s="34">
        <f>Tabela1[[#This Row],[PESO UNI]]*Tabela1[[#This Row],[QTE]]</f>
        <v>239</v>
      </c>
      <c r="I891" s="7">
        <v>0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206.13750000000002</v>
      </c>
      <c r="S891" s="18">
        <f t="shared" si="182"/>
        <v>0</v>
      </c>
      <c r="T891" s="19">
        <f t="shared" si="183"/>
        <v>-239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239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5109</v>
      </c>
      <c r="O892" s="12"/>
      <c r="P892" s="13"/>
      <c r="Q892" s="14">
        <f>Tabela1[[#This Row],[QTDE/ Fabricação]]-Tabela1[[#This Row],[QTE]]</f>
        <v>-1</v>
      </c>
      <c r="R892" s="18">
        <f t="shared" si="181"/>
        <v>190.85</v>
      </c>
      <c r="S892" s="18">
        <f t="shared" si="182"/>
        <v>0</v>
      </c>
      <c r="T892" s="19">
        <f t="shared" si="183"/>
        <v>-763.4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5109</v>
      </c>
      <c r="O893" s="12"/>
      <c r="P893" s="13"/>
      <c r="Q893" s="14">
        <f>Tabela1[[#This Row],[QTDE/ Fabricação]]-Tabela1[[#This Row],[QTE]]</f>
        <v>-1</v>
      </c>
      <c r="R893" s="18">
        <f t="shared" si="181"/>
        <v>127.125</v>
      </c>
      <c r="S893" s="18">
        <f t="shared" si="182"/>
        <v>0</v>
      </c>
      <c r="T893" s="19">
        <f t="shared" si="183"/>
        <v>-508.5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5109</v>
      </c>
      <c r="O894" s="12"/>
      <c r="P894" s="13"/>
      <c r="Q894" s="14">
        <f>Tabela1[[#This Row],[QTDE/ Fabricação]]-Tabela1[[#This Row],[QTE]]</f>
        <v>-1</v>
      </c>
      <c r="R894" s="18">
        <f t="shared" si="181"/>
        <v>110.3</v>
      </c>
      <c r="S894" s="18">
        <f t="shared" si="182"/>
        <v>0</v>
      </c>
      <c r="T894" s="19">
        <f t="shared" si="183"/>
        <v>-441.2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5109</v>
      </c>
      <c r="O895" s="12"/>
      <c r="P895" s="13"/>
      <c r="Q895" s="14">
        <f>Tabela1[[#This Row],[QTDE/ Fabricação]]-Tabela1[[#This Row],[QTE]]</f>
        <v>-1</v>
      </c>
      <c r="R895" s="18">
        <f t="shared" si="181"/>
        <v>181.42500000000001</v>
      </c>
      <c r="S895" s="18">
        <f t="shared" si="182"/>
        <v>0</v>
      </c>
      <c r="T895" s="19">
        <f t="shared" si="183"/>
        <v>-725.7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5109</v>
      </c>
      <c r="O896" s="12"/>
      <c r="P896" s="13"/>
      <c r="Q896" s="14">
        <f>Tabela1[[#This Row],[QTDE/ Fabricação]]-Tabela1[[#This Row],[QTE]]</f>
        <v>-1</v>
      </c>
      <c r="R896" s="18">
        <f t="shared" si="181"/>
        <v>87.55</v>
      </c>
      <c r="S896" s="18">
        <f t="shared" si="182"/>
        <v>0</v>
      </c>
      <c r="T896" s="19">
        <f t="shared" si="183"/>
        <v>-350.2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5109</v>
      </c>
      <c r="O897" s="12"/>
      <c r="P897" s="13"/>
      <c r="Q897" s="14">
        <f>Tabela1[[#This Row],[QTDE/ Fabricação]]-Tabela1[[#This Row],[QTE]]</f>
        <v>-3</v>
      </c>
      <c r="R897" s="18">
        <f t="shared" si="181"/>
        <v>2.3250000000000002</v>
      </c>
      <c r="S897" s="18">
        <f t="shared" si="182"/>
        <v>0</v>
      </c>
      <c r="T897" s="19">
        <f t="shared" si="183"/>
        <v>-9.3000000000000007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5109</v>
      </c>
      <c r="O898" s="12"/>
      <c r="P898" s="13"/>
      <c r="Q898" s="14">
        <f>Tabela1[[#This Row],[QTDE/ Fabricação]]-Tabela1[[#This Row],[QTE]]</f>
        <v>-1</v>
      </c>
      <c r="R898" s="18">
        <f t="shared" si="181"/>
        <v>8.25</v>
      </c>
      <c r="S898" s="18">
        <f t="shared" si="182"/>
        <v>0</v>
      </c>
      <c r="T898" s="19">
        <f t="shared" si="183"/>
        <v>-33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5104</v>
      </c>
      <c r="B899" s="21" t="s">
        <v>5105</v>
      </c>
      <c r="C899" s="1">
        <v>1</v>
      </c>
      <c r="D899" s="1" t="s">
        <v>5106</v>
      </c>
      <c r="E899" s="7">
        <v>4552</v>
      </c>
      <c r="F899" s="7">
        <v>57</v>
      </c>
      <c r="G899" s="1">
        <v>166.8</v>
      </c>
      <c r="H899" s="34">
        <f>Tabela1[[#This Row],[PESO UNI]]*Tabela1[[#This Row],[QTE]]</f>
        <v>166.8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5109</v>
      </c>
      <c r="O899" s="12"/>
      <c r="P899" s="13"/>
      <c r="Q899" s="14">
        <f>Tabela1[[#This Row],[QTDE/ Fabricação]]-Tabela1[[#This Row],[QTE]]</f>
        <v>-1</v>
      </c>
      <c r="R899" s="18">
        <f t="shared" si="181"/>
        <v>41.7</v>
      </c>
      <c r="S899" s="18">
        <f t="shared" si="182"/>
        <v>0</v>
      </c>
      <c r="T899" s="19">
        <f t="shared" si="183"/>
        <v>-166.8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166.8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5104</v>
      </c>
      <c r="B900" s="21" t="s">
        <v>5105</v>
      </c>
      <c r="C900" s="1">
        <v>1</v>
      </c>
      <c r="D900" s="1" t="s">
        <v>5107</v>
      </c>
      <c r="E900" s="7">
        <v>4553</v>
      </c>
      <c r="F900" s="7">
        <v>57</v>
      </c>
      <c r="G900" s="1">
        <v>484.2</v>
      </c>
      <c r="H900" s="34">
        <f>Tabela1[[#This Row],[PESO UNI]]*Tabela1[[#This Row],[QTE]]</f>
        <v>484.2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5109</v>
      </c>
      <c r="O900" s="12"/>
      <c r="P900" s="13"/>
      <c r="Q900" s="14">
        <f>Tabela1[[#This Row],[QTDE/ Fabricação]]-Tabela1[[#This Row],[QTE]]</f>
        <v>-1</v>
      </c>
      <c r="R900" s="18">
        <f t="shared" si="181"/>
        <v>121.05</v>
      </c>
      <c r="S900" s="18">
        <f t="shared" si="182"/>
        <v>0</v>
      </c>
      <c r="T900" s="19">
        <f t="shared" si="183"/>
        <v>-484.2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4"/>
        <v>-1</v>
      </c>
      <c r="Z900" s="20">
        <f>Tabela1[[#This Row],[PESO TOTAL]]-Tabela1[[#This Row],[Peso Expedido]]</f>
        <v>484.2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5104</v>
      </c>
      <c r="B901" s="21" t="s">
        <v>5105</v>
      </c>
      <c r="C901" s="1">
        <v>1</v>
      </c>
      <c r="D901" s="1" t="s">
        <v>5108</v>
      </c>
      <c r="E901" s="7">
        <v>4554</v>
      </c>
      <c r="F901" s="7">
        <v>57</v>
      </c>
      <c r="G901" s="1">
        <v>268.39999999999998</v>
      </c>
      <c r="H901" s="34">
        <f>Tabela1[[#This Row],[PESO UNI]]*Tabela1[[#This Row],[QTE]]</f>
        <v>268.39999999999998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5109</v>
      </c>
      <c r="O901" s="12"/>
      <c r="P901" s="13"/>
      <c r="Q901" s="14">
        <f>Tabela1[[#This Row],[QTDE/ Fabricação]]-Tabela1[[#This Row],[QTE]]</f>
        <v>-1</v>
      </c>
      <c r="R901" s="18">
        <f t="shared" si="181"/>
        <v>67.099999999999994</v>
      </c>
      <c r="S901" s="18">
        <f t="shared" si="182"/>
        <v>0</v>
      </c>
      <c r="T901" s="19">
        <f t="shared" si="183"/>
        <v>-268.39999999999998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4"/>
        <v>-1</v>
      </c>
      <c r="Z901" s="20">
        <f>Tabela1[[#This Row],[PESO TOTAL]]-Tabela1[[#This Row],[Peso Expedido]]</f>
        <v>268.39999999999998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5110</v>
      </c>
      <c r="B902" s="21" t="s">
        <v>5111</v>
      </c>
      <c r="C902" s="1">
        <v>1</v>
      </c>
      <c r="D902" s="1" t="s">
        <v>5112</v>
      </c>
      <c r="E902" s="7">
        <v>4555</v>
      </c>
      <c r="F902" s="7">
        <v>58</v>
      </c>
      <c r="G902" s="1">
        <v>84.46</v>
      </c>
      <c r="H902" s="34">
        <f>Tabela1[[#This Row],[PESO UNI]]*Tabela1[[#This Row],[QTE]]</f>
        <v>84.46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5109</v>
      </c>
      <c r="O902" s="12"/>
      <c r="P902" s="13"/>
      <c r="Q902" s="14">
        <f>Tabela1[[#This Row],[QTDE/ Fabricação]]-Tabela1[[#This Row],[QTE]]</f>
        <v>-1</v>
      </c>
      <c r="R902" s="18">
        <f t="shared" si="181"/>
        <v>21.114999999999998</v>
      </c>
      <c r="S902" s="18">
        <f t="shared" si="182"/>
        <v>0</v>
      </c>
      <c r="T902" s="19">
        <f t="shared" si="183"/>
        <v>-84.46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4"/>
        <v>-1</v>
      </c>
      <c r="Z902" s="20">
        <f>Tabela1[[#This Row],[PESO TOTAL]]-Tabela1[[#This Row],[Peso Expedido]]</f>
        <v>84.46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5110</v>
      </c>
      <c r="B903" s="21" t="s">
        <v>5111</v>
      </c>
      <c r="C903" s="1">
        <v>2</v>
      </c>
      <c r="D903" s="1" t="s">
        <v>5113</v>
      </c>
      <c r="E903" s="7">
        <v>4556</v>
      </c>
      <c r="F903" s="7">
        <v>58</v>
      </c>
      <c r="G903" s="1">
        <v>69.61</v>
      </c>
      <c r="H903" s="34">
        <f>Tabela1[[#This Row],[PESO UNI]]*Tabela1[[#This Row],[QTE]]</f>
        <v>139.22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5109</v>
      </c>
      <c r="O903" s="12"/>
      <c r="P903" s="13"/>
      <c r="Q903" s="14">
        <f>Tabela1[[#This Row],[QTDE/ Fabricação]]-Tabela1[[#This Row],[QTE]]</f>
        <v>-2</v>
      </c>
      <c r="R903" s="18">
        <f t="shared" ref="R903:R934" si="185">IFERROR(H903*((AA903*0.25)+(AC903*0.25)+(AD903*0.225)+(AE903*0.225)+(AF903*0.05)),"")</f>
        <v>34.805</v>
      </c>
      <c r="S903" s="18">
        <f t="shared" ref="S903:S934" si="186">IFERROR(H903*AG903,"")</f>
        <v>0</v>
      </c>
      <c r="T903" s="19">
        <f t="shared" ref="T903:T934" si="187">IFERROR(S903-H903,"")</f>
        <v>-139.22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ref="Y903:Y934" si="188">U903-C903</f>
        <v>-2</v>
      </c>
      <c r="Z903" s="20">
        <f>Tabela1[[#This Row],[PESO TOTAL]]-Tabela1[[#This Row],[Peso Expedido]]</f>
        <v>139.22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5110</v>
      </c>
      <c r="B904" s="21" t="s">
        <v>5111</v>
      </c>
      <c r="C904" s="1">
        <v>2</v>
      </c>
      <c r="D904" s="1" t="s">
        <v>5114</v>
      </c>
      <c r="E904" s="7">
        <v>4557</v>
      </c>
      <c r="F904" s="7">
        <v>58</v>
      </c>
      <c r="G904" s="1">
        <v>30.38</v>
      </c>
      <c r="H904" s="34">
        <f>Tabela1[[#This Row],[PESO UNI]]*Tabela1[[#This Row],[QTE]]</f>
        <v>60.76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5109</v>
      </c>
      <c r="O904" s="12"/>
      <c r="P904" s="13"/>
      <c r="Q904" s="14">
        <f>Tabela1[[#This Row],[QTDE/ Fabricação]]-Tabela1[[#This Row],[QTE]]</f>
        <v>-2</v>
      </c>
      <c r="R904" s="18">
        <f t="shared" si="185"/>
        <v>15.19</v>
      </c>
      <c r="S904" s="18">
        <f t="shared" si="186"/>
        <v>0</v>
      </c>
      <c r="T904" s="19">
        <f t="shared" si="187"/>
        <v>-60.76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60.76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5110</v>
      </c>
      <c r="B905" s="21" t="s">
        <v>5111</v>
      </c>
      <c r="C905" s="1">
        <v>6</v>
      </c>
      <c r="D905" s="1" t="s">
        <v>5115</v>
      </c>
      <c r="E905" s="7">
        <v>4558</v>
      </c>
      <c r="F905" s="7">
        <v>58</v>
      </c>
      <c r="G905" s="1">
        <v>6.07</v>
      </c>
      <c r="H905" s="34">
        <f>Tabela1[[#This Row],[PESO UNI]]*Tabela1[[#This Row],[QTE]]</f>
        <v>36.42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5109</v>
      </c>
      <c r="O905" s="12"/>
      <c r="P905" s="13"/>
      <c r="Q905" s="14">
        <f>Tabela1[[#This Row],[QTDE/ Fabricação]]-Tabela1[[#This Row],[QTE]]</f>
        <v>-6</v>
      </c>
      <c r="R905" s="18">
        <f t="shared" si="185"/>
        <v>9.1050000000000004</v>
      </c>
      <c r="S905" s="18">
        <f t="shared" si="186"/>
        <v>0</v>
      </c>
      <c r="T905" s="19">
        <f t="shared" si="187"/>
        <v>-36.42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-6</v>
      </c>
      <c r="Z905" s="20">
        <f>Tabela1[[#This Row],[PESO TOTAL]]-Tabela1[[#This Row],[Peso Expedido]]</f>
        <v>36.42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5110</v>
      </c>
      <c r="B906" s="21" t="s">
        <v>5111</v>
      </c>
      <c r="C906" s="1">
        <v>1</v>
      </c>
      <c r="D906" s="1" t="s">
        <v>5116</v>
      </c>
      <c r="E906" s="7">
        <v>4559</v>
      </c>
      <c r="F906" s="7">
        <v>58</v>
      </c>
      <c r="G906" s="1">
        <v>22.07</v>
      </c>
      <c r="H906" s="34">
        <f>Tabela1[[#This Row],[PESO UNI]]*Tabela1[[#This Row],[QTE]]</f>
        <v>22.07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5109</v>
      </c>
      <c r="O906" s="12"/>
      <c r="P906" s="13"/>
      <c r="Q906" s="14">
        <f>Tabela1[[#This Row],[QTDE/ Fabricação]]-Tabela1[[#This Row],[QTE]]</f>
        <v>-1</v>
      </c>
      <c r="R906" s="18">
        <f>IFERROR(H906*((AA906*0.25)+(AC906*0.25)+(AD906*0.225)+(AE906*0.225)+(AF906*0.05)),"")</f>
        <v>5.5175000000000001</v>
      </c>
      <c r="S906" s="18">
        <f t="shared" si="186"/>
        <v>0</v>
      </c>
      <c r="T906" s="19">
        <f t="shared" si="187"/>
        <v>-22.07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22.07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5110</v>
      </c>
      <c r="B907" s="21" t="s">
        <v>5111</v>
      </c>
      <c r="C907" s="1">
        <v>1</v>
      </c>
      <c r="D907" s="1" t="s">
        <v>5117</v>
      </c>
      <c r="E907" s="7">
        <v>4560</v>
      </c>
      <c r="F907" s="7">
        <v>58</v>
      </c>
      <c r="G907" s="1">
        <v>33.590000000000003</v>
      </c>
      <c r="H907" s="34">
        <f>Tabela1[[#This Row],[PESO UNI]]*Tabela1[[#This Row],[QTE]]</f>
        <v>33.590000000000003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5109</v>
      </c>
      <c r="O907" s="12"/>
      <c r="P907" s="13"/>
      <c r="Q907" s="14">
        <f>Tabela1[[#This Row],[QTDE/ Fabricação]]-Tabela1[[#This Row],[QTE]]</f>
        <v>-1</v>
      </c>
      <c r="R907" s="18">
        <f>IFERROR(H907*((AA907*0.25)+(AC907*0.25)+(AD907*0.225)+(AE907*0.225)+(AF907*0.05)),"")</f>
        <v>8.3975000000000009</v>
      </c>
      <c r="S907" s="18">
        <f t="shared" si="186"/>
        <v>0</v>
      </c>
      <c r="T907" s="19">
        <f t="shared" si="187"/>
        <v>-33.590000000000003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33.590000000000003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5110</v>
      </c>
      <c r="B908" s="21" t="s">
        <v>5111</v>
      </c>
      <c r="C908" s="1">
        <v>1</v>
      </c>
      <c r="D908" s="1" t="s">
        <v>5118</v>
      </c>
      <c r="E908" s="7">
        <v>4561</v>
      </c>
      <c r="F908" s="7">
        <v>58</v>
      </c>
      <c r="G908" s="1">
        <v>20.48</v>
      </c>
      <c r="H908" s="34">
        <f>Tabela1[[#This Row],[PESO UNI]]*Tabela1[[#This Row],[QTE]]</f>
        <v>20.48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5109</v>
      </c>
      <c r="O908" s="12"/>
      <c r="P908" s="13"/>
      <c r="Q908" s="14">
        <f>Tabela1[[#This Row],[QTDE/ Fabricação]]-Tabela1[[#This Row],[QTE]]</f>
        <v>-1</v>
      </c>
      <c r="R908" s="18">
        <f t="shared" si="185"/>
        <v>5.12</v>
      </c>
      <c r="S908" s="18">
        <f t="shared" si="186"/>
        <v>0</v>
      </c>
      <c r="T908" s="19">
        <f t="shared" si="187"/>
        <v>-20.48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20.48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5110</v>
      </c>
      <c r="B909" s="21" t="s">
        <v>5111</v>
      </c>
      <c r="C909" s="1">
        <v>2</v>
      </c>
      <c r="D909" s="1" t="s">
        <v>5119</v>
      </c>
      <c r="E909" s="7">
        <v>4562</v>
      </c>
      <c r="F909" s="7">
        <v>58</v>
      </c>
      <c r="G909" s="1">
        <v>18.54</v>
      </c>
      <c r="H909" s="34">
        <f>Tabela1[[#This Row],[PESO UNI]]*Tabela1[[#This Row],[QTE]]</f>
        <v>37.08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5109</v>
      </c>
      <c r="O909" s="12"/>
      <c r="P909" s="13"/>
      <c r="Q909" s="14">
        <f>Tabela1[[#This Row],[QTDE/ Fabricação]]-Tabela1[[#This Row],[QTE]]</f>
        <v>-2</v>
      </c>
      <c r="R909" s="18">
        <f t="shared" si="185"/>
        <v>9.27</v>
      </c>
      <c r="S909" s="18">
        <f t="shared" si="186"/>
        <v>0</v>
      </c>
      <c r="T909" s="19">
        <f t="shared" si="187"/>
        <v>-37.08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-2</v>
      </c>
      <c r="Z909" s="20">
        <f>Tabela1[[#This Row],[PESO TOTAL]]-Tabela1[[#This Row],[Peso Expedido]]</f>
        <v>37.08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5120</v>
      </c>
      <c r="B910" s="21" t="s">
        <v>5121</v>
      </c>
      <c r="C910" s="1">
        <v>1</v>
      </c>
      <c r="D910" s="1" t="s">
        <v>5122</v>
      </c>
      <c r="E910" s="7">
        <v>4563</v>
      </c>
      <c r="F910" s="7">
        <v>58</v>
      </c>
      <c r="G910" s="1">
        <v>82.5</v>
      </c>
      <c r="H910" s="34">
        <f>Tabela1[[#This Row],[PESO UNI]]*Tabela1[[#This Row],[QTE]]</f>
        <v>82.5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5109</v>
      </c>
      <c r="O910" s="12"/>
      <c r="P910" s="13"/>
      <c r="Q910" s="14">
        <f>Tabela1[[#This Row],[QTDE/ Fabricação]]-Tabela1[[#This Row],[QTE]]</f>
        <v>-1</v>
      </c>
      <c r="R910" s="18">
        <f t="shared" si="185"/>
        <v>20.625</v>
      </c>
      <c r="S910" s="18">
        <f t="shared" si="186"/>
        <v>0</v>
      </c>
      <c r="T910" s="19">
        <f t="shared" si="187"/>
        <v>-82.5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82.5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5120</v>
      </c>
      <c r="B911" s="21" t="s">
        <v>5121</v>
      </c>
      <c r="C911" s="1">
        <v>1</v>
      </c>
      <c r="D911" s="1" t="s">
        <v>5123</v>
      </c>
      <c r="E911" s="7">
        <v>4564</v>
      </c>
      <c r="F911" s="7">
        <v>58</v>
      </c>
      <c r="G911" s="1">
        <v>81.86</v>
      </c>
      <c r="H911" s="34">
        <f>Tabela1[[#This Row],[PESO UNI]]*Tabela1[[#This Row],[QTE]]</f>
        <v>81.86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5109</v>
      </c>
      <c r="O911" s="12"/>
      <c r="P911" s="13"/>
      <c r="Q911" s="14">
        <f>Tabela1[[#This Row],[QTDE/ Fabricação]]-Tabela1[[#This Row],[QTE]]</f>
        <v>-1</v>
      </c>
      <c r="R911" s="18">
        <f t="shared" si="185"/>
        <v>20.465</v>
      </c>
      <c r="S911" s="18">
        <f t="shared" si="186"/>
        <v>0</v>
      </c>
      <c r="T911" s="19">
        <f t="shared" si="187"/>
        <v>-81.86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81.86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5124</v>
      </c>
      <c r="B912" s="21" t="s">
        <v>5125</v>
      </c>
      <c r="C912" s="1">
        <v>3</v>
      </c>
      <c r="D912" s="1" t="s">
        <v>5126</v>
      </c>
      <c r="E912" s="7">
        <v>4565</v>
      </c>
      <c r="F912" s="7">
        <v>58</v>
      </c>
      <c r="G912" s="1">
        <v>83.82</v>
      </c>
      <c r="H912" s="34">
        <f>Tabela1[[#This Row],[PESO UNI]]*Tabela1[[#This Row],[QTE]]</f>
        <v>251.45999999999998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5109</v>
      </c>
      <c r="O912" s="12"/>
      <c r="P912" s="13"/>
      <c r="Q912" s="14">
        <f>Tabela1[[#This Row],[QTDE/ Fabricação]]-Tabela1[[#This Row],[QTE]]</f>
        <v>-3</v>
      </c>
      <c r="R912" s="18">
        <f t="shared" si="185"/>
        <v>62.864999999999995</v>
      </c>
      <c r="S912" s="18">
        <f t="shared" si="186"/>
        <v>0</v>
      </c>
      <c r="T912" s="19">
        <f t="shared" si="187"/>
        <v>-251.45999999999998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-3</v>
      </c>
      <c r="Z912" s="20">
        <f>Tabela1[[#This Row],[PESO TOTAL]]-Tabela1[[#This Row],[Peso Expedido]]</f>
        <v>251.45999999999998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5124</v>
      </c>
      <c r="B913" s="21" t="s">
        <v>5125</v>
      </c>
      <c r="C913" s="1">
        <v>2</v>
      </c>
      <c r="D913" s="1" t="s">
        <v>5127</v>
      </c>
      <c r="E913" s="7">
        <v>4566</v>
      </c>
      <c r="F913" s="7">
        <v>58</v>
      </c>
      <c r="G913" s="1">
        <v>85.1</v>
      </c>
      <c r="H913" s="34">
        <f>Tabela1[[#This Row],[PESO UNI]]*Tabela1[[#This Row],[QTE]]</f>
        <v>170.2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5109</v>
      </c>
      <c r="O913" s="12"/>
      <c r="P913" s="13"/>
      <c r="Q913" s="14">
        <f>Tabela1[[#This Row],[QTDE/ Fabricação]]-Tabela1[[#This Row],[QTE]]</f>
        <v>-2</v>
      </c>
      <c r="R913" s="18">
        <f t="shared" si="185"/>
        <v>42.55</v>
      </c>
      <c r="S913" s="18">
        <f t="shared" si="186"/>
        <v>0</v>
      </c>
      <c r="T913" s="19">
        <f t="shared" si="187"/>
        <v>-170.2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-2</v>
      </c>
      <c r="Z913" s="20">
        <f>Tabela1[[#This Row],[PESO TOTAL]]-Tabela1[[#This Row],[Peso Expedido]]</f>
        <v>170.2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5128</v>
      </c>
      <c r="B914" s="21" t="s">
        <v>5129</v>
      </c>
      <c r="C914" s="1">
        <v>1</v>
      </c>
      <c r="D914" s="1" t="s">
        <v>5130</v>
      </c>
      <c r="E914" s="7">
        <v>4567</v>
      </c>
      <c r="F914" s="7">
        <v>58</v>
      </c>
      <c r="G914" s="1">
        <v>86.97</v>
      </c>
      <c r="H914" s="34">
        <f>Tabela1[[#This Row],[PESO UNI]]*Tabela1[[#This Row],[QTE]]</f>
        <v>86.97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5109</v>
      </c>
      <c r="O914" s="12"/>
      <c r="P914" s="13"/>
      <c r="Q914" s="14">
        <f>Tabela1[[#This Row],[QTDE/ Fabricação]]-Tabela1[[#This Row],[QTE]]</f>
        <v>-1</v>
      </c>
      <c r="R914" s="18">
        <f t="shared" si="185"/>
        <v>21.7425</v>
      </c>
      <c r="S914" s="18">
        <f t="shared" si="186"/>
        <v>0</v>
      </c>
      <c r="T914" s="19">
        <f t="shared" si="187"/>
        <v>-86.97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86.97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5128</v>
      </c>
      <c r="B915" s="21" t="s">
        <v>5129</v>
      </c>
      <c r="C915" s="1">
        <v>1</v>
      </c>
      <c r="D915" s="1" t="s">
        <v>5131</v>
      </c>
      <c r="E915" s="7">
        <v>4568</v>
      </c>
      <c r="F915" s="7">
        <v>58</v>
      </c>
      <c r="G915" s="1">
        <v>87.61</v>
      </c>
      <c r="H915" s="34">
        <f>Tabela1[[#This Row],[PESO UNI]]*Tabela1[[#This Row],[QTE]]</f>
        <v>87.61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5109</v>
      </c>
      <c r="O915" s="12"/>
      <c r="P915" s="13"/>
      <c r="Q915" s="14">
        <f>Tabela1[[#This Row],[QTDE/ Fabricação]]-Tabela1[[#This Row],[QTE]]</f>
        <v>-1</v>
      </c>
      <c r="R915" s="18">
        <f t="shared" si="185"/>
        <v>21.9025</v>
      </c>
      <c r="S915" s="18">
        <f t="shared" si="186"/>
        <v>0</v>
      </c>
      <c r="T915" s="19">
        <f t="shared" si="187"/>
        <v>-87.61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-1</v>
      </c>
      <c r="Z915" s="20">
        <f>Tabela1[[#This Row],[PESO TOTAL]]-Tabela1[[#This Row],[Peso Expedido]]</f>
        <v>87.61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5132</v>
      </c>
      <c r="B916" s="21" t="s">
        <v>5133</v>
      </c>
      <c r="C916" s="1">
        <v>4</v>
      </c>
      <c r="D916" s="1" t="s">
        <v>5134</v>
      </c>
      <c r="E916" s="7">
        <v>4569</v>
      </c>
      <c r="F916" s="7">
        <v>58</v>
      </c>
      <c r="G916" s="1">
        <v>26.26</v>
      </c>
      <c r="H916" s="34">
        <f>Tabela1[[#This Row],[PESO UNI]]*Tabela1[[#This Row],[QTE]]</f>
        <v>105.04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5109</v>
      </c>
      <c r="O916" s="12"/>
      <c r="P916" s="13"/>
      <c r="Q916" s="14">
        <f>Tabela1[[#This Row],[QTDE/ Fabricação]]-Tabela1[[#This Row],[QTE]]</f>
        <v>-4</v>
      </c>
      <c r="R916" s="18">
        <f t="shared" si="185"/>
        <v>26.26</v>
      </c>
      <c r="S916" s="18">
        <f t="shared" si="186"/>
        <v>0</v>
      </c>
      <c r="T916" s="19">
        <f t="shared" si="187"/>
        <v>-105.04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-4</v>
      </c>
      <c r="Z916" s="20">
        <f>Tabela1[[#This Row],[PESO TOTAL]]-Tabela1[[#This Row],[Peso Expedido]]</f>
        <v>105.04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5132</v>
      </c>
      <c r="B917" s="21" t="s">
        <v>5133</v>
      </c>
      <c r="C917" s="1">
        <v>4</v>
      </c>
      <c r="D917" s="1" t="s">
        <v>5135</v>
      </c>
      <c r="E917" s="7">
        <v>4570</v>
      </c>
      <c r="F917" s="7">
        <v>58</v>
      </c>
      <c r="G917" s="1">
        <v>31.82</v>
      </c>
      <c r="H917" s="34">
        <f>Tabela1[[#This Row],[PESO UNI]]*Tabela1[[#This Row],[QTE]]</f>
        <v>127.28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5109</v>
      </c>
      <c r="O917" s="12"/>
      <c r="P917" s="13"/>
      <c r="Q917" s="14">
        <f>Tabela1[[#This Row],[QTDE/ Fabricação]]-Tabela1[[#This Row],[QTE]]</f>
        <v>-4</v>
      </c>
      <c r="R917" s="18">
        <f t="shared" si="185"/>
        <v>31.82</v>
      </c>
      <c r="S917" s="18">
        <f t="shared" si="186"/>
        <v>0</v>
      </c>
      <c r="T917" s="19">
        <f t="shared" si="187"/>
        <v>-127.28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-4</v>
      </c>
      <c r="Z917" s="20">
        <f>Tabela1[[#This Row],[PESO TOTAL]]-Tabela1[[#This Row],[Peso Expedido]]</f>
        <v>127.28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5132</v>
      </c>
      <c r="B918" s="21" t="s">
        <v>5133</v>
      </c>
      <c r="C918" s="1">
        <v>4</v>
      </c>
      <c r="D918" s="1" t="s">
        <v>5136</v>
      </c>
      <c r="E918" s="7">
        <v>4571</v>
      </c>
      <c r="F918" s="7">
        <v>58</v>
      </c>
      <c r="G918" s="1">
        <v>30.1</v>
      </c>
      <c r="H918" s="34">
        <f>Tabela1[[#This Row],[PESO UNI]]*Tabela1[[#This Row],[QTE]]</f>
        <v>120.4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5109</v>
      </c>
      <c r="O918" s="12"/>
      <c r="P918" s="13"/>
      <c r="Q918" s="14">
        <f>Tabela1[[#This Row],[QTDE/ Fabricação]]-Tabela1[[#This Row],[QTE]]</f>
        <v>-4</v>
      </c>
      <c r="R918" s="18">
        <f t="shared" si="185"/>
        <v>30.1</v>
      </c>
      <c r="S918" s="18">
        <f t="shared" si="186"/>
        <v>0</v>
      </c>
      <c r="T918" s="19">
        <f t="shared" si="187"/>
        <v>-120.4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-4</v>
      </c>
      <c r="Z918" s="20">
        <f>Tabela1[[#This Row],[PESO TOTAL]]-Tabela1[[#This Row],[Peso Expedido]]</f>
        <v>120.4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5132</v>
      </c>
      <c r="B919" s="21" t="s">
        <v>5133</v>
      </c>
      <c r="C919" s="1">
        <v>4</v>
      </c>
      <c r="D919" s="1" t="s">
        <v>5137</v>
      </c>
      <c r="E919" s="7">
        <v>4572</v>
      </c>
      <c r="F919" s="7">
        <v>58</v>
      </c>
      <c r="G919" s="1">
        <v>34.200000000000003</v>
      </c>
      <c r="H919" s="34">
        <f>Tabela1[[#This Row],[PESO UNI]]*Tabela1[[#This Row],[QTE]]</f>
        <v>136.80000000000001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5109</v>
      </c>
      <c r="O919" s="12"/>
      <c r="P919" s="13"/>
      <c r="Q919" s="14">
        <f>Tabela1[[#This Row],[QTDE/ Fabricação]]-Tabela1[[#This Row],[QTE]]</f>
        <v>-4</v>
      </c>
      <c r="R919" s="18">
        <f t="shared" si="185"/>
        <v>34.200000000000003</v>
      </c>
      <c r="S919" s="18">
        <f t="shared" si="186"/>
        <v>0</v>
      </c>
      <c r="T919" s="19">
        <f t="shared" si="187"/>
        <v>-136.80000000000001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-4</v>
      </c>
      <c r="Z919" s="20">
        <f>Tabela1[[#This Row],[PESO TOTAL]]-Tabela1[[#This Row],[Peso Expedido]]</f>
        <v>136.80000000000001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5132</v>
      </c>
      <c r="B920" s="21" t="s">
        <v>5133</v>
      </c>
      <c r="C920" s="1">
        <v>2</v>
      </c>
      <c r="D920" s="1" t="s">
        <v>5138</v>
      </c>
      <c r="E920" s="7">
        <v>4573</v>
      </c>
      <c r="F920" s="7">
        <v>58</v>
      </c>
      <c r="G920" s="1">
        <v>29.36</v>
      </c>
      <c r="H920" s="34">
        <f>Tabela1[[#This Row],[PESO UNI]]*Tabela1[[#This Row],[QTE]]</f>
        <v>58.72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5109</v>
      </c>
      <c r="O920" s="12"/>
      <c r="P920" s="13"/>
      <c r="Q920" s="14">
        <f>Tabela1[[#This Row],[QTDE/ Fabricação]]-Tabela1[[#This Row],[QTE]]</f>
        <v>-2</v>
      </c>
      <c r="R920" s="18">
        <f t="shared" si="185"/>
        <v>14.68</v>
      </c>
      <c r="S920" s="18">
        <f t="shared" si="186"/>
        <v>0</v>
      </c>
      <c r="T920" s="19">
        <f t="shared" si="187"/>
        <v>-58.72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58.72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5132</v>
      </c>
      <c r="B921" s="21" t="s">
        <v>5133</v>
      </c>
      <c r="C921" s="1">
        <v>2</v>
      </c>
      <c r="D921" s="1" t="s">
        <v>5139</v>
      </c>
      <c r="E921" s="7">
        <v>4574</v>
      </c>
      <c r="F921" s="7">
        <v>58</v>
      </c>
      <c r="G921" s="1">
        <v>27.46</v>
      </c>
      <c r="H921" s="34">
        <f>Tabela1[[#This Row],[PESO UNI]]*Tabela1[[#This Row],[QTE]]</f>
        <v>54.92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5109</v>
      </c>
      <c r="O921" s="12"/>
      <c r="P921" s="13"/>
      <c r="Q921" s="14">
        <f>Tabela1[[#This Row],[QTDE/ Fabricação]]-Tabela1[[#This Row],[QTE]]</f>
        <v>-2</v>
      </c>
      <c r="R921" s="18">
        <f t="shared" si="185"/>
        <v>13.73</v>
      </c>
      <c r="S921" s="18">
        <f t="shared" si="186"/>
        <v>0</v>
      </c>
      <c r="T921" s="19">
        <f t="shared" si="187"/>
        <v>-54.92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54.92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5132</v>
      </c>
      <c r="B922" s="21" t="s">
        <v>5133</v>
      </c>
      <c r="C922" s="1">
        <v>2</v>
      </c>
      <c r="D922" s="1" t="s">
        <v>5141</v>
      </c>
      <c r="E922" s="7">
        <v>4575</v>
      </c>
      <c r="F922" s="7">
        <v>58</v>
      </c>
      <c r="G922" s="1">
        <v>71.62</v>
      </c>
      <c r="H922" s="34">
        <f>Tabela1[[#This Row],[PESO UNI]]*Tabela1[[#This Row],[QTE]]</f>
        <v>143.24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5109</v>
      </c>
      <c r="O922" s="12"/>
      <c r="P922" s="13"/>
      <c r="Q922" s="14">
        <f>Tabela1[[#This Row],[QTDE/ Fabricação]]-Tabela1[[#This Row],[QTE]]</f>
        <v>-2</v>
      </c>
      <c r="R922" s="18">
        <f t="shared" si="185"/>
        <v>35.81</v>
      </c>
      <c r="S922" s="18">
        <f t="shared" si="186"/>
        <v>0</v>
      </c>
      <c r="T922" s="19">
        <f t="shared" si="187"/>
        <v>-143.24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143.24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5132</v>
      </c>
      <c r="B923" s="21" t="s">
        <v>5133</v>
      </c>
      <c r="C923" s="1">
        <v>2</v>
      </c>
      <c r="D923" s="1" t="s">
        <v>5140</v>
      </c>
      <c r="E923" s="7">
        <v>4576</v>
      </c>
      <c r="F923" s="7">
        <v>58</v>
      </c>
      <c r="G923" s="1">
        <v>82.73</v>
      </c>
      <c r="H923" s="34">
        <f>Tabela1[[#This Row],[PESO UNI]]*Tabela1[[#This Row],[QTE]]</f>
        <v>165.46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5109</v>
      </c>
      <c r="O923" s="12"/>
      <c r="P923" s="13"/>
      <c r="Q923" s="14">
        <f>Tabela1[[#This Row],[QTDE/ Fabricação]]-Tabela1[[#This Row],[QTE]]</f>
        <v>-2</v>
      </c>
      <c r="R923" s="18">
        <f t="shared" si="185"/>
        <v>41.365000000000002</v>
      </c>
      <c r="S923" s="18">
        <f t="shared" si="186"/>
        <v>0</v>
      </c>
      <c r="T923" s="19">
        <f t="shared" si="187"/>
        <v>-165.46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165.46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5142</v>
      </c>
      <c r="B924" s="21" t="s">
        <v>5143</v>
      </c>
      <c r="C924" s="1">
        <v>1</v>
      </c>
      <c r="D924" s="1" t="s">
        <v>5144</v>
      </c>
      <c r="E924" s="7">
        <v>4577</v>
      </c>
      <c r="F924" s="7">
        <v>58</v>
      </c>
      <c r="G924" s="1">
        <v>92.27</v>
      </c>
      <c r="H924" s="34">
        <f>Tabela1[[#This Row],[PESO UNI]]*Tabela1[[#This Row],[QTE]]</f>
        <v>92.27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5109</v>
      </c>
      <c r="O924" s="12"/>
      <c r="P924" s="13"/>
      <c r="Q924" s="14">
        <f>Tabela1[[#This Row],[QTDE/ Fabricação]]-Tabela1[[#This Row],[QTE]]</f>
        <v>-1</v>
      </c>
      <c r="R924" s="18">
        <f t="shared" si="185"/>
        <v>23.067499999999999</v>
      </c>
      <c r="S924" s="18">
        <f t="shared" si="186"/>
        <v>0</v>
      </c>
      <c r="T924" s="19">
        <f t="shared" si="187"/>
        <v>-92.27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-1</v>
      </c>
      <c r="Z924" s="20">
        <f>Tabela1[[#This Row],[PESO TOTAL]]-Tabela1[[#This Row],[Peso Expedido]]</f>
        <v>92.27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5142</v>
      </c>
      <c r="B925" s="21" t="s">
        <v>5143</v>
      </c>
      <c r="C925" s="1">
        <v>1</v>
      </c>
      <c r="D925" s="1" t="s">
        <v>5145</v>
      </c>
      <c r="E925" s="7">
        <v>4578</v>
      </c>
      <c r="F925" s="7">
        <v>58</v>
      </c>
      <c r="G925" s="1">
        <v>93.32</v>
      </c>
      <c r="H925" s="34">
        <f>Tabela1[[#This Row],[PESO UNI]]*Tabela1[[#This Row],[QTE]]</f>
        <v>93.32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5109</v>
      </c>
      <c r="O925" s="12"/>
      <c r="P925" s="13"/>
      <c r="Q925" s="14">
        <f>Tabela1[[#This Row],[QTDE/ Fabricação]]-Tabela1[[#This Row],[QTE]]</f>
        <v>-1</v>
      </c>
      <c r="R925" s="18">
        <f t="shared" si="185"/>
        <v>23.33</v>
      </c>
      <c r="S925" s="18">
        <f t="shared" si="186"/>
        <v>0</v>
      </c>
      <c r="T925" s="19">
        <f t="shared" si="187"/>
        <v>-93.32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-1</v>
      </c>
      <c r="Z925" s="20">
        <f>Tabela1[[#This Row],[PESO TOTAL]]-Tabela1[[#This Row],[Peso Expedido]]</f>
        <v>93.32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5142</v>
      </c>
      <c r="B926" s="21" t="s">
        <v>5143</v>
      </c>
      <c r="C926" s="1">
        <v>1</v>
      </c>
      <c r="D926" s="1" t="s">
        <v>5146</v>
      </c>
      <c r="E926" s="7">
        <v>4579</v>
      </c>
      <c r="F926" s="7">
        <v>58</v>
      </c>
      <c r="G926" s="1">
        <v>60.64</v>
      </c>
      <c r="H926" s="34">
        <f>Tabela1[[#This Row],[PESO UNI]]*Tabela1[[#This Row],[QTE]]</f>
        <v>60.64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5109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15.16</v>
      </c>
      <c r="S926" s="18">
        <f t="shared" si="186"/>
        <v>0</v>
      </c>
      <c r="T926" s="19">
        <f t="shared" si="187"/>
        <v>-60.64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60.64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5142</v>
      </c>
      <c r="B927" s="21" t="s">
        <v>5143</v>
      </c>
      <c r="C927" s="1">
        <v>2</v>
      </c>
      <c r="D927" s="1" t="s">
        <v>5147</v>
      </c>
      <c r="E927" s="7">
        <v>4580</v>
      </c>
      <c r="F927" s="7">
        <v>58</v>
      </c>
      <c r="G927" s="1">
        <v>91.98</v>
      </c>
      <c r="H927" s="34">
        <f>Tabela1[[#This Row],[PESO UNI]]*Tabela1[[#This Row],[QTE]]</f>
        <v>183.96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5109</v>
      </c>
      <c r="O927" s="12"/>
      <c r="P927" s="13"/>
      <c r="Q927" s="14">
        <f>Tabela1[[#This Row],[QTDE/ Fabricação]]-Tabela1[[#This Row],[QTE]]</f>
        <v>-2</v>
      </c>
      <c r="R927" s="18">
        <f t="shared" si="185"/>
        <v>45.99</v>
      </c>
      <c r="S927" s="18">
        <f t="shared" si="186"/>
        <v>0</v>
      </c>
      <c r="T927" s="19">
        <f t="shared" si="187"/>
        <v>-183.96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-2</v>
      </c>
      <c r="Z927" s="20">
        <f>Tabela1[[#This Row],[PESO TOTAL]]-Tabela1[[#This Row],[Peso Expedido]]</f>
        <v>183.96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5142</v>
      </c>
      <c r="B928" s="21" t="s">
        <v>5143</v>
      </c>
      <c r="C928" s="1">
        <v>1</v>
      </c>
      <c r="D928" s="1" t="s">
        <v>5148</v>
      </c>
      <c r="E928" s="7">
        <v>4581</v>
      </c>
      <c r="F928" s="7">
        <v>58</v>
      </c>
      <c r="G928" s="1">
        <v>26.04</v>
      </c>
      <c r="H928" s="34">
        <f>Tabela1[[#This Row],[PESO UNI]]*Tabela1[[#This Row],[QTE]]</f>
        <v>26.04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5109</v>
      </c>
      <c r="O928" s="12"/>
      <c r="P928" s="13"/>
      <c r="Q928" s="14">
        <f>Tabela1[[#This Row],[QTDE/ Fabricação]]-Tabela1[[#This Row],[QTE]]</f>
        <v>-1</v>
      </c>
      <c r="R928" s="18">
        <f t="shared" si="185"/>
        <v>6.51</v>
      </c>
      <c r="S928" s="18">
        <f t="shared" si="186"/>
        <v>0</v>
      </c>
      <c r="T928" s="19">
        <f t="shared" si="187"/>
        <v>-26.04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26.04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5142</v>
      </c>
      <c r="B929" s="21" t="s">
        <v>5143</v>
      </c>
      <c r="C929" s="1">
        <v>1</v>
      </c>
      <c r="D929" s="1" t="s">
        <v>5149</v>
      </c>
      <c r="E929" s="7">
        <v>4582</v>
      </c>
      <c r="F929" s="7">
        <v>58</v>
      </c>
      <c r="G929" s="1">
        <v>26.04</v>
      </c>
      <c r="H929" s="34">
        <f>Tabela1[[#This Row],[PESO UNI]]*Tabela1[[#This Row],[QTE]]</f>
        <v>26.04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5109</v>
      </c>
      <c r="O929" s="12"/>
      <c r="P929" s="13"/>
      <c r="Q929" s="14">
        <f>Tabela1[[#This Row],[QTDE/ Fabricação]]-Tabela1[[#This Row],[QTE]]</f>
        <v>-1</v>
      </c>
      <c r="R929" s="18">
        <f t="shared" si="185"/>
        <v>6.51</v>
      </c>
      <c r="S929" s="18">
        <f t="shared" si="186"/>
        <v>0</v>
      </c>
      <c r="T929" s="19">
        <f t="shared" si="187"/>
        <v>-26.04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8"/>
        <v>-1</v>
      </c>
      <c r="Z929" s="20">
        <f>Tabela1[[#This Row],[PESO TOTAL]]-Tabela1[[#This Row],[Peso Expedido]]</f>
        <v>26.04</v>
      </c>
      <c r="AA929" s="17">
        <v>1</v>
      </c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5142</v>
      </c>
      <c r="B930" s="21" t="s">
        <v>5143</v>
      </c>
      <c r="C930" s="1">
        <v>1</v>
      </c>
      <c r="D930" s="1" t="s">
        <v>5150</v>
      </c>
      <c r="E930" s="7">
        <v>4583</v>
      </c>
      <c r="F930" s="7">
        <v>58</v>
      </c>
      <c r="G930" s="1">
        <v>177.93</v>
      </c>
      <c r="H930" s="34">
        <f>Tabela1[[#This Row],[PESO UNI]]*Tabela1[[#This Row],[QTE]]</f>
        <v>177.93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5109</v>
      </c>
      <c r="O930" s="12"/>
      <c r="P930" s="13"/>
      <c r="Q930" s="14">
        <f>Tabela1[[#This Row],[QTDE/ Fabricação]]-Tabela1[[#This Row],[QTE]]</f>
        <v>-1</v>
      </c>
      <c r="R930" s="18">
        <f t="shared" si="185"/>
        <v>44.482500000000002</v>
      </c>
      <c r="S930" s="18">
        <f t="shared" si="186"/>
        <v>0</v>
      </c>
      <c r="T930" s="19">
        <f t="shared" si="187"/>
        <v>-177.93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8"/>
        <v>-1</v>
      </c>
      <c r="Z930" s="20">
        <f>Tabela1[[#This Row],[PESO TOTAL]]-Tabela1[[#This Row],[Peso Expedido]]</f>
        <v>177.93</v>
      </c>
      <c r="AA930" s="17">
        <v>1</v>
      </c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5142</v>
      </c>
      <c r="B931" s="21" t="s">
        <v>5143</v>
      </c>
      <c r="C931" s="1">
        <v>1</v>
      </c>
      <c r="D931" s="1" t="s">
        <v>5151</v>
      </c>
      <c r="E931" s="7">
        <v>4584</v>
      </c>
      <c r="F931" s="7">
        <v>58</v>
      </c>
      <c r="G931" s="1">
        <v>177.93</v>
      </c>
      <c r="H931" s="34">
        <f>Tabela1[[#This Row],[PESO UNI]]*Tabela1[[#This Row],[QTE]]</f>
        <v>177.93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5109</v>
      </c>
      <c r="O931" s="12"/>
      <c r="P931" s="13"/>
      <c r="Q931" s="14">
        <f>Tabela1[[#This Row],[QTDE/ Fabricação]]-Tabela1[[#This Row],[QTE]]</f>
        <v>-1</v>
      </c>
      <c r="R931" s="18">
        <f t="shared" si="185"/>
        <v>44.482500000000002</v>
      </c>
      <c r="S931" s="18">
        <f t="shared" si="186"/>
        <v>0</v>
      </c>
      <c r="T931" s="19">
        <f t="shared" si="187"/>
        <v>-177.93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8"/>
        <v>-1</v>
      </c>
      <c r="Z931" s="20">
        <f>Tabela1[[#This Row],[PESO TOTAL]]-Tabela1[[#This Row],[Peso Expedido]]</f>
        <v>177.93</v>
      </c>
      <c r="AA931" s="17">
        <v>1</v>
      </c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5152</v>
      </c>
      <c r="B932" s="21" t="s">
        <v>5153</v>
      </c>
      <c r="C932" s="1">
        <v>2</v>
      </c>
      <c r="D932" s="1" t="s">
        <v>5154</v>
      </c>
      <c r="E932" s="7">
        <v>4585</v>
      </c>
      <c r="F932" s="7">
        <v>58</v>
      </c>
      <c r="G932" s="1">
        <v>108.4</v>
      </c>
      <c r="H932" s="34">
        <f>Tabela1[[#This Row],[PESO UNI]]*Tabela1[[#This Row],[QTE]]</f>
        <v>216.8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5109</v>
      </c>
      <c r="O932" s="12"/>
      <c r="P932" s="13"/>
      <c r="Q932" s="14">
        <f>Tabela1[[#This Row],[QTDE/ Fabricação]]-Tabela1[[#This Row],[QTE]]</f>
        <v>-2</v>
      </c>
      <c r="R932" s="18">
        <f t="shared" si="185"/>
        <v>54.2</v>
      </c>
      <c r="S932" s="18">
        <f t="shared" si="186"/>
        <v>0</v>
      </c>
      <c r="T932" s="19">
        <f t="shared" si="187"/>
        <v>-216.8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8"/>
        <v>-2</v>
      </c>
      <c r="Z932" s="20">
        <f>Tabela1[[#This Row],[PESO TOTAL]]-Tabela1[[#This Row],[Peso Expedido]]</f>
        <v>216.8</v>
      </c>
      <c r="AA932" s="17">
        <v>1</v>
      </c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5152</v>
      </c>
      <c r="B933" s="21" t="s">
        <v>5153</v>
      </c>
      <c r="C933" s="1">
        <v>2</v>
      </c>
      <c r="D933" s="1" t="s">
        <v>5155</v>
      </c>
      <c r="E933" s="7">
        <v>4586</v>
      </c>
      <c r="F933" s="7">
        <v>58</v>
      </c>
      <c r="G933" s="1">
        <v>111.41</v>
      </c>
      <c r="H933" s="34">
        <f>Tabela1[[#This Row],[PESO UNI]]*Tabela1[[#This Row],[QTE]]</f>
        <v>222.82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5109</v>
      </c>
      <c r="O933" s="12"/>
      <c r="P933" s="13"/>
      <c r="Q933" s="14">
        <f>Tabela1[[#This Row],[QTDE/ Fabricação]]-Tabela1[[#This Row],[QTE]]</f>
        <v>-2</v>
      </c>
      <c r="R933" s="18">
        <f t="shared" si="185"/>
        <v>55.704999999999998</v>
      </c>
      <c r="S933" s="18">
        <f t="shared" si="186"/>
        <v>0</v>
      </c>
      <c r="T933" s="19">
        <f t="shared" si="187"/>
        <v>-222.82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88"/>
        <v>-2</v>
      </c>
      <c r="Z933" s="20">
        <f>Tabela1[[#This Row],[PESO TOTAL]]-Tabela1[[#This Row],[Peso Expedido]]</f>
        <v>222.82</v>
      </c>
      <c r="AA933" s="17">
        <v>1</v>
      </c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5152</v>
      </c>
      <c r="B934" s="21" t="s">
        <v>5153</v>
      </c>
      <c r="C934" s="1">
        <v>1</v>
      </c>
      <c r="D934" s="1" t="s">
        <v>5156</v>
      </c>
      <c r="E934" s="7">
        <v>4587</v>
      </c>
      <c r="F934" s="7">
        <v>58</v>
      </c>
      <c r="G934" s="1">
        <v>107.64</v>
      </c>
      <c r="H934" s="34">
        <f>Tabela1[[#This Row],[PESO UNI]]*Tabela1[[#This Row],[QTE]]</f>
        <v>107.64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5109</v>
      </c>
      <c r="O934" s="12"/>
      <c r="P934" s="13"/>
      <c r="Q934" s="14">
        <f>Tabela1[[#This Row],[QTDE/ Fabricação]]-Tabela1[[#This Row],[QTE]]</f>
        <v>-1</v>
      </c>
      <c r="R934" s="18">
        <f t="shared" si="185"/>
        <v>26.91</v>
      </c>
      <c r="S934" s="18">
        <f t="shared" si="186"/>
        <v>0</v>
      </c>
      <c r="T934" s="19">
        <f t="shared" si="187"/>
        <v>-107.64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88"/>
        <v>-1</v>
      </c>
      <c r="Z934" s="20">
        <f>Tabela1[[#This Row],[PESO TOTAL]]-Tabela1[[#This Row],[Peso Expedido]]</f>
        <v>107.64</v>
      </c>
      <c r="AA934" s="17">
        <v>1</v>
      </c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5152</v>
      </c>
      <c r="B935" s="21" t="s">
        <v>5153</v>
      </c>
      <c r="C935" s="1">
        <v>2</v>
      </c>
      <c r="D935" s="1" t="s">
        <v>5157</v>
      </c>
      <c r="E935" s="7">
        <v>4588</v>
      </c>
      <c r="F935" s="7">
        <v>58</v>
      </c>
      <c r="G935" s="1">
        <v>148.63999999999999</v>
      </c>
      <c r="H935" s="34">
        <f>Tabela1[[#This Row],[PESO UNI]]*Tabela1[[#This Row],[QTE]]</f>
        <v>297.27999999999997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5109</v>
      </c>
      <c r="O935" s="12"/>
      <c r="P935" s="13"/>
      <c r="Q935" s="14">
        <f>Tabela1[[#This Row],[QTDE/ Fabricação]]-Tabela1[[#This Row],[QTE]]</f>
        <v>-2</v>
      </c>
      <c r="R935" s="18">
        <f t="shared" ref="R935:R966" si="189">IFERROR(H935*((AA935*0.25)+(AC935*0.25)+(AD935*0.225)+(AE935*0.225)+(AF935*0.05)),"")</f>
        <v>74.319999999999993</v>
      </c>
      <c r="S935" s="18">
        <f t="shared" ref="S935:S966" si="190">IFERROR(H935*AG935,"")</f>
        <v>0</v>
      </c>
      <c r="T935" s="19">
        <f t="shared" ref="T935:T966" si="191">IFERROR(S935-H935,"")</f>
        <v>-297.27999999999997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ref="Y935:Y966" si="192">U935-C935</f>
        <v>-2</v>
      </c>
      <c r="Z935" s="20">
        <f>Tabela1[[#This Row],[PESO TOTAL]]-Tabela1[[#This Row],[Peso Expedido]]</f>
        <v>297.27999999999997</v>
      </c>
      <c r="AA935" s="17">
        <v>1</v>
      </c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5152</v>
      </c>
      <c r="B936" s="21" t="s">
        <v>5153</v>
      </c>
      <c r="C936" s="1">
        <v>1</v>
      </c>
      <c r="D936" s="1" t="s">
        <v>5158</v>
      </c>
      <c r="E936" s="7">
        <v>4589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5109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6.51</v>
      </c>
      <c r="S936" s="18">
        <f t="shared" si="190"/>
        <v>0</v>
      </c>
      <c r="T936" s="19">
        <f t="shared" si="191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26.04</v>
      </c>
      <c r="AA936" s="17">
        <v>1</v>
      </c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5152</v>
      </c>
      <c r="B937" s="21" t="s">
        <v>5153</v>
      </c>
      <c r="C937" s="1">
        <v>1</v>
      </c>
      <c r="D937" s="1" t="s">
        <v>5159</v>
      </c>
      <c r="E937" s="7">
        <v>4590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5109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6.51</v>
      </c>
      <c r="S937" s="18">
        <f t="shared" si="190"/>
        <v>0</v>
      </c>
      <c r="T937" s="19">
        <f t="shared" si="191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26.04</v>
      </c>
      <c r="AA937" s="17">
        <v>1</v>
      </c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5152</v>
      </c>
      <c r="B938" s="21" t="s">
        <v>5153</v>
      </c>
      <c r="C938" s="1">
        <v>1</v>
      </c>
      <c r="D938" s="1" t="s">
        <v>5160</v>
      </c>
      <c r="E938" s="7">
        <v>4591</v>
      </c>
      <c r="F938" s="7">
        <v>58</v>
      </c>
      <c r="G938" s="1">
        <v>26.04</v>
      </c>
      <c r="H938" s="34">
        <f>Tabela1[[#This Row],[PESO UNI]]*Tabela1[[#This Row],[QTE]]</f>
        <v>26.04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5109</v>
      </c>
      <c r="O938" s="12"/>
      <c r="P938" s="13"/>
      <c r="Q938" s="14">
        <f>Tabela1[[#This Row],[QTDE/ Fabricação]]-Tabela1[[#This Row],[QTE]]</f>
        <v>-1</v>
      </c>
      <c r="R938" s="18">
        <f t="shared" si="189"/>
        <v>6.51</v>
      </c>
      <c r="S938" s="18">
        <f t="shared" si="190"/>
        <v>0</v>
      </c>
      <c r="T938" s="19">
        <f t="shared" si="191"/>
        <v>-26.04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-1</v>
      </c>
      <c r="Z938" s="20">
        <f>Tabela1[[#This Row],[PESO TOTAL]]-Tabela1[[#This Row],[Peso Expedido]]</f>
        <v>26.04</v>
      </c>
      <c r="AA938" s="17">
        <v>1</v>
      </c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5152</v>
      </c>
      <c r="B939" s="21" t="s">
        <v>5153</v>
      </c>
      <c r="C939" s="1">
        <v>1</v>
      </c>
      <c r="D939" s="1" t="s">
        <v>5161</v>
      </c>
      <c r="E939" s="7">
        <v>4592</v>
      </c>
      <c r="F939" s="7">
        <v>58</v>
      </c>
      <c r="G939" s="1">
        <v>26.04</v>
      </c>
      <c r="H939" s="34">
        <f>Tabela1[[#This Row],[PESO UNI]]*Tabela1[[#This Row],[QTE]]</f>
        <v>26.04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5109</v>
      </c>
      <c r="O939" s="12"/>
      <c r="P939" s="13"/>
      <c r="Q939" s="14">
        <f>Tabela1[[#This Row],[QTDE/ Fabricação]]-Tabela1[[#This Row],[QTE]]</f>
        <v>-1</v>
      </c>
      <c r="R939" s="18">
        <f t="shared" si="189"/>
        <v>6.51</v>
      </c>
      <c r="S939" s="18">
        <f t="shared" si="190"/>
        <v>0</v>
      </c>
      <c r="T939" s="19">
        <f t="shared" si="191"/>
        <v>-26.04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-1</v>
      </c>
      <c r="Z939" s="20">
        <f>Tabela1[[#This Row],[PESO TOTAL]]-Tabela1[[#This Row],[Peso Expedido]]</f>
        <v>26.04</v>
      </c>
      <c r="AA939" s="17">
        <v>1</v>
      </c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5152</v>
      </c>
      <c r="B940" s="21" t="s">
        <v>5153</v>
      </c>
      <c r="C940" s="1">
        <v>12</v>
      </c>
      <c r="D940" s="1" t="s">
        <v>5162</v>
      </c>
      <c r="E940" s="7">
        <v>4593</v>
      </c>
      <c r="F940" s="7">
        <v>58</v>
      </c>
      <c r="G940" s="1">
        <v>7.89</v>
      </c>
      <c r="H940" s="34">
        <f>Tabela1[[#This Row],[PESO UNI]]*Tabela1[[#This Row],[QTE]]</f>
        <v>94.679999999999993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5109</v>
      </c>
      <c r="O940" s="12"/>
      <c r="P940" s="13"/>
      <c r="Q940" s="14">
        <f>Tabela1[[#This Row],[QTDE/ Fabricação]]-Tabela1[[#This Row],[QTE]]</f>
        <v>-12</v>
      </c>
      <c r="R940" s="18">
        <f t="shared" si="189"/>
        <v>23.669999999999998</v>
      </c>
      <c r="S940" s="18">
        <f t="shared" si="190"/>
        <v>0</v>
      </c>
      <c r="T940" s="19">
        <f t="shared" si="191"/>
        <v>-94.679999999999993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-12</v>
      </c>
      <c r="Z940" s="20">
        <f>Tabela1[[#This Row],[PESO TOTAL]]-Tabela1[[#This Row],[Peso Expedido]]</f>
        <v>94.679999999999993</v>
      </c>
      <c r="AA940" s="17">
        <v>1</v>
      </c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5152</v>
      </c>
      <c r="B941" s="21" t="s">
        <v>5153</v>
      </c>
      <c r="C941" s="1">
        <v>3</v>
      </c>
      <c r="D941" s="1" t="s">
        <v>5163</v>
      </c>
      <c r="E941" s="7">
        <v>4594</v>
      </c>
      <c r="F941" s="7">
        <v>58</v>
      </c>
      <c r="G941" s="1">
        <v>10.33</v>
      </c>
      <c r="H941" s="34">
        <f>Tabela1[[#This Row],[PESO UNI]]*Tabela1[[#This Row],[QTE]]</f>
        <v>30.990000000000002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5109</v>
      </c>
      <c r="O941" s="12"/>
      <c r="P941" s="13"/>
      <c r="Q941" s="14">
        <f>Tabela1[[#This Row],[QTDE/ Fabricação]]-Tabela1[[#This Row],[QTE]]</f>
        <v>-3</v>
      </c>
      <c r="R941" s="18">
        <f t="shared" si="189"/>
        <v>7.7475000000000005</v>
      </c>
      <c r="S941" s="18">
        <f t="shared" si="190"/>
        <v>0</v>
      </c>
      <c r="T941" s="19">
        <f t="shared" si="191"/>
        <v>-30.990000000000002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-3</v>
      </c>
      <c r="Z941" s="20">
        <f>Tabela1[[#This Row],[PESO TOTAL]]-Tabela1[[#This Row],[Peso Expedido]]</f>
        <v>30.990000000000002</v>
      </c>
      <c r="AA941" s="17">
        <v>1</v>
      </c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5152</v>
      </c>
      <c r="B942" s="21" t="s">
        <v>5153</v>
      </c>
      <c r="C942" s="1">
        <v>6</v>
      </c>
      <c r="D942" s="1" t="s">
        <v>5164</v>
      </c>
      <c r="E942" s="7">
        <v>4595</v>
      </c>
      <c r="F942" s="7">
        <v>58</v>
      </c>
      <c r="G942" s="1">
        <v>6.61</v>
      </c>
      <c r="H942" s="34">
        <f>Tabela1[[#This Row],[PESO UNI]]*Tabela1[[#This Row],[QTE]]</f>
        <v>39.660000000000004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5109</v>
      </c>
      <c r="O942" s="12"/>
      <c r="P942" s="13"/>
      <c r="Q942" s="14">
        <f>Tabela1[[#This Row],[QTDE/ Fabricação]]-Tabela1[[#This Row],[QTE]]</f>
        <v>-6</v>
      </c>
      <c r="R942" s="18">
        <f t="shared" si="189"/>
        <v>9.9150000000000009</v>
      </c>
      <c r="S942" s="18">
        <f t="shared" si="190"/>
        <v>0</v>
      </c>
      <c r="T942" s="19">
        <f t="shared" si="191"/>
        <v>-39.660000000000004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-6</v>
      </c>
      <c r="Z942" s="20">
        <f>Tabela1[[#This Row],[PESO TOTAL]]-Tabela1[[#This Row],[Peso Expedido]]</f>
        <v>39.660000000000004</v>
      </c>
      <c r="AA942" s="17">
        <v>1</v>
      </c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5165</v>
      </c>
      <c r="B943" s="21" t="s">
        <v>5166</v>
      </c>
      <c r="C943" s="1">
        <v>2</v>
      </c>
      <c r="D943" s="1" t="s">
        <v>5167</v>
      </c>
      <c r="E943" s="7">
        <v>4596</v>
      </c>
      <c r="F943" s="7">
        <v>58</v>
      </c>
      <c r="G943" s="1">
        <v>96.54</v>
      </c>
      <c r="H943" s="34">
        <f>Tabela1[[#This Row],[PESO UNI]]*Tabela1[[#This Row],[QTE]]</f>
        <v>193.08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5109</v>
      </c>
      <c r="O943" s="12"/>
      <c r="P943" s="13"/>
      <c r="Q943" s="14">
        <f>Tabela1[[#This Row],[QTDE/ Fabricação]]-Tabela1[[#This Row],[QTE]]</f>
        <v>-2</v>
      </c>
      <c r="R943" s="18">
        <f t="shared" si="189"/>
        <v>48.27</v>
      </c>
      <c r="S943" s="18">
        <f t="shared" si="190"/>
        <v>0</v>
      </c>
      <c r="T943" s="19">
        <f t="shared" si="191"/>
        <v>-193.08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-2</v>
      </c>
      <c r="Z943" s="20">
        <f>Tabela1[[#This Row],[PESO TOTAL]]-Tabela1[[#This Row],[Peso Expedido]]</f>
        <v>193.08</v>
      </c>
      <c r="AA943" s="17">
        <v>1</v>
      </c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5165</v>
      </c>
      <c r="B944" s="21" t="s">
        <v>5166</v>
      </c>
      <c r="C944" s="1">
        <v>2</v>
      </c>
      <c r="D944" s="1" t="s">
        <v>5168</v>
      </c>
      <c r="E944" s="7">
        <v>4597</v>
      </c>
      <c r="F944" s="7">
        <v>58</v>
      </c>
      <c r="G944" s="1">
        <v>112.63</v>
      </c>
      <c r="H944" s="34">
        <f>Tabela1[[#This Row],[PESO UNI]]*Tabela1[[#This Row],[QTE]]</f>
        <v>225.26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5109</v>
      </c>
      <c r="O944" s="12"/>
      <c r="P944" s="13"/>
      <c r="Q944" s="14">
        <f>Tabela1[[#This Row],[QTDE/ Fabricação]]-Tabela1[[#This Row],[QTE]]</f>
        <v>-2</v>
      </c>
      <c r="R944" s="18">
        <f t="shared" si="189"/>
        <v>56.314999999999998</v>
      </c>
      <c r="S944" s="18">
        <f t="shared" si="190"/>
        <v>0</v>
      </c>
      <c r="T944" s="19">
        <f t="shared" si="191"/>
        <v>-225.26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-2</v>
      </c>
      <c r="Z944" s="20">
        <f>Tabela1[[#This Row],[PESO TOTAL]]-Tabela1[[#This Row],[Peso Expedido]]</f>
        <v>225.26</v>
      </c>
      <c r="AA944" s="17">
        <v>1</v>
      </c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5165</v>
      </c>
      <c r="B945" s="21" t="s">
        <v>5166</v>
      </c>
      <c r="C945" s="1">
        <v>1</v>
      </c>
      <c r="D945" s="1" t="s">
        <v>5169</v>
      </c>
      <c r="E945" s="7">
        <v>4598</v>
      </c>
      <c r="F945" s="7">
        <v>58</v>
      </c>
      <c r="G945" s="1">
        <v>89.11</v>
      </c>
      <c r="H945" s="34">
        <f>Tabela1[[#This Row],[PESO UNI]]*Tabela1[[#This Row],[QTE]]</f>
        <v>89.11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5109</v>
      </c>
      <c r="O945" s="12"/>
      <c r="P945" s="13"/>
      <c r="Q945" s="14">
        <f>Tabela1[[#This Row],[QTDE/ Fabricação]]-Tabela1[[#This Row],[QTE]]</f>
        <v>-1</v>
      </c>
      <c r="R945" s="18">
        <f t="shared" si="189"/>
        <v>22.2775</v>
      </c>
      <c r="S945" s="18">
        <f t="shared" si="190"/>
        <v>0</v>
      </c>
      <c r="T945" s="19">
        <f t="shared" si="191"/>
        <v>-89.11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-1</v>
      </c>
      <c r="Z945" s="20">
        <f>Tabela1[[#This Row],[PESO TOTAL]]-Tabela1[[#This Row],[Peso Expedido]]</f>
        <v>89.11</v>
      </c>
      <c r="AA945" s="17">
        <v>1</v>
      </c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5165</v>
      </c>
      <c r="B946" s="21" t="s">
        <v>5166</v>
      </c>
      <c r="C946" s="1">
        <v>1</v>
      </c>
      <c r="D946" s="1" t="s">
        <v>5170</v>
      </c>
      <c r="E946" s="7">
        <v>4599</v>
      </c>
      <c r="F946" s="7">
        <v>58</v>
      </c>
      <c r="G946" s="1">
        <v>88.34</v>
      </c>
      <c r="H946" s="34">
        <f>Tabela1[[#This Row],[PESO UNI]]*Tabela1[[#This Row],[QTE]]</f>
        <v>88.34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5109</v>
      </c>
      <c r="O946" s="12"/>
      <c r="P946" s="13"/>
      <c r="Q946" s="14">
        <f>Tabela1[[#This Row],[QTDE/ Fabricação]]-Tabela1[[#This Row],[QTE]]</f>
        <v>-1</v>
      </c>
      <c r="R946" s="18">
        <f t="shared" si="189"/>
        <v>22.085000000000001</v>
      </c>
      <c r="S946" s="18">
        <f t="shared" si="190"/>
        <v>0</v>
      </c>
      <c r="T946" s="19">
        <f t="shared" si="191"/>
        <v>-88.34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-1</v>
      </c>
      <c r="Z946" s="20">
        <f>Tabela1[[#This Row],[PESO TOTAL]]-Tabela1[[#This Row],[Peso Expedido]]</f>
        <v>88.34</v>
      </c>
      <c r="AA946" s="17">
        <v>1</v>
      </c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5165</v>
      </c>
      <c r="B947" s="21" t="s">
        <v>5166</v>
      </c>
      <c r="C947" s="1">
        <v>1</v>
      </c>
      <c r="D947" s="1" t="s">
        <v>5171</v>
      </c>
      <c r="E947" s="7">
        <v>4600</v>
      </c>
      <c r="F947" s="7">
        <v>58</v>
      </c>
      <c r="G947" s="1">
        <v>83.44</v>
      </c>
      <c r="H947" s="34">
        <f>Tabela1[[#This Row],[PESO UNI]]*Tabela1[[#This Row],[QTE]]</f>
        <v>83.44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5109</v>
      </c>
      <c r="O947" s="12"/>
      <c r="P947" s="13"/>
      <c r="Q947" s="14">
        <f>Tabela1[[#This Row],[QTDE/ Fabricação]]-Tabela1[[#This Row],[QTE]]</f>
        <v>-1</v>
      </c>
      <c r="R947" s="18">
        <f t="shared" si="189"/>
        <v>20.86</v>
      </c>
      <c r="S947" s="18">
        <f t="shared" si="190"/>
        <v>0</v>
      </c>
      <c r="T947" s="19">
        <f t="shared" si="191"/>
        <v>-83.44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-1</v>
      </c>
      <c r="Z947" s="20">
        <f>Tabela1[[#This Row],[PESO TOTAL]]-Tabela1[[#This Row],[Peso Expedido]]</f>
        <v>83.44</v>
      </c>
      <c r="AA947" s="17">
        <v>1</v>
      </c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5165</v>
      </c>
      <c r="B948" s="21" t="s">
        <v>5166</v>
      </c>
      <c r="C948" s="1">
        <v>1</v>
      </c>
      <c r="D948" s="1" t="s">
        <v>5172</v>
      </c>
      <c r="E948" s="7">
        <v>4601</v>
      </c>
      <c r="F948" s="7">
        <v>58</v>
      </c>
      <c r="G948" s="1">
        <v>105.14</v>
      </c>
      <c r="H948" s="34">
        <f>Tabela1[[#This Row],[PESO UNI]]*Tabela1[[#This Row],[QTE]]</f>
        <v>105.14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5109</v>
      </c>
      <c r="O948" s="12"/>
      <c r="P948" s="13"/>
      <c r="Q948" s="14">
        <f>Tabela1[[#This Row],[QTDE/ Fabricação]]-Tabela1[[#This Row],[QTE]]</f>
        <v>-1</v>
      </c>
      <c r="R948" s="18">
        <f t="shared" si="189"/>
        <v>26.285</v>
      </c>
      <c r="S948" s="18">
        <f t="shared" si="190"/>
        <v>0</v>
      </c>
      <c r="T948" s="19">
        <f t="shared" si="191"/>
        <v>-105.14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-1</v>
      </c>
      <c r="Z948" s="20">
        <f>Tabela1[[#This Row],[PESO TOTAL]]-Tabela1[[#This Row],[Peso Expedido]]</f>
        <v>105.14</v>
      </c>
      <c r="AA948" s="17">
        <v>1</v>
      </c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5165</v>
      </c>
      <c r="B949" s="21" t="s">
        <v>5166</v>
      </c>
      <c r="C949" s="1">
        <v>1</v>
      </c>
      <c r="D949" s="1" t="s">
        <v>5173</v>
      </c>
      <c r="E949" s="7">
        <v>4602</v>
      </c>
      <c r="F949" s="7">
        <v>58</v>
      </c>
      <c r="G949" s="1">
        <v>105.14</v>
      </c>
      <c r="H949" s="34">
        <f>Tabela1[[#This Row],[PESO UNI]]*Tabela1[[#This Row],[QTE]]</f>
        <v>105.14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5109</v>
      </c>
      <c r="O949" s="12"/>
      <c r="P949" s="13"/>
      <c r="Q949" s="14">
        <f>Tabela1[[#This Row],[QTDE/ Fabricação]]-Tabela1[[#This Row],[QTE]]</f>
        <v>-1</v>
      </c>
      <c r="R949" s="18">
        <f t="shared" si="189"/>
        <v>26.285</v>
      </c>
      <c r="S949" s="18">
        <f t="shared" si="190"/>
        <v>0</v>
      </c>
      <c r="T949" s="19">
        <f t="shared" si="191"/>
        <v>-105.14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-1</v>
      </c>
      <c r="Z949" s="20">
        <f>Tabela1[[#This Row],[PESO TOTAL]]-Tabela1[[#This Row],[Peso Expedido]]</f>
        <v>105.14</v>
      </c>
      <c r="AA949" s="17">
        <v>1</v>
      </c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5165</v>
      </c>
      <c r="B950" s="21" t="s">
        <v>5166</v>
      </c>
      <c r="C950" s="1">
        <v>1</v>
      </c>
      <c r="D950" s="1" t="s">
        <v>5174</v>
      </c>
      <c r="E950" s="7">
        <v>4603</v>
      </c>
      <c r="F950" s="7">
        <v>58</v>
      </c>
      <c r="G950" s="1">
        <v>107.64</v>
      </c>
      <c r="H950" s="34">
        <f>Tabela1[[#This Row],[PESO UNI]]*Tabela1[[#This Row],[QTE]]</f>
        <v>107.64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5109</v>
      </c>
      <c r="O950" s="12"/>
      <c r="P950" s="13"/>
      <c r="Q950" s="14">
        <f>Tabela1[[#This Row],[QTDE/ Fabricação]]-Tabela1[[#This Row],[QTE]]</f>
        <v>-1</v>
      </c>
      <c r="R950" s="18">
        <f t="shared" si="189"/>
        <v>26.91</v>
      </c>
      <c r="S950" s="18">
        <f t="shared" si="190"/>
        <v>0</v>
      </c>
      <c r="T950" s="19">
        <f t="shared" si="191"/>
        <v>-107.64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107.64</v>
      </c>
      <c r="AA950" s="17">
        <v>1</v>
      </c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5177</v>
      </c>
      <c r="B951" s="21" t="s">
        <v>5175</v>
      </c>
      <c r="C951" s="1">
        <v>1</v>
      </c>
      <c r="D951" s="1" t="s">
        <v>5176</v>
      </c>
      <c r="E951" s="7">
        <v>4604</v>
      </c>
      <c r="F951" s="7">
        <v>58</v>
      </c>
      <c r="G951" s="1">
        <v>513.87</v>
      </c>
      <c r="H951" s="34">
        <f>Tabela1[[#This Row],[PESO UNI]]*Tabela1[[#This Row],[QTE]]</f>
        <v>513.87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5109</v>
      </c>
      <c r="O951" s="12"/>
      <c r="P951" s="13"/>
      <c r="Q951" s="14">
        <f>Tabela1[[#This Row],[QTDE/ Fabricação]]-Tabela1[[#This Row],[QTE]]</f>
        <v>-1</v>
      </c>
      <c r="R951" s="18">
        <f t="shared" si="189"/>
        <v>128.4675</v>
      </c>
      <c r="S951" s="18">
        <f t="shared" si="190"/>
        <v>0</v>
      </c>
      <c r="T951" s="19">
        <f t="shared" si="191"/>
        <v>-513.87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513.87</v>
      </c>
      <c r="AA951" s="17">
        <v>1</v>
      </c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5178</v>
      </c>
      <c r="B952" s="21" t="s">
        <v>5179</v>
      </c>
      <c r="C952" s="1">
        <v>1</v>
      </c>
      <c r="D952" s="1" t="s">
        <v>5180</v>
      </c>
      <c r="E952" s="7">
        <v>4605</v>
      </c>
      <c r="F952" s="7">
        <v>58</v>
      </c>
      <c r="G952" s="1">
        <v>483.47</v>
      </c>
      <c r="H952" s="34">
        <f>Tabela1[[#This Row],[PESO UNI]]*Tabela1[[#This Row],[QTE]]</f>
        <v>483.47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5109</v>
      </c>
      <c r="O952" s="12"/>
      <c r="P952" s="13"/>
      <c r="Q952" s="14">
        <f>Tabela1[[#This Row],[QTDE/ Fabricação]]-Tabela1[[#This Row],[QTE]]</f>
        <v>-1</v>
      </c>
      <c r="R952" s="18">
        <f t="shared" si="189"/>
        <v>120.86750000000001</v>
      </c>
      <c r="S952" s="18">
        <f t="shared" si="190"/>
        <v>0</v>
      </c>
      <c r="T952" s="19">
        <f t="shared" si="191"/>
        <v>-483.47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483.47</v>
      </c>
      <c r="AA952" s="17">
        <v>1</v>
      </c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5181</v>
      </c>
      <c r="B953" s="21" t="s">
        <v>5182</v>
      </c>
      <c r="C953" s="1">
        <v>1</v>
      </c>
      <c r="D953" s="1" t="s">
        <v>5183</v>
      </c>
      <c r="E953" s="7">
        <v>4606</v>
      </c>
      <c r="F953" s="7">
        <v>58</v>
      </c>
      <c r="G953" s="1">
        <v>477.68</v>
      </c>
      <c r="H953" s="34">
        <f>Tabela1[[#This Row],[PESO UNI]]*Tabela1[[#This Row],[QTE]]</f>
        <v>477.68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5109</v>
      </c>
      <c r="O953" s="12"/>
      <c r="P953" s="13"/>
      <c r="Q953" s="14">
        <f>Tabela1[[#This Row],[QTDE/ Fabricação]]-Tabela1[[#This Row],[QTE]]</f>
        <v>-1</v>
      </c>
      <c r="R953" s="18">
        <f t="shared" si="189"/>
        <v>119.42</v>
      </c>
      <c r="S953" s="18">
        <f t="shared" si="190"/>
        <v>0</v>
      </c>
      <c r="T953" s="19">
        <f t="shared" si="191"/>
        <v>-477.68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-1</v>
      </c>
      <c r="Z953" s="20">
        <f>Tabela1[[#This Row],[PESO TOTAL]]-Tabela1[[#This Row],[Peso Expedido]]</f>
        <v>477.68</v>
      </c>
      <c r="AA953" s="17">
        <v>1</v>
      </c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5184</v>
      </c>
      <c r="B954" s="21" t="s">
        <v>5185</v>
      </c>
      <c r="C954" s="1">
        <v>1</v>
      </c>
      <c r="D954" s="1" t="s">
        <v>5186</v>
      </c>
      <c r="E954" s="7">
        <v>4607</v>
      </c>
      <c r="F954" s="7">
        <v>58</v>
      </c>
      <c r="G954" s="1">
        <v>499.5</v>
      </c>
      <c r="H954" s="34">
        <f>Tabela1[[#This Row],[PESO UNI]]*Tabela1[[#This Row],[QTE]]</f>
        <v>499.5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5109</v>
      </c>
      <c r="O954" s="12"/>
      <c r="P954" s="13"/>
      <c r="Q954" s="14">
        <f>Tabela1[[#This Row],[QTDE/ Fabricação]]-Tabela1[[#This Row],[QTE]]</f>
        <v>-1</v>
      </c>
      <c r="R954" s="18">
        <f t="shared" si="189"/>
        <v>124.875</v>
      </c>
      <c r="S954" s="18">
        <f t="shared" si="190"/>
        <v>0</v>
      </c>
      <c r="T954" s="19">
        <f t="shared" si="191"/>
        <v>-499.5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499.5</v>
      </c>
      <c r="AA954" s="17">
        <v>1</v>
      </c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5187</v>
      </c>
      <c r="B955" s="21" t="s">
        <v>5188</v>
      </c>
      <c r="C955" s="1">
        <v>3</v>
      </c>
      <c r="D955" s="1" t="s">
        <v>5189</v>
      </c>
      <c r="E955" s="7">
        <v>4608</v>
      </c>
      <c r="F955" s="7">
        <v>59</v>
      </c>
      <c r="G955" s="1">
        <v>92.03</v>
      </c>
      <c r="H955" s="34">
        <f>Tabela1[[#This Row],[PESO UNI]]*Tabela1[[#This Row],[QTE]]</f>
        <v>276.09000000000003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5109</v>
      </c>
      <c r="O955" s="12"/>
      <c r="P955" s="13"/>
      <c r="Q955" s="14">
        <f>Tabela1[[#This Row],[QTDE/ Fabricação]]-Tabela1[[#This Row],[QTE]]</f>
        <v>-3</v>
      </c>
      <c r="R955" s="18">
        <f t="shared" si="189"/>
        <v>69.022500000000008</v>
      </c>
      <c r="S955" s="18">
        <f t="shared" si="190"/>
        <v>0</v>
      </c>
      <c r="T955" s="19">
        <f t="shared" si="191"/>
        <v>-276.09000000000003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-3</v>
      </c>
      <c r="Z955" s="20">
        <f>Tabela1[[#This Row],[PESO TOTAL]]-Tabela1[[#This Row],[Peso Expedido]]</f>
        <v>276.09000000000003</v>
      </c>
      <c r="AA955" s="17">
        <v>1</v>
      </c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5187</v>
      </c>
      <c r="B956" s="21" t="s">
        <v>5188</v>
      </c>
      <c r="C956" s="1">
        <v>1</v>
      </c>
      <c r="D956" s="1" t="s">
        <v>5190</v>
      </c>
      <c r="E956" s="7">
        <v>4609</v>
      </c>
      <c r="F956" s="7">
        <v>59</v>
      </c>
      <c r="G956" s="1">
        <v>114.46</v>
      </c>
      <c r="H956" s="34">
        <f>Tabela1[[#This Row],[PESO UNI]]*Tabela1[[#This Row],[QTE]]</f>
        <v>114.46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5109</v>
      </c>
      <c r="O956" s="12"/>
      <c r="P956" s="13"/>
      <c r="Q956" s="14">
        <f>Tabela1[[#This Row],[QTDE/ Fabricação]]-Tabela1[[#This Row],[QTE]]</f>
        <v>-1</v>
      </c>
      <c r="R956" s="18">
        <f t="shared" si="189"/>
        <v>28.614999999999998</v>
      </c>
      <c r="S956" s="18">
        <f t="shared" si="190"/>
        <v>0</v>
      </c>
      <c r="T956" s="19">
        <f t="shared" si="191"/>
        <v>-114.46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114.46</v>
      </c>
      <c r="AA956" s="17">
        <v>1</v>
      </c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5187</v>
      </c>
      <c r="B957" s="21" t="s">
        <v>5188</v>
      </c>
      <c r="C957" s="1">
        <v>1</v>
      </c>
      <c r="D957" s="1" t="s">
        <v>5191</v>
      </c>
      <c r="E957" s="7">
        <v>4610</v>
      </c>
      <c r="F957" s="7">
        <v>59</v>
      </c>
      <c r="G957" s="1">
        <v>80.17</v>
      </c>
      <c r="H957" s="34">
        <f>Tabela1[[#This Row],[PESO UNI]]*Tabela1[[#This Row],[QTE]]</f>
        <v>80.17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5109</v>
      </c>
      <c r="O957" s="12"/>
      <c r="P957" s="13"/>
      <c r="Q957" s="14">
        <f>Tabela1[[#This Row],[QTDE/ Fabricação]]-Tabela1[[#This Row],[QTE]]</f>
        <v>-1</v>
      </c>
      <c r="R957" s="18">
        <f t="shared" si="189"/>
        <v>20.0425</v>
      </c>
      <c r="S957" s="18">
        <f t="shared" si="190"/>
        <v>0</v>
      </c>
      <c r="T957" s="19">
        <f t="shared" si="191"/>
        <v>-80.17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80.17</v>
      </c>
      <c r="AA957" s="17">
        <v>1</v>
      </c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5187</v>
      </c>
      <c r="B958" s="21" t="s">
        <v>5188</v>
      </c>
      <c r="C958" s="1">
        <v>1</v>
      </c>
      <c r="D958" s="1" t="s">
        <v>5192</v>
      </c>
      <c r="E958" s="7">
        <v>4611</v>
      </c>
      <c r="F958" s="7">
        <v>59</v>
      </c>
      <c r="G958" s="1">
        <v>113.7</v>
      </c>
      <c r="H958" s="34">
        <f>Tabela1[[#This Row],[PESO UNI]]*Tabela1[[#This Row],[QTE]]</f>
        <v>113.7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5109</v>
      </c>
      <c r="O958" s="12"/>
      <c r="P958" s="13"/>
      <c r="Q958" s="14">
        <f>Tabela1[[#This Row],[QTDE/ Fabricação]]-Tabela1[[#This Row],[QTE]]</f>
        <v>-1</v>
      </c>
      <c r="R958" s="18">
        <f t="shared" si="189"/>
        <v>28.425000000000001</v>
      </c>
      <c r="S958" s="18">
        <f t="shared" si="190"/>
        <v>0</v>
      </c>
      <c r="T958" s="19">
        <f t="shared" si="191"/>
        <v>-113.7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-1</v>
      </c>
      <c r="Z958" s="20">
        <f>Tabela1[[#This Row],[PESO TOTAL]]-Tabela1[[#This Row],[Peso Expedido]]</f>
        <v>113.7</v>
      </c>
      <c r="AA958" s="17">
        <v>1</v>
      </c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5187</v>
      </c>
      <c r="B959" s="21" t="s">
        <v>5188</v>
      </c>
      <c r="C959" s="1">
        <v>3</v>
      </c>
      <c r="D959" s="1" t="s">
        <v>5193</v>
      </c>
      <c r="E959" s="7">
        <v>4612</v>
      </c>
      <c r="F959" s="7">
        <v>59</v>
      </c>
      <c r="G959" s="1">
        <v>46.8</v>
      </c>
      <c r="H959" s="34">
        <f>Tabela1[[#This Row],[PESO UNI]]*Tabela1[[#This Row],[QTE]]</f>
        <v>140.39999999999998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5109</v>
      </c>
      <c r="O959" s="12"/>
      <c r="P959" s="13"/>
      <c r="Q959" s="14">
        <f>Tabela1[[#This Row],[QTDE/ Fabricação]]-Tabela1[[#This Row],[QTE]]</f>
        <v>-3</v>
      </c>
      <c r="R959" s="18">
        <f t="shared" si="189"/>
        <v>35.099999999999994</v>
      </c>
      <c r="S959" s="18">
        <f t="shared" si="190"/>
        <v>0</v>
      </c>
      <c r="T959" s="19">
        <f t="shared" si="191"/>
        <v>-140.39999999999998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-3</v>
      </c>
      <c r="Z959" s="20">
        <f>Tabela1[[#This Row],[PESO TOTAL]]-Tabela1[[#This Row],[Peso Expedido]]</f>
        <v>140.39999999999998</v>
      </c>
      <c r="AA959" s="17">
        <v>1</v>
      </c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5194</v>
      </c>
      <c r="B960" s="21" t="s">
        <v>5195</v>
      </c>
      <c r="C960" s="1">
        <v>1</v>
      </c>
      <c r="D960" s="1" t="s">
        <v>5198</v>
      </c>
      <c r="E960" s="7">
        <v>4613</v>
      </c>
      <c r="F960" s="7">
        <v>59</v>
      </c>
      <c r="G960" s="1">
        <v>134.07</v>
      </c>
      <c r="H960" s="34">
        <f>Tabela1[[#This Row],[PESO UNI]]*Tabela1[[#This Row],[QTE]]</f>
        <v>134.07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5109</v>
      </c>
      <c r="O960" s="12"/>
      <c r="P960" s="13"/>
      <c r="Q960" s="14">
        <f>Tabela1[[#This Row],[QTDE/ Fabricação]]-Tabela1[[#This Row],[QTE]]</f>
        <v>-1</v>
      </c>
      <c r="R960" s="18">
        <f t="shared" si="189"/>
        <v>33.517499999999998</v>
      </c>
      <c r="S960" s="18">
        <f t="shared" si="190"/>
        <v>0</v>
      </c>
      <c r="T960" s="19">
        <f t="shared" si="191"/>
        <v>-134.07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134.07</v>
      </c>
      <c r="AA960" s="17">
        <v>1</v>
      </c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5196</v>
      </c>
      <c r="B961" s="21" t="s">
        <v>5197</v>
      </c>
      <c r="C961" s="1">
        <v>1</v>
      </c>
      <c r="D961" s="1" t="s">
        <v>5199</v>
      </c>
      <c r="E961" s="7">
        <v>4614</v>
      </c>
      <c r="F961" s="7">
        <v>59</v>
      </c>
      <c r="G961" s="1">
        <v>149.56</v>
      </c>
      <c r="H961" s="34">
        <f>Tabela1[[#This Row],[PESO UNI]]*Tabela1[[#This Row],[QTE]]</f>
        <v>149.56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5109</v>
      </c>
      <c r="O961" s="12"/>
      <c r="P961" s="13"/>
      <c r="Q961" s="14">
        <f>Tabela1[[#This Row],[QTDE/ Fabricação]]-Tabela1[[#This Row],[QTE]]</f>
        <v>-1</v>
      </c>
      <c r="R961" s="18">
        <f t="shared" si="189"/>
        <v>37.39</v>
      </c>
      <c r="S961" s="18">
        <f t="shared" si="190"/>
        <v>0</v>
      </c>
      <c r="T961" s="19">
        <f t="shared" si="191"/>
        <v>-149.56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149.56</v>
      </c>
      <c r="AA961" s="17">
        <v>1</v>
      </c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5200</v>
      </c>
      <c r="B962" s="21" t="s">
        <v>5201</v>
      </c>
      <c r="C962" s="1">
        <v>1</v>
      </c>
      <c r="D962" s="1" t="s">
        <v>5202</v>
      </c>
      <c r="E962" s="7">
        <v>4615</v>
      </c>
      <c r="F962" s="7">
        <v>59</v>
      </c>
      <c r="G962" s="1">
        <v>151.88</v>
      </c>
      <c r="H962" s="34">
        <f>Tabela1[[#This Row],[PESO UNI]]*Tabela1[[#This Row],[QTE]]</f>
        <v>151.88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5109</v>
      </c>
      <c r="O962" s="12"/>
      <c r="P962" s="13"/>
      <c r="Q962" s="14">
        <f>Tabela1[[#This Row],[QTDE/ Fabricação]]-Tabela1[[#This Row],[QTE]]</f>
        <v>-1</v>
      </c>
      <c r="R962" s="18">
        <f t="shared" si="189"/>
        <v>37.97</v>
      </c>
      <c r="S962" s="18">
        <f t="shared" si="190"/>
        <v>0</v>
      </c>
      <c r="T962" s="19">
        <f t="shared" si="191"/>
        <v>-151.88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2"/>
        <v>-1</v>
      </c>
      <c r="Z962" s="20">
        <f>Tabela1[[#This Row],[PESO TOTAL]]-Tabela1[[#This Row],[Peso Expedido]]</f>
        <v>151.88</v>
      </c>
      <c r="AA962" s="17">
        <v>1</v>
      </c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5203</v>
      </c>
      <c r="B963" s="21" t="s">
        <v>5204</v>
      </c>
      <c r="C963" s="1">
        <v>2</v>
      </c>
      <c r="D963" s="1" t="s">
        <v>5205</v>
      </c>
      <c r="E963" s="7">
        <v>4616</v>
      </c>
      <c r="F963" s="7">
        <v>59</v>
      </c>
      <c r="G963" s="1">
        <v>190.64</v>
      </c>
      <c r="H963" s="34">
        <f>Tabela1[[#This Row],[PESO UNI]]*Tabela1[[#This Row],[QTE]]</f>
        <v>381.28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5109</v>
      </c>
      <c r="O963" s="12"/>
      <c r="P963" s="13"/>
      <c r="Q963" s="14">
        <f>Tabela1[[#This Row],[QTDE/ Fabricação]]-Tabela1[[#This Row],[QTE]]</f>
        <v>-2</v>
      </c>
      <c r="R963" s="18">
        <f t="shared" si="189"/>
        <v>95.32</v>
      </c>
      <c r="S963" s="18">
        <f t="shared" si="190"/>
        <v>0</v>
      </c>
      <c r="T963" s="19">
        <f t="shared" si="191"/>
        <v>-381.28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2"/>
        <v>-2</v>
      </c>
      <c r="Z963" s="20">
        <f>Tabela1[[#This Row],[PESO TOTAL]]-Tabela1[[#This Row],[Peso Expedido]]</f>
        <v>381.28</v>
      </c>
      <c r="AA963" s="17">
        <v>1</v>
      </c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5206</v>
      </c>
      <c r="B964" s="21" t="s">
        <v>5207</v>
      </c>
      <c r="C964" s="1">
        <v>2</v>
      </c>
      <c r="D964" s="1" t="s">
        <v>5208</v>
      </c>
      <c r="E964" s="7">
        <v>4617</v>
      </c>
      <c r="F964" s="7">
        <v>59</v>
      </c>
      <c r="G964" s="1">
        <v>110.01</v>
      </c>
      <c r="H964" s="34">
        <f>Tabela1[[#This Row],[PESO UNI]]*Tabela1[[#This Row],[QTE]]</f>
        <v>220.02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5109</v>
      </c>
      <c r="O964" s="12"/>
      <c r="P964" s="13"/>
      <c r="Q964" s="14">
        <f>Tabela1[[#This Row],[QTDE/ Fabricação]]-Tabela1[[#This Row],[QTE]]</f>
        <v>-2</v>
      </c>
      <c r="R964" s="18">
        <f t="shared" si="189"/>
        <v>55.005000000000003</v>
      </c>
      <c r="S964" s="18">
        <f t="shared" si="190"/>
        <v>0</v>
      </c>
      <c r="T964" s="19">
        <f t="shared" si="191"/>
        <v>-220.02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2"/>
        <v>-2</v>
      </c>
      <c r="Z964" s="20">
        <f>Tabela1[[#This Row],[PESO TOTAL]]-Tabela1[[#This Row],[Peso Expedido]]</f>
        <v>220.02</v>
      </c>
      <c r="AA964" s="17">
        <v>1</v>
      </c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5206</v>
      </c>
      <c r="B965" s="21" t="s">
        <v>5207</v>
      </c>
      <c r="C965" s="1">
        <v>1</v>
      </c>
      <c r="D965" s="1" t="s">
        <v>5209</v>
      </c>
      <c r="E965" s="7">
        <v>4618</v>
      </c>
      <c r="F965" s="7">
        <v>59</v>
      </c>
      <c r="G965" s="1">
        <v>109.4</v>
      </c>
      <c r="H965" s="34">
        <f>Tabela1[[#This Row],[PESO UNI]]*Tabela1[[#This Row],[QTE]]</f>
        <v>109.4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5109</v>
      </c>
      <c r="O965" s="12"/>
      <c r="P965" s="13"/>
      <c r="Q965" s="14">
        <f>Tabela1[[#This Row],[QTDE/ Fabricação]]-Tabela1[[#This Row],[QTE]]</f>
        <v>-1</v>
      </c>
      <c r="R965" s="18">
        <f t="shared" si="189"/>
        <v>27.35</v>
      </c>
      <c r="S965" s="18">
        <f t="shared" si="190"/>
        <v>0</v>
      </c>
      <c r="T965" s="19">
        <f t="shared" si="191"/>
        <v>-109.4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2"/>
        <v>-1</v>
      </c>
      <c r="Z965" s="20">
        <f>Tabela1[[#This Row],[PESO TOTAL]]-Tabela1[[#This Row],[Peso Expedido]]</f>
        <v>109.4</v>
      </c>
      <c r="AA965" s="17">
        <v>1</v>
      </c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5210</v>
      </c>
      <c r="B966" s="21" t="s">
        <v>5211</v>
      </c>
      <c r="C966" s="1">
        <v>1</v>
      </c>
      <c r="D966" s="1" t="s">
        <v>5212</v>
      </c>
      <c r="E966" s="7">
        <v>4619</v>
      </c>
      <c r="F966" s="7">
        <v>59</v>
      </c>
      <c r="G966" s="1">
        <v>186.84</v>
      </c>
      <c r="H966" s="34">
        <f>Tabela1[[#This Row],[PESO UNI]]*Tabela1[[#This Row],[QTE]]</f>
        <v>186.84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5109</v>
      </c>
      <c r="O966" s="12"/>
      <c r="P966" s="13"/>
      <c r="Q966" s="14">
        <f>Tabela1[[#This Row],[QTDE/ Fabricação]]-Tabela1[[#This Row],[QTE]]</f>
        <v>-1</v>
      </c>
      <c r="R966" s="18">
        <f t="shared" si="189"/>
        <v>46.71</v>
      </c>
      <c r="S966" s="18">
        <f t="shared" si="190"/>
        <v>0</v>
      </c>
      <c r="T966" s="19">
        <f t="shared" si="191"/>
        <v>-186.84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2"/>
        <v>-1</v>
      </c>
      <c r="Z966" s="20">
        <f>Tabela1[[#This Row],[PESO TOTAL]]-Tabela1[[#This Row],[Peso Expedido]]</f>
        <v>186.84</v>
      </c>
      <c r="AA966" s="17">
        <v>1</v>
      </c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5213</v>
      </c>
      <c r="B967" s="21" t="s">
        <v>5214</v>
      </c>
      <c r="C967" s="1">
        <v>1</v>
      </c>
      <c r="D967" s="1" t="s">
        <v>5215</v>
      </c>
      <c r="E967" s="7">
        <v>4620</v>
      </c>
      <c r="F967" s="7">
        <v>59</v>
      </c>
      <c r="G967" s="1">
        <v>145.27000000000001</v>
      </c>
      <c r="H967" s="34">
        <f>Tabela1[[#This Row],[PESO UNI]]*Tabela1[[#This Row],[QTE]]</f>
        <v>145.27000000000001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5109</v>
      </c>
      <c r="O967" s="12"/>
      <c r="P967" s="13"/>
      <c r="Q967" s="14">
        <f>Tabela1[[#This Row],[QTDE/ Fabricação]]-Tabela1[[#This Row],[QTE]]</f>
        <v>-1</v>
      </c>
      <c r="R967" s="18">
        <f t="shared" ref="R967:R999" si="193">IFERROR(H967*((AA967*0.25)+(AC967*0.25)+(AD967*0.225)+(AE967*0.225)+(AF967*0.05)),"")</f>
        <v>36.317500000000003</v>
      </c>
      <c r="S967" s="18">
        <f t="shared" ref="S967:S999" si="194">IFERROR(H967*AG967,"")</f>
        <v>0</v>
      </c>
      <c r="T967" s="19">
        <f t="shared" ref="T967:T999" si="195">IFERROR(S967-H967,"")</f>
        <v>-145.27000000000001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ref="Y967:Y999" si="196">U967-C967</f>
        <v>-1</v>
      </c>
      <c r="Z967" s="20">
        <f>Tabela1[[#This Row],[PESO TOTAL]]-Tabela1[[#This Row],[Peso Expedido]]</f>
        <v>145.27000000000001</v>
      </c>
      <c r="AA967" s="17">
        <v>1</v>
      </c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5213</v>
      </c>
      <c r="B968" s="21" t="s">
        <v>5214</v>
      </c>
      <c r="C968" s="1">
        <v>4</v>
      </c>
      <c r="D968" s="1" t="s">
        <v>5216</v>
      </c>
      <c r="E968" s="7">
        <v>4621</v>
      </c>
      <c r="F968" s="7">
        <v>59</v>
      </c>
      <c r="G968" s="1">
        <v>1.53</v>
      </c>
      <c r="H968" s="34">
        <f>Tabela1[[#This Row],[PESO UNI]]*Tabela1[[#This Row],[QTE]]</f>
        <v>6.12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5109</v>
      </c>
      <c r="O968" s="12"/>
      <c r="P968" s="13"/>
      <c r="Q968" s="14">
        <f>Tabela1[[#This Row],[QTDE/ Fabricação]]-Tabela1[[#This Row],[QTE]]</f>
        <v>-4</v>
      </c>
      <c r="R968" s="18">
        <f t="shared" si="193"/>
        <v>1.53</v>
      </c>
      <c r="S968" s="18">
        <f t="shared" si="194"/>
        <v>0</v>
      </c>
      <c r="T968" s="19">
        <f t="shared" si="195"/>
        <v>-6.12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-4</v>
      </c>
      <c r="Z968" s="20">
        <f>Tabela1[[#This Row],[PESO TOTAL]]-Tabela1[[#This Row],[Peso Expedido]]</f>
        <v>6.12</v>
      </c>
      <c r="AA968" s="17">
        <v>1</v>
      </c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5213</v>
      </c>
      <c r="B969" s="21" t="s">
        <v>5214</v>
      </c>
      <c r="C969" s="1">
        <v>2</v>
      </c>
      <c r="D969" s="1" t="s">
        <v>5217</v>
      </c>
      <c r="E969" s="7">
        <v>4622</v>
      </c>
      <c r="F969" s="7">
        <v>59</v>
      </c>
      <c r="G969" s="1">
        <v>1.56</v>
      </c>
      <c r="H969" s="34">
        <f>Tabela1[[#This Row],[PESO UNI]]*Tabela1[[#This Row],[QTE]]</f>
        <v>3.12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5109</v>
      </c>
      <c r="O969" s="12"/>
      <c r="P969" s="13"/>
      <c r="Q969" s="14">
        <f>Tabela1[[#This Row],[QTDE/ Fabricação]]-Tabela1[[#This Row],[QTE]]</f>
        <v>-2</v>
      </c>
      <c r="R969" s="18">
        <f t="shared" si="193"/>
        <v>0.78</v>
      </c>
      <c r="S969" s="18">
        <f t="shared" si="194"/>
        <v>0</v>
      </c>
      <c r="T969" s="19">
        <f t="shared" si="195"/>
        <v>-3.12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3.12</v>
      </c>
      <c r="AA969" s="17">
        <v>1</v>
      </c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5218</v>
      </c>
      <c r="B970" s="21" t="s">
        <v>5219</v>
      </c>
      <c r="C970" s="1">
        <v>2</v>
      </c>
      <c r="D970" s="1" t="s">
        <v>5220</v>
      </c>
      <c r="E970" s="7">
        <v>4623</v>
      </c>
      <c r="F970" s="7">
        <v>59</v>
      </c>
      <c r="G970" s="1">
        <v>150.6</v>
      </c>
      <c r="H970" s="34">
        <f>Tabela1[[#This Row],[PESO UNI]]*Tabela1[[#This Row],[QTE]]</f>
        <v>301.2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5109</v>
      </c>
      <c r="O970" s="12"/>
      <c r="P970" s="13"/>
      <c r="Q970" s="14">
        <f>Tabela1[[#This Row],[QTDE/ Fabricação]]-Tabela1[[#This Row],[QTE]]</f>
        <v>-2</v>
      </c>
      <c r="R970" s="18">
        <f t="shared" si="193"/>
        <v>75.3</v>
      </c>
      <c r="S970" s="18">
        <f t="shared" si="194"/>
        <v>0</v>
      </c>
      <c r="T970" s="19">
        <f t="shared" si="195"/>
        <v>-301.2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301.2</v>
      </c>
      <c r="AA970" s="17">
        <v>1</v>
      </c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5218</v>
      </c>
      <c r="B971" s="21" t="s">
        <v>5219</v>
      </c>
      <c r="C971" s="1">
        <v>3</v>
      </c>
      <c r="D971" s="1" t="s">
        <v>5221</v>
      </c>
      <c r="E971" s="7">
        <v>4624</v>
      </c>
      <c r="F971" s="7">
        <v>59</v>
      </c>
      <c r="G971" s="1">
        <v>50.54</v>
      </c>
      <c r="H971" s="34">
        <f>Tabela1[[#This Row],[PESO UNI]]*Tabela1[[#This Row],[QTE]]</f>
        <v>151.62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5109</v>
      </c>
      <c r="O971" s="12"/>
      <c r="P971" s="13"/>
      <c r="Q971" s="14">
        <f>Tabela1[[#This Row],[QTDE/ Fabricação]]-Tabela1[[#This Row],[QTE]]</f>
        <v>-3</v>
      </c>
      <c r="R971" s="18">
        <f t="shared" si="193"/>
        <v>37.905000000000001</v>
      </c>
      <c r="S971" s="18">
        <f t="shared" si="194"/>
        <v>0</v>
      </c>
      <c r="T971" s="19">
        <f t="shared" si="195"/>
        <v>-151.62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-3</v>
      </c>
      <c r="Z971" s="20">
        <f>Tabela1[[#This Row],[PESO TOTAL]]-Tabela1[[#This Row],[Peso Expedido]]</f>
        <v>151.62</v>
      </c>
      <c r="AA971" s="17">
        <v>1</v>
      </c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5218</v>
      </c>
      <c r="B972" s="21" t="s">
        <v>5219</v>
      </c>
      <c r="C972" s="1">
        <v>1</v>
      </c>
      <c r="D972" s="1" t="s">
        <v>5222</v>
      </c>
      <c r="E972" s="7">
        <v>4625</v>
      </c>
      <c r="F972" s="7">
        <v>59</v>
      </c>
      <c r="G972" s="1">
        <v>116.11</v>
      </c>
      <c r="H972" s="34">
        <f>Tabela1[[#This Row],[PESO UNI]]*Tabela1[[#This Row],[QTE]]</f>
        <v>116.11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5109</v>
      </c>
      <c r="O972" s="12"/>
      <c r="P972" s="13"/>
      <c r="Q972" s="14">
        <f>Tabela1[[#This Row],[QTDE/ Fabricação]]-Tabela1[[#This Row],[QTE]]</f>
        <v>-1</v>
      </c>
      <c r="R972" s="18">
        <f t="shared" si="193"/>
        <v>29.0275</v>
      </c>
      <c r="S972" s="18">
        <f t="shared" si="194"/>
        <v>0</v>
      </c>
      <c r="T972" s="19">
        <f t="shared" si="195"/>
        <v>-116.11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116.11</v>
      </c>
      <c r="AA972" s="17">
        <v>1</v>
      </c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5218</v>
      </c>
      <c r="B973" s="21" t="s">
        <v>5219</v>
      </c>
      <c r="C973" s="1">
        <v>1</v>
      </c>
      <c r="D973" s="1" t="s">
        <v>5223</v>
      </c>
      <c r="E973" s="7">
        <v>4626</v>
      </c>
      <c r="F973" s="7">
        <v>59</v>
      </c>
      <c r="G973" s="1">
        <v>112.71</v>
      </c>
      <c r="H973" s="34">
        <f>Tabela1[[#This Row],[PESO UNI]]*Tabela1[[#This Row],[QTE]]</f>
        <v>112.71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5109</v>
      </c>
      <c r="O973" s="12"/>
      <c r="P973" s="13"/>
      <c r="Q973" s="14">
        <f>Tabela1[[#This Row],[QTDE/ Fabricação]]-Tabela1[[#This Row],[QTE]]</f>
        <v>-1</v>
      </c>
      <c r="R973" s="18">
        <f t="shared" si="193"/>
        <v>28.177499999999998</v>
      </c>
      <c r="S973" s="18">
        <f t="shared" si="194"/>
        <v>0</v>
      </c>
      <c r="T973" s="19">
        <f t="shared" si="195"/>
        <v>-112.71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112.71</v>
      </c>
      <c r="AA973" s="17">
        <v>1</v>
      </c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5224</v>
      </c>
      <c r="B974" s="21" t="s">
        <v>5225</v>
      </c>
      <c r="C974" s="1">
        <v>1</v>
      </c>
      <c r="D974" s="1" t="s">
        <v>5226</v>
      </c>
      <c r="E974" s="7">
        <v>4627</v>
      </c>
      <c r="F974" s="7">
        <v>61</v>
      </c>
      <c r="G974" s="1">
        <v>372</v>
      </c>
      <c r="H974" s="34">
        <f>Tabela1[[#This Row],[PESO UNI]]*Tabela1[[#This Row],[QTE]]</f>
        <v>372</v>
      </c>
      <c r="I974" s="7" t="s">
        <v>5285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5109</v>
      </c>
      <c r="O974" s="12"/>
      <c r="P974" s="13"/>
      <c r="Q974" s="14">
        <f>Tabela1[[#This Row],[QTDE/ Fabricação]]-Tabela1[[#This Row],[QTE]]</f>
        <v>-1</v>
      </c>
      <c r="R974" s="18">
        <f t="shared" si="193"/>
        <v>93</v>
      </c>
      <c r="S974" s="18">
        <f t="shared" si="194"/>
        <v>0</v>
      </c>
      <c r="T974" s="19">
        <f t="shared" si="195"/>
        <v>-372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372</v>
      </c>
      <c r="AA974" s="17">
        <v>1</v>
      </c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5224</v>
      </c>
      <c r="B975" s="21" t="s">
        <v>5225</v>
      </c>
      <c r="C975" s="1">
        <v>4</v>
      </c>
      <c r="D975" s="1" t="s">
        <v>5227</v>
      </c>
      <c r="E975" s="7">
        <v>4628</v>
      </c>
      <c r="F975" s="7">
        <v>61</v>
      </c>
      <c r="G975" s="1">
        <v>6.5</v>
      </c>
      <c r="H975" s="34">
        <f>Tabela1[[#This Row],[PESO UNI]]*Tabela1[[#This Row],[QTE]]</f>
        <v>26</v>
      </c>
      <c r="I975" s="7" t="s">
        <v>5285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5109</v>
      </c>
      <c r="O975" s="12"/>
      <c r="P975" s="13"/>
      <c r="Q975" s="14">
        <f>Tabela1[[#This Row],[QTDE/ Fabricação]]-Tabela1[[#This Row],[QTE]]</f>
        <v>-4</v>
      </c>
      <c r="R975" s="18">
        <f t="shared" si="193"/>
        <v>6.5</v>
      </c>
      <c r="S975" s="18">
        <f t="shared" si="194"/>
        <v>0</v>
      </c>
      <c r="T975" s="19">
        <f t="shared" si="195"/>
        <v>-26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-4</v>
      </c>
      <c r="Z975" s="20">
        <f>Tabela1[[#This Row],[PESO TOTAL]]-Tabela1[[#This Row],[Peso Expedido]]</f>
        <v>26</v>
      </c>
      <c r="AA975" s="17">
        <v>1</v>
      </c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5224</v>
      </c>
      <c r="B976" s="21" t="s">
        <v>5225</v>
      </c>
      <c r="C976" s="1">
        <v>8</v>
      </c>
      <c r="D976" s="1" t="s">
        <v>5228</v>
      </c>
      <c r="E976" s="7">
        <v>4629</v>
      </c>
      <c r="F976" s="7">
        <v>61</v>
      </c>
      <c r="G976" s="1">
        <v>2.1</v>
      </c>
      <c r="H976" s="34">
        <f>Tabela1[[#This Row],[PESO UNI]]*Tabela1[[#This Row],[QTE]]</f>
        <v>16.8</v>
      </c>
      <c r="I976" s="7" t="s">
        <v>5285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5109</v>
      </c>
      <c r="O976" s="12"/>
      <c r="P976" s="13"/>
      <c r="Q976" s="14">
        <f>Tabela1[[#This Row],[QTDE/ Fabricação]]-Tabela1[[#This Row],[QTE]]</f>
        <v>-8</v>
      </c>
      <c r="R976" s="18">
        <f t="shared" si="193"/>
        <v>4.2</v>
      </c>
      <c r="S976" s="18">
        <f t="shared" si="194"/>
        <v>0</v>
      </c>
      <c r="T976" s="19">
        <f t="shared" si="195"/>
        <v>-16.8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-8</v>
      </c>
      <c r="Z976" s="20">
        <f>Tabela1[[#This Row],[PESO TOTAL]]-Tabela1[[#This Row],[Peso Expedido]]</f>
        <v>16.8</v>
      </c>
      <c r="AA976" s="17">
        <v>1</v>
      </c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5224</v>
      </c>
      <c r="B977" s="21" t="s">
        <v>5225</v>
      </c>
      <c r="C977" s="1">
        <v>2</v>
      </c>
      <c r="D977" s="1" t="s">
        <v>5229</v>
      </c>
      <c r="E977" s="7">
        <v>4630</v>
      </c>
      <c r="F977" s="7">
        <v>61</v>
      </c>
      <c r="G977" s="1">
        <v>1.6</v>
      </c>
      <c r="H977" s="34">
        <f>Tabela1[[#This Row],[PESO UNI]]*Tabela1[[#This Row],[QTE]]</f>
        <v>3.2</v>
      </c>
      <c r="I977" s="7" t="s">
        <v>5285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5109</v>
      </c>
      <c r="O977" s="12"/>
      <c r="P977" s="13"/>
      <c r="Q977" s="14">
        <f>Tabela1[[#This Row],[QTDE/ Fabricação]]-Tabela1[[#This Row],[QTE]]</f>
        <v>-2</v>
      </c>
      <c r="R977" s="18">
        <f t="shared" si="193"/>
        <v>0.8</v>
      </c>
      <c r="S977" s="18">
        <f t="shared" si="194"/>
        <v>0</v>
      </c>
      <c r="T977" s="19">
        <f t="shared" si="195"/>
        <v>-3.2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-2</v>
      </c>
      <c r="Z977" s="20">
        <f>Tabela1[[#This Row],[PESO TOTAL]]-Tabela1[[#This Row],[Peso Expedido]]</f>
        <v>3.2</v>
      </c>
      <c r="AA977" s="17">
        <v>1</v>
      </c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5224</v>
      </c>
      <c r="B978" s="21" t="s">
        <v>5225</v>
      </c>
      <c r="C978" s="1">
        <v>4</v>
      </c>
      <c r="D978" s="1" t="s">
        <v>5230</v>
      </c>
      <c r="E978" s="7">
        <v>4631</v>
      </c>
      <c r="F978" s="7">
        <v>61</v>
      </c>
      <c r="G978" s="1">
        <v>0.3</v>
      </c>
      <c r="H978" s="34">
        <f>Tabela1[[#This Row],[PESO UNI]]*Tabela1[[#This Row],[QTE]]</f>
        <v>1.2</v>
      </c>
      <c r="I978" s="7" t="s">
        <v>5285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5109</v>
      </c>
      <c r="O978" s="12"/>
      <c r="P978" s="13"/>
      <c r="Q978" s="14">
        <f>Tabela1[[#This Row],[QTDE/ Fabricação]]-Tabela1[[#This Row],[QTE]]</f>
        <v>-4</v>
      </c>
      <c r="R978" s="18">
        <f t="shared" si="193"/>
        <v>0.3</v>
      </c>
      <c r="S978" s="18">
        <f t="shared" si="194"/>
        <v>0</v>
      </c>
      <c r="T978" s="19">
        <f t="shared" si="195"/>
        <v>-1.2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-4</v>
      </c>
      <c r="Z978" s="20">
        <f>Tabela1[[#This Row],[PESO TOTAL]]-Tabela1[[#This Row],[Peso Expedido]]</f>
        <v>1.2</v>
      </c>
      <c r="AA978" s="17">
        <v>1</v>
      </c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5224</v>
      </c>
      <c r="B979" s="21" t="s">
        <v>5225</v>
      </c>
      <c r="C979" s="1">
        <v>2</v>
      </c>
      <c r="D979" s="1" t="s">
        <v>5231</v>
      </c>
      <c r="E979" s="7">
        <v>4632</v>
      </c>
      <c r="F979" s="7">
        <v>61</v>
      </c>
      <c r="G979" s="1">
        <v>14.4</v>
      </c>
      <c r="H979" s="34">
        <f>Tabela1[[#This Row],[PESO UNI]]*Tabela1[[#This Row],[QTE]]</f>
        <v>28.8</v>
      </c>
      <c r="I979" s="7" t="s">
        <v>5285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5109</v>
      </c>
      <c r="O979" s="12"/>
      <c r="P979" s="13"/>
      <c r="Q979" s="14">
        <f>Tabela1[[#This Row],[QTDE/ Fabricação]]-Tabela1[[#This Row],[QTE]]</f>
        <v>-2</v>
      </c>
      <c r="R979" s="18">
        <f t="shared" si="193"/>
        <v>7.2</v>
      </c>
      <c r="S979" s="18">
        <f t="shared" si="194"/>
        <v>0</v>
      </c>
      <c r="T979" s="19">
        <f t="shared" si="195"/>
        <v>-28.8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-2</v>
      </c>
      <c r="Z979" s="20">
        <f>Tabela1[[#This Row],[PESO TOTAL]]-Tabela1[[#This Row],[Peso Expedido]]</f>
        <v>28.8</v>
      </c>
      <c r="AA979" s="17">
        <v>1</v>
      </c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5421</v>
      </c>
      <c r="B980" s="21" t="s">
        <v>5233</v>
      </c>
      <c r="C980" s="1">
        <v>1</v>
      </c>
      <c r="D980" s="1" t="s">
        <v>5234</v>
      </c>
      <c r="E980" s="7">
        <v>4633</v>
      </c>
      <c r="F980" s="7">
        <v>61</v>
      </c>
      <c r="G980" s="1">
        <v>408.6</v>
      </c>
      <c r="H980" s="34">
        <f>Tabela1[[#This Row],[PESO UNI]]*Tabela1[[#This Row],[QTE]]</f>
        <v>408.6</v>
      </c>
      <c r="I980" s="7" t="s">
        <v>5285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5109</v>
      </c>
      <c r="O980" s="12"/>
      <c r="P980" s="13"/>
      <c r="Q980" s="14">
        <f>Tabela1[[#This Row],[QTDE/ Fabricação]]-Tabela1[[#This Row],[QTE]]</f>
        <v>-1</v>
      </c>
      <c r="R980" s="18">
        <f t="shared" si="193"/>
        <v>102.15</v>
      </c>
      <c r="S980" s="18">
        <f t="shared" si="194"/>
        <v>0</v>
      </c>
      <c r="T980" s="19">
        <f t="shared" si="195"/>
        <v>-408.6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408.6</v>
      </c>
      <c r="AA980" s="17">
        <v>1</v>
      </c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5287</v>
      </c>
      <c r="B981" s="21" t="s">
        <v>5235</v>
      </c>
      <c r="C981" s="1">
        <v>2</v>
      </c>
      <c r="D981" s="1" t="s">
        <v>5236</v>
      </c>
      <c r="E981" s="7">
        <v>4634</v>
      </c>
      <c r="F981" s="7">
        <v>61</v>
      </c>
      <c r="G981" s="1">
        <v>31.3</v>
      </c>
      <c r="H981" s="34">
        <f>Tabela1[[#This Row],[PESO UNI]]*Tabela1[[#This Row],[QTE]]</f>
        <v>62.6</v>
      </c>
      <c r="I981" s="7" t="s">
        <v>5285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5109</v>
      </c>
      <c r="O981" s="12"/>
      <c r="P981" s="13"/>
      <c r="Q981" s="14">
        <f>Tabela1[[#This Row],[QTDE/ Fabricação]]-Tabela1[[#This Row],[QTE]]</f>
        <v>-2</v>
      </c>
      <c r="R981" s="18">
        <f t="shared" si="193"/>
        <v>15.65</v>
      </c>
      <c r="S981" s="18">
        <f t="shared" si="194"/>
        <v>0</v>
      </c>
      <c r="T981" s="19">
        <f t="shared" si="195"/>
        <v>-62.6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-2</v>
      </c>
      <c r="Z981" s="20">
        <f>Tabela1[[#This Row],[PESO TOTAL]]-Tabela1[[#This Row],[Peso Expedido]]</f>
        <v>62.6</v>
      </c>
      <c r="AA981" s="17">
        <v>1</v>
      </c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5287</v>
      </c>
      <c r="B982" s="21" t="s">
        <v>5235</v>
      </c>
      <c r="C982" s="1">
        <v>1</v>
      </c>
      <c r="D982" s="1" t="s">
        <v>5237</v>
      </c>
      <c r="E982" s="7">
        <v>4635</v>
      </c>
      <c r="F982" s="7">
        <v>61</v>
      </c>
      <c r="G982" s="1">
        <v>37.200000000000003</v>
      </c>
      <c r="H982" s="34">
        <f>Tabela1[[#This Row],[PESO UNI]]*Tabela1[[#This Row],[QTE]]</f>
        <v>37.200000000000003</v>
      </c>
      <c r="I982" s="7" t="s">
        <v>5285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5109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9.3000000000000007</v>
      </c>
      <c r="S982" s="18">
        <f t="shared" si="194"/>
        <v>0</v>
      </c>
      <c r="T982" s="19">
        <f t="shared" si="195"/>
        <v>-37.200000000000003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37.200000000000003</v>
      </c>
      <c r="AA982" s="17">
        <v>1</v>
      </c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5287</v>
      </c>
      <c r="B983" s="21" t="s">
        <v>5235</v>
      </c>
      <c r="C983" s="1">
        <v>2</v>
      </c>
      <c r="D983" s="1" t="s">
        <v>5238</v>
      </c>
      <c r="E983" s="7">
        <v>4636</v>
      </c>
      <c r="F983" s="7">
        <v>61</v>
      </c>
      <c r="G983" s="1">
        <v>235.4</v>
      </c>
      <c r="H983" s="34">
        <f>Tabela1[[#This Row],[PESO UNI]]*Tabela1[[#This Row],[QTE]]</f>
        <v>470.8</v>
      </c>
      <c r="I983" s="7" t="s">
        <v>5285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5109</v>
      </c>
      <c r="O983" s="12"/>
      <c r="P983" s="13"/>
      <c r="Q983" s="14">
        <f>Tabela1[[#This Row],[QTDE/ Fabricação]]-Tabela1[[#This Row],[QTE]]</f>
        <v>-2</v>
      </c>
      <c r="R983" s="18">
        <f t="shared" si="193"/>
        <v>117.7</v>
      </c>
      <c r="S983" s="18">
        <f t="shared" si="194"/>
        <v>0</v>
      </c>
      <c r="T983" s="19">
        <f t="shared" si="195"/>
        <v>-470.8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-2</v>
      </c>
      <c r="Z983" s="20">
        <f>Tabela1[[#This Row],[PESO TOTAL]]-Tabela1[[#This Row],[Peso Expedido]]</f>
        <v>470.8</v>
      </c>
      <c r="AA983" s="17">
        <v>1</v>
      </c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5287</v>
      </c>
      <c r="B984" s="21" t="s">
        <v>5235</v>
      </c>
      <c r="C984" s="1">
        <v>2</v>
      </c>
      <c r="D984" s="1" t="s">
        <v>5239</v>
      </c>
      <c r="E984" s="7">
        <v>4637</v>
      </c>
      <c r="F984" s="7">
        <v>61</v>
      </c>
      <c r="G984" s="1">
        <v>8.9</v>
      </c>
      <c r="H984" s="34">
        <f>Tabela1[[#This Row],[PESO UNI]]*Tabela1[[#This Row],[QTE]]</f>
        <v>17.8</v>
      </c>
      <c r="I984" s="7" t="s">
        <v>5285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5109</v>
      </c>
      <c r="O984" s="12"/>
      <c r="P984" s="13"/>
      <c r="Q984" s="14">
        <f>Tabela1[[#This Row],[QTDE/ Fabricação]]-Tabela1[[#This Row],[QTE]]</f>
        <v>-2</v>
      </c>
      <c r="R984" s="18">
        <f t="shared" si="193"/>
        <v>4.45</v>
      </c>
      <c r="S984" s="18">
        <f t="shared" si="194"/>
        <v>0</v>
      </c>
      <c r="T984" s="19">
        <f t="shared" si="195"/>
        <v>-17.8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-2</v>
      </c>
      <c r="Z984" s="20">
        <f>Tabela1[[#This Row],[PESO TOTAL]]-Tabela1[[#This Row],[Peso Expedido]]</f>
        <v>17.8</v>
      </c>
      <c r="AA984" s="17">
        <v>1</v>
      </c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5287</v>
      </c>
      <c r="B985" s="21" t="s">
        <v>5235</v>
      </c>
      <c r="C985" s="1">
        <v>2</v>
      </c>
      <c r="D985" s="1" t="s">
        <v>5240</v>
      </c>
      <c r="E985" s="7">
        <v>4638</v>
      </c>
      <c r="F985" s="7">
        <v>61</v>
      </c>
      <c r="G985" s="1">
        <v>1.6</v>
      </c>
      <c r="H985" s="34">
        <f>Tabela1[[#This Row],[PESO UNI]]*Tabela1[[#This Row],[QTE]]</f>
        <v>3.2</v>
      </c>
      <c r="I985" s="7" t="s">
        <v>5285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5109</v>
      </c>
      <c r="O985" s="12"/>
      <c r="P985" s="13"/>
      <c r="Q985" s="14">
        <f>Tabela1[[#This Row],[QTDE/ Fabricação]]-Tabela1[[#This Row],[QTE]]</f>
        <v>-2</v>
      </c>
      <c r="R985" s="18">
        <f t="shared" si="193"/>
        <v>0.8</v>
      </c>
      <c r="S985" s="18">
        <f t="shared" si="194"/>
        <v>0</v>
      </c>
      <c r="T985" s="19">
        <f t="shared" si="195"/>
        <v>-3.2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-2</v>
      </c>
      <c r="Z985" s="20">
        <f>Tabela1[[#This Row],[PESO TOTAL]]-Tabela1[[#This Row],[Peso Expedido]]</f>
        <v>3.2</v>
      </c>
      <c r="AA985" s="17">
        <v>1</v>
      </c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5287</v>
      </c>
      <c r="B986" s="21" t="s">
        <v>5235</v>
      </c>
      <c r="C986" s="1">
        <v>4</v>
      </c>
      <c r="D986" s="1" t="s">
        <v>5241</v>
      </c>
      <c r="E986" s="7">
        <v>4639</v>
      </c>
      <c r="F986" s="7">
        <v>61</v>
      </c>
      <c r="G986" s="1">
        <v>0.3</v>
      </c>
      <c r="H986" s="34">
        <f>Tabela1[[#This Row],[PESO UNI]]*Tabela1[[#This Row],[QTE]]</f>
        <v>1.2</v>
      </c>
      <c r="I986" s="7" t="s">
        <v>5285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5109</v>
      </c>
      <c r="O986" s="12"/>
      <c r="P986" s="13"/>
      <c r="Q986" s="14">
        <f>Tabela1[[#This Row],[QTDE/ Fabricação]]-Tabela1[[#This Row],[QTE]]</f>
        <v>-4</v>
      </c>
      <c r="R986" s="18">
        <f t="shared" si="193"/>
        <v>0.3</v>
      </c>
      <c r="S986" s="18">
        <f t="shared" si="194"/>
        <v>0</v>
      </c>
      <c r="T986" s="19">
        <f t="shared" si="195"/>
        <v>-1.2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-4</v>
      </c>
      <c r="Z986" s="20">
        <f>Tabela1[[#This Row],[PESO TOTAL]]-Tabela1[[#This Row],[Peso Expedido]]</f>
        <v>1.2</v>
      </c>
      <c r="AA986" s="17">
        <v>1</v>
      </c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5286</v>
      </c>
      <c r="B987" s="21" t="s">
        <v>5242</v>
      </c>
      <c r="C987" s="1">
        <v>1</v>
      </c>
      <c r="D987" s="1" t="s">
        <v>5243</v>
      </c>
      <c r="E987" s="7">
        <v>4640</v>
      </c>
      <c r="F987" s="7">
        <v>61</v>
      </c>
      <c r="G987" s="1">
        <v>204.2</v>
      </c>
      <c r="H987" s="34">
        <f>Tabela1[[#This Row],[PESO UNI]]*Tabela1[[#This Row],[QTE]]</f>
        <v>204.2</v>
      </c>
      <c r="I987" s="7" t="s">
        <v>5285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5109</v>
      </c>
      <c r="O987" s="12"/>
      <c r="P987" s="13"/>
      <c r="Q987" s="14">
        <f>Tabela1[[#This Row],[QTDE/ Fabricação]]-Tabela1[[#This Row],[QTE]]</f>
        <v>-1</v>
      </c>
      <c r="R987" s="18">
        <f t="shared" si="193"/>
        <v>51.05</v>
      </c>
      <c r="S987" s="18">
        <f t="shared" si="194"/>
        <v>0</v>
      </c>
      <c r="T987" s="19">
        <f t="shared" si="195"/>
        <v>-204.2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204.2</v>
      </c>
      <c r="AA987" s="17">
        <v>1</v>
      </c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5286</v>
      </c>
      <c r="B988" s="21" t="s">
        <v>5242</v>
      </c>
      <c r="C988" s="1">
        <v>1</v>
      </c>
      <c r="D988" s="1" t="s">
        <v>5244</v>
      </c>
      <c r="E988" s="7">
        <v>4661</v>
      </c>
      <c r="F988" s="7">
        <v>61</v>
      </c>
      <c r="G988" s="1">
        <v>168.6</v>
      </c>
      <c r="H988" s="34">
        <f>Tabela1[[#This Row],[PESO UNI]]*Tabela1[[#This Row],[QTE]]</f>
        <v>168.6</v>
      </c>
      <c r="I988" s="7" t="s">
        <v>5285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5109</v>
      </c>
      <c r="O988" s="12"/>
      <c r="P988" s="13"/>
      <c r="Q988" s="14">
        <f>Tabela1[[#This Row],[QTDE/ Fabricação]]-Tabela1[[#This Row],[QTE]]</f>
        <v>-1</v>
      </c>
      <c r="R988" s="18">
        <f>IFERROR(H988*((AA988*0.25)+(AC988*0.25)+(AD988*0.225)+(AE988*0.225)+(AF988*0.05)),"")</f>
        <v>42.15</v>
      </c>
      <c r="S988" s="18">
        <f>IFERROR(H988*AG988,"")</f>
        <v>0</v>
      </c>
      <c r="T988" s="19">
        <f>IFERROR(S988-H988,"")</f>
        <v>-168.6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>U988-C988</f>
        <v>-1</v>
      </c>
      <c r="Z988" s="20">
        <f>Tabela1[[#This Row],[PESO TOTAL]]-Tabela1[[#This Row],[Peso Expedido]]</f>
        <v>168.6</v>
      </c>
      <c r="AA988" s="17">
        <v>1</v>
      </c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5286</v>
      </c>
      <c r="B989" s="21" t="s">
        <v>5242</v>
      </c>
      <c r="C989" s="1">
        <v>1</v>
      </c>
      <c r="D989" s="1" t="s">
        <v>5422</v>
      </c>
      <c r="E989" s="7">
        <v>4750</v>
      </c>
      <c r="F989" s="7">
        <v>61</v>
      </c>
      <c r="G989" s="1">
        <v>36.4</v>
      </c>
      <c r="H989" s="34">
        <f>Tabela1[[#This Row],[PESO UNI]]*Tabela1[[#This Row],[QTE]]</f>
        <v>36.4</v>
      </c>
      <c r="I989" s="7" t="s">
        <v>5285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5109</v>
      </c>
      <c r="O989" s="12"/>
      <c r="P989" s="13"/>
      <c r="Q989" s="14">
        <f>Tabela1[[#This Row],[QTDE/ Fabricação]]-Tabela1[[#This Row],[QTE]]</f>
        <v>-1</v>
      </c>
      <c r="R989" s="18">
        <f>IFERROR(H989*((AA989*0.25)+(AC989*0.25)+(AD989*0.225)+(AE989*0.225)+(AF989*0.05)),"")</f>
        <v>9.1</v>
      </c>
      <c r="S989" s="18">
        <f>IFERROR(H989*AG989,"")</f>
        <v>0</v>
      </c>
      <c r="T989" s="19">
        <f>IFERROR(S989-H989,"")</f>
        <v>-36.4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>U989-C989</f>
        <v>-1</v>
      </c>
      <c r="Z989" s="20">
        <f>Tabela1[[#This Row],[PESO TOTAL]]-Tabela1[[#This Row],[Peso Expedido]]</f>
        <v>36.4</v>
      </c>
      <c r="AA989" s="17">
        <v>1</v>
      </c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5232</v>
      </c>
      <c r="B990" s="21" t="s">
        <v>5245</v>
      </c>
      <c r="C990" s="1">
        <v>4</v>
      </c>
      <c r="D990" s="1" t="s">
        <v>5246</v>
      </c>
      <c r="E990" s="7">
        <v>4662</v>
      </c>
      <c r="F990" s="7">
        <v>62</v>
      </c>
      <c r="G990" s="1">
        <v>28.1</v>
      </c>
      <c r="H990" s="34">
        <f>Tabela1[[#This Row],[PESO UNI]]*Tabela1[[#This Row],[QTE]]</f>
        <v>112.4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5109</v>
      </c>
      <c r="O990" s="12"/>
      <c r="P990" s="13"/>
      <c r="Q990" s="14">
        <f>Tabela1[[#This Row],[QTDE/ Fabricação]]-Tabela1[[#This Row],[QTE]]</f>
        <v>-4</v>
      </c>
      <c r="R990" s="18">
        <f t="shared" si="193"/>
        <v>28.1</v>
      </c>
      <c r="S990" s="18">
        <f t="shared" si="194"/>
        <v>0</v>
      </c>
      <c r="T990" s="19">
        <f t="shared" si="195"/>
        <v>-112.4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-4</v>
      </c>
      <c r="Z990" s="20">
        <f>Tabela1[[#This Row],[PESO TOTAL]]-Tabela1[[#This Row],[Peso Expedido]]</f>
        <v>112.4</v>
      </c>
      <c r="AA990" s="17">
        <v>1</v>
      </c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5232</v>
      </c>
      <c r="B991" s="21" t="s">
        <v>5245</v>
      </c>
      <c r="C991" s="1">
        <v>4</v>
      </c>
      <c r="D991" s="1" t="s">
        <v>5247</v>
      </c>
      <c r="E991" s="7">
        <v>4663</v>
      </c>
      <c r="F991" s="7">
        <v>62</v>
      </c>
      <c r="G991" s="1">
        <v>38.299999999999997</v>
      </c>
      <c r="H991" s="34">
        <f>Tabela1[[#This Row],[PESO UNI]]*Tabela1[[#This Row],[QTE]]</f>
        <v>153.19999999999999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5109</v>
      </c>
      <c r="O991" s="12"/>
      <c r="P991" s="13"/>
      <c r="Q991" s="14">
        <f>Tabela1[[#This Row],[QTDE/ Fabricação]]-Tabela1[[#This Row],[QTE]]</f>
        <v>-4</v>
      </c>
      <c r="R991" s="18">
        <f t="shared" si="193"/>
        <v>38.299999999999997</v>
      </c>
      <c r="S991" s="18">
        <f t="shared" si="194"/>
        <v>0</v>
      </c>
      <c r="T991" s="19">
        <f t="shared" si="195"/>
        <v>-153.19999999999999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-4</v>
      </c>
      <c r="Z991" s="20">
        <f>Tabela1[[#This Row],[PESO TOTAL]]-Tabela1[[#This Row],[Peso Expedido]]</f>
        <v>153.19999999999999</v>
      </c>
      <c r="AA991" s="17">
        <v>1</v>
      </c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5232</v>
      </c>
      <c r="B992" s="21" t="s">
        <v>5245</v>
      </c>
      <c r="C992" s="1">
        <v>2</v>
      </c>
      <c r="D992" s="1" t="s">
        <v>5248</v>
      </c>
      <c r="E992" s="7">
        <v>4664</v>
      </c>
      <c r="F992" s="7">
        <v>62</v>
      </c>
      <c r="G992" s="1">
        <v>15.8</v>
      </c>
      <c r="H992" s="34">
        <f>Tabela1[[#This Row],[PESO UNI]]*Tabela1[[#This Row],[QTE]]</f>
        <v>31.6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5109</v>
      </c>
      <c r="O992" s="12"/>
      <c r="P992" s="13"/>
      <c r="Q992" s="14">
        <f>Tabela1[[#This Row],[QTDE/ Fabricação]]-Tabela1[[#This Row],[QTE]]</f>
        <v>-2</v>
      </c>
      <c r="R992" s="18">
        <f t="shared" si="193"/>
        <v>7.9</v>
      </c>
      <c r="S992" s="18">
        <f t="shared" si="194"/>
        <v>0</v>
      </c>
      <c r="T992" s="19">
        <f t="shared" si="195"/>
        <v>-31.6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-2</v>
      </c>
      <c r="Z992" s="20">
        <f>Tabela1[[#This Row],[PESO TOTAL]]-Tabela1[[#This Row],[Peso Expedido]]</f>
        <v>31.6</v>
      </c>
      <c r="AA992" s="17">
        <v>1</v>
      </c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5232</v>
      </c>
      <c r="B993" s="21" t="s">
        <v>5245</v>
      </c>
      <c r="C993" s="1">
        <v>4</v>
      </c>
      <c r="D993" s="1" t="s">
        <v>5249</v>
      </c>
      <c r="E993" s="7">
        <v>4665</v>
      </c>
      <c r="F993" s="7">
        <v>62</v>
      </c>
      <c r="G993" s="1">
        <v>28.4</v>
      </c>
      <c r="H993" s="34">
        <f>Tabela1[[#This Row],[PESO UNI]]*Tabela1[[#This Row],[QTE]]</f>
        <v>113.6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5109</v>
      </c>
      <c r="O993" s="12"/>
      <c r="P993" s="13"/>
      <c r="Q993" s="14">
        <f>Tabela1[[#This Row],[QTDE/ Fabricação]]-Tabela1[[#This Row],[QTE]]</f>
        <v>-4</v>
      </c>
      <c r="R993" s="18">
        <f t="shared" si="193"/>
        <v>28.4</v>
      </c>
      <c r="S993" s="18">
        <f t="shared" si="194"/>
        <v>0</v>
      </c>
      <c r="T993" s="19">
        <f t="shared" si="195"/>
        <v>-113.6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-4</v>
      </c>
      <c r="Z993" s="20">
        <f>Tabela1[[#This Row],[PESO TOTAL]]-Tabela1[[#This Row],[Peso Expedido]]</f>
        <v>113.6</v>
      </c>
      <c r="AA993" s="17">
        <v>1</v>
      </c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5232</v>
      </c>
      <c r="B994" s="21" t="s">
        <v>5245</v>
      </c>
      <c r="C994" s="1">
        <v>4</v>
      </c>
      <c r="D994" s="1" t="s">
        <v>5250</v>
      </c>
      <c r="E994" s="7">
        <v>4666</v>
      </c>
      <c r="F994" s="7">
        <v>62</v>
      </c>
      <c r="G994" s="1">
        <v>29.4</v>
      </c>
      <c r="H994" s="34">
        <f>Tabela1[[#This Row],[PESO UNI]]*Tabela1[[#This Row],[QTE]]</f>
        <v>117.6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5109</v>
      </c>
      <c r="O994" s="12"/>
      <c r="P994" s="13"/>
      <c r="Q994" s="14">
        <f>Tabela1[[#This Row],[QTDE/ Fabricação]]-Tabela1[[#This Row],[QTE]]</f>
        <v>-4</v>
      </c>
      <c r="R994" s="18">
        <f t="shared" si="193"/>
        <v>29.4</v>
      </c>
      <c r="S994" s="18">
        <f t="shared" si="194"/>
        <v>0</v>
      </c>
      <c r="T994" s="19">
        <f t="shared" si="195"/>
        <v>-117.6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6"/>
        <v>-4</v>
      </c>
      <c r="Z994" s="20">
        <f>Tabela1[[#This Row],[PESO TOTAL]]-Tabela1[[#This Row],[Peso Expedido]]</f>
        <v>117.6</v>
      </c>
      <c r="AA994" s="17">
        <v>1</v>
      </c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5232</v>
      </c>
      <c r="B995" s="21" t="s">
        <v>5245</v>
      </c>
      <c r="C995" s="1">
        <v>5</v>
      </c>
      <c r="D995" s="1" t="s">
        <v>5251</v>
      </c>
      <c r="E995" s="7">
        <v>4667</v>
      </c>
      <c r="F995" s="7">
        <v>62</v>
      </c>
      <c r="G995" s="1">
        <v>28.9</v>
      </c>
      <c r="H995" s="34">
        <f>Tabela1[[#This Row],[PESO UNI]]*Tabela1[[#This Row],[QTE]]</f>
        <v>144.5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5109</v>
      </c>
      <c r="O995" s="12"/>
      <c r="P995" s="13"/>
      <c r="Q995" s="14">
        <f>Tabela1[[#This Row],[QTDE/ Fabricação]]-Tabela1[[#This Row],[QTE]]</f>
        <v>-5</v>
      </c>
      <c r="R995" s="18">
        <f t="shared" si="193"/>
        <v>36.125</v>
      </c>
      <c r="S995" s="18">
        <f t="shared" si="194"/>
        <v>0</v>
      </c>
      <c r="T995" s="19">
        <f t="shared" si="195"/>
        <v>-144.5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6"/>
        <v>-5</v>
      </c>
      <c r="Z995" s="20">
        <f>Tabela1[[#This Row],[PESO TOTAL]]-Tabela1[[#This Row],[Peso Expedido]]</f>
        <v>144.5</v>
      </c>
      <c r="AA995" s="17">
        <v>1</v>
      </c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5232</v>
      </c>
      <c r="B996" s="21" t="s">
        <v>5245</v>
      </c>
      <c r="C996" s="1">
        <v>8</v>
      </c>
      <c r="D996" s="1" t="s">
        <v>5252</v>
      </c>
      <c r="E996" s="7">
        <v>4668</v>
      </c>
      <c r="F996" s="7">
        <v>62</v>
      </c>
      <c r="G996" s="1">
        <v>0.2</v>
      </c>
      <c r="H996" s="34">
        <f>Tabela1[[#This Row],[PESO UNI]]*Tabela1[[#This Row],[QTE]]</f>
        <v>1.6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5109</v>
      </c>
      <c r="O996" s="12"/>
      <c r="P996" s="13"/>
      <c r="Q996" s="14">
        <f>Tabela1[[#This Row],[QTDE/ Fabricação]]-Tabela1[[#This Row],[QTE]]</f>
        <v>-8</v>
      </c>
      <c r="R996" s="18">
        <f t="shared" si="193"/>
        <v>0.4</v>
      </c>
      <c r="S996" s="18">
        <f t="shared" si="194"/>
        <v>0</v>
      </c>
      <c r="T996" s="19">
        <f t="shared" si="195"/>
        <v>-1.6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6"/>
        <v>-8</v>
      </c>
      <c r="Z996" s="20">
        <f>Tabela1[[#This Row],[PESO TOTAL]]-Tabela1[[#This Row],[Peso Expedido]]</f>
        <v>1.6</v>
      </c>
      <c r="AA996" s="17">
        <v>1</v>
      </c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76</v>
      </c>
      <c r="B997" s="21"/>
      <c r="C997" s="1">
        <v>40</v>
      </c>
      <c r="D997" s="1" t="s">
        <v>5253</v>
      </c>
      <c r="E997" s="7">
        <v>4669</v>
      </c>
      <c r="F997" s="7">
        <v>1</v>
      </c>
      <c r="G997" s="1">
        <v>6</v>
      </c>
      <c r="H997" s="34">
        <f>Tabela1[[#This Row],[PESO UNI]]*Tabela1[[#This Row],[QTE]]</f>
        <v>240</v>
      </c>
      <c r="I997" s="7" t="s">
        <v>5254</v>
      </c>
      <c r="J997" s="8" t="s">
        <v>5255</v>
      </c>
      <c r="K997" s="8" t="s">
        <v>23</v>
      </c>
      <c r="L997" s="9" t="s">
        <v>5256</v>
      </c>
      <c r="M997" s="10">
        <v>46252</v>
      </c>
      <c r="N997" s="8" t="s">
        <v>38</v>
      </c>
      <c r="O997" s="12"/>
      <c r="P997" s="13"/>
      <c r="Q997" s="14">
        <f>Tabela1[[#This Row],[QTDE/ Fabricação]]-Tabela1[[#This Row],[QTE]]</f>
        <v>-40</v>
      </c>
      <c r="R997" s="18">
        <f t="shared" si="193"/>
        <v>0</v>
      </c>
      <c r="S997" s="18">
        <f t="shared" si="194"/>
        <v>0</v>
      </c>
      <c r="T997" s="19">
        <f t="shared" si="195"/>
        <v>-240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196"/>
        <v>-40</v>
      </c>
      <c r="Z997" s="20">
        <f>Tabela1[[#This Row],[PESO TOTAL]]-Tabela1[[#This Row],[Peso Expedido]]</f>
        <v>240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5257</v>
      </c>
      <c r="B998" s="21"/>
      <c r="C998" s="1">
        <v>126</v>
      </c>
      <c r="D998" s="1" t="s">
        <v>5258</v>
      </c>
      <c r="E998" s="7">
        <v>4670</v>
      </c>
      <c r="F998" s="7">
        <v>3</v>
      </c>
      <c r="G998" s="1">
        <v>97.6</v>
      </c>
      <c r="H998" s="34">
        <f>Tabela1[[#This Row],[PESO UNI]]*Tabela1[[#This Row],[QTE]]</f>
        <v>12297.599999999999</v>
      </c>
      <c r="I998" s="7">
        <v>0</v>
      </c>
      <c r="J998" s="8" t="s">
        <v>5259</v>
      </c>
      <c r="K998" s="8" t="s">
        <v>4320</v>
      </c>
      <c r="L998" s="9" t="s">
        <v>5260</v>
      </c>
      <c r="M998" s="10">
        <v>46254</v>
      </c>
      <c r="N998" s="8" t="s">
        <v>38</v>
      </c>
      <c r="O998" s="12"/>
      <c r="P998" s="13"/>
      <c r="Q998" s="14">
        <f>Tabela1[[#This Row],[QTDE/ Fabricação]]-Tabela1[[#This Row],[QTE]]</f>
        <v>-126</v>
      </c>
      <c r="R998" s="18">
        <f t="shared" si="193"/>
        <v>0</v>
      </c>
      <c r="S998" s="18">
        <f t="shared" si="194"/>
        <v>0</v>
      </c>
      <c r="T998" s="19">
        <f t="shared" si="195"/>
        <v>-12297.599999999999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196"/>
        <v>-126</v>
      </c>
      <c r="Z998" s="20">
        <f>Tabela1[[#This Row],[PESO TOTAL]]-Tabela1[[#This Row],[Peso Expedido]]</f>
        <v>12297.599999999999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5261</v>
      </c>
      <c r="B999" s="21"/>
      <c r="C999" s="1">
        <v>6</v>
      </c>
      <c r="D999" s="1" t="s">
        <v>5262</v>
      </c>
      <c r="E999" s="7">
        <v>4671</v>
      </c>
      <c r="F999" s="7">
        <v>3</v>
      </c>
      <c r="G999" s="1">
        <v>289.7</v>
      </c>
      <c r="H999" s="34">
        <f>Tabela1[[#This Row],[PESO UNI]]*Tabela1[[#This Row],[QTE]]</f>
        <v>1738.1999999999998</v>
      </c>
      <c r="I999" s="7">
        <v>0</v>
      </c>
      <c r="J999" s="8" t="s">
        <v>5259</v>
      </c>
      <c r="K999" s="8" t="s">
        <v>4320</v>
      </c>
      <c r="L999" s="9" t="s">
        <v>5260</v>
      </c>
      <c r="M999" s="10">
        <v>46254</v>
      </c>
      <c r="N999" s="8" t="s">
        <v>5281</v>
      </c>
      <c r="O999" s="12"/>
      <c r="P999" s="13"/>
      <c r="Q999" s="14">
        <f>Tabela1[[#This Row],[QTDE/ Fabricação]]-Tabela1[[#This Row],[QTE]]</f>
        <v>-6</v>
      </c>
      <c r="R999" s="18">
        <f t="shared" si="193"/>
        <v>0</v>
      </c>
      <c r="S999" s="18">
        <f t="shared" si="194"/>
        <v>0</v>
      </c>
      <c r="T999" s="19">
        <f t="shared" si="195"/>
        <v>-1738.1999999999998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196"/>
        <v>-6</v>
      </c>
      <c r="Z999" s="20">
        <f>Tabela1[[#This Row],[PESO TOTAL]]-Tabela1[[#This Row],[Peso Expedido]]</f>
        <v>1738.1999999999998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5263</v>
      </c>
      <c r="B1000" s="21"/>
      <c r="C1000" s="1">
        <v>2</v>
      </c>
      <c r="D1000" s="1" t="s">
        <v>5264</v>
      </c>
      <c r="E1000" s="7">
        <v>4672</v>
      </c>
      <c r="F1000" s="7">
        <v>3</v>
      </c>
      <c r="G1000" s="1">
        <v>289.7</v>
      </c>
      <c r="H1000" s="34">
        <f>Tabela1[[#This Row],[PESO UNI]]*Tabela1[[#This Row],[QTE]]</f>
        <v>579.4</v>
      </c>
      <c r="I1000" s="7">
        <v>0</v>
      </c>
      <c r="J1000" s="8" t="s">
        <v>5259</v>
      </c>
      <c r="K1000" s="8" t="s">
        <v>4320</v>
      </c>
      <c r="L1000" s="9" t="s">
        <v>5260</v>
      </c>
      <c r="M1000" s="10">
        <v>46254</v>
      </c>
      <c r="N1000" s="8" t="s">
        <v>5281</v>
      </c>
      <c r="O1000" s="12"/>
      <c r="P1000" s="13"/>
      <c r="Q1000" s="14">
        <f>Tabela1[[#This Row],[QTDE/ Fabricação]]-Tabela1[[#This Row],[QTE]]</f>
        <v>-2</v>
      </c>
      <c r="R1000" s="18">
        <f t="shared" ref="R1000:R1006" si="197">IFERROR(H1000*((AA1000*0.25)+(AC1000*0.25)+(AD1000*0.225)+(AE1000*0.225)+(AF1000*0.05)),"")</f>
        <v>0</v>
      </c>
      <c r="S1000" s="18">
        <f t="shared" ref="S1000:S1006" si="198">IFERROR(H1000*AG1000,"")</f>
        <v>0</v>
      </c>
      <c r="T1000" s="19">
        <f t="shared" ref="T1000:T1006" si="199">IFERROR(S1000-H1000,"")</f>
        <v>-579.4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ref="Y1000:Y1006" si="200">U1000-C1000</f>
        <v>-2</v>
      </c>
      <c r="Z1000" s="20">
        <f>Tabela1[[#This Row],[PESO TOTAL]]-Tabela1[[#This Row],[Peso Expedido]]</f>
        <v>579.4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5265</v>
      </c>
      <c r="B1001" s="21"/>
      <c r="C1001" s="1">
        <v>1</v>
      </c>
      <c r="D1001" s="1" t="s">
        <v>5266</v>
      </c>
      <c r="E1001" s="7">
        <v>4673</v>
      </c>
      <c r="F1001" s="7">
        <v>3</v>
      </c>
      <c r="G1001" s="1">
        <v>588</v>
      </c>
      <c r="H1001" s="34">
        <f>Tabela1[[#This Row],[PESO UNI]]*Tabela1[[#This Row],[QTE]]</f>
        <v>588</v>
      </c>
      <c r="I1001" s="7">
        <v>0</v>
      </c>
      <c r="J1001" s="8" t="s">
        <v>5259</v>
      </c>
      <c r="K1001" s="8" t="s">
        <v>4320</v>
      </c>
      <c r="L1001" s="9" t="s">
        <v>5260</v>
      </c>
      <c r="M1001" s="10">
        <v>46254</v>
      </c>
      <c r="N1001" s="8" t="s">
        <v>5281</v>
      </c>
      <c r="O1001" s="12"/>
      <c r="P1001" s="13"/>
      <c r="Q1001" s="14">
        <f>Tabela1[[#This Row],[QTDE/ Fabricação]]-Tabela1[[#This Row],[QTE]]</f>
        <v>-1</v>
      </c>
      <c r="R1001" s="18">
        <f t="shared" si="197"/>
        <v>0</v>
      </c>
      <c r="S1001" s="18">
        <f t="shared" si="198"/>
        <v>0</v>
      </c>
      <c r="T1001" s="19">
        <f t="shared" si="199"/>
        <v>-588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-1</v>
      </c>
      <c r="Z1001" s="20">
        <f>Tabela1[[#This Row],[PESO TOTAL]]-Tabela1[[#This Row],[Peso Expedido]]</f>
        <v>588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5267</v>
      </c>
      <c r="B1002" s="21"/>
      <c r="C1002" s="1">
        <v>1</v>
      </c>
      <c r="D1002" s="1" t="s">
        <v>5269</v>
      </c>
      <c r="E1002" s="7">
        <v>4674</v>
      </c>
      <c r="F1002" s="7">
        <v>3</v>
      </c>
      <c r="G1002" s="1">
        <v>743</v>
      </c>
      <c r="H1002" s="34">
        <f>Tabela1[[#This Row],[PESO UNI]]*Tabela1[[#This Row],[QTE]]</f>
        <v>743</v>
      </c>
      <c r="I1002" s="7">
        <v>2</v>
      </c>
      <c r="J1002" s="8" t="s">
        <v>5259</v>
      </c>
      <c r="K1002" s="8" t="s">
        <v>4320</v>
      </c>
      <c r="L1002" s="9" t="s">
        <v>5260</v>
      </c>
      <c r="M1002" s="10">
        <v>46254</v>
      </c>
      <c r="N1002" s="8" t="s">
        <v>5281</v>
      </c>
      <c r="O1002" s="12"/>
      <c r="P1002" s="13"/>
      <c r="Q1002" s="14">
        <f>Tabela1[[#This Row],[QTDE/ Fabricação]]-Tabela1[[#This Row],[QTE]]</f>
        <v>-1</v>
      </c>
      <c r="R1002" s="18">
        <f t="shared" si="197"/>
        <v>0</v>
      </c>
      <c r="S1002" s="18">
        <f t="shared" si="198"/>
        <v>0</v>
      </c>
      <c r="T1002" s="19">
        <f t="shared" si="199"/>
        <v>-743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-1</v>
      </c>
      <c r="Z1002" s="20">
        <f>Tabela1[[#This Row],[PESO TOTAL]]-Tabela1[[#This Row],[Peso Expedido]]</f>
        <v>743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1" t="s">
        <v>5268</v>
      </c>
      <c r="B1003" s="21"/>
      <c r="C1003" s="1">
        <v>6</v>
      </c>
      <c r="D1003" s="1" t="s">
        <v>5270</v>
      </c>
      <c r="E1003" s="7">
        <v>4675</v>
      </c>
      <c r="F1003" s="7">
        <v>3</v>
      </c>
      <c r="G1003" s="1">
        <v>503.8</v>
      </c>
      <c r="H1003" s="34">
        <f>Tabela1[[#This Row],[PESO UNI]]*Tabela1[[#This Row],[QTE]]</f>
        <v>3022.8</v>
      </c>
      <c r="I1003" s="7">
        <v>0</v>
      </c>
      <c r="J1003" s="8" t="s">
        <v>5259</v>
      </c>
      <c r="K1003" s="8" t="s">
        <v>4320</v>
      </c>
      <c r="L1003" s="9" t="s">
        <v>5260</v>
      </c>
      <c r="M1003" s="10">
        <v>46254</v>
      </c>
      <c r="N1003" s="8" t="s">
        <v>5281</v>
      </c>
      <c r="O1003" s="12"/>
      <c r="P1003" s="13"/>
      <c r="Q1003" s="14">
        <f>Tabela1[[#This Row],[QTDE/ Fabricação]]-Tabela1[[#This Row],[QTE]]</f>
        <v>-6</v>
      </c>
      <c r="R1003" s="18">
        <f t="shared" si="197"/>
        <v>0</v>
      </c>
      <c r="S1003" s="18">
        <f t="shared" si="198"/>
        <v>0</v>
      </c>
      <c r="T1003" s="19">
        <f t="shared" si="199"/>
        <v>-3022.8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-6</v>
      </c>
      <c r="Z1003" s="20">
        <f>Tabela1[[#This Row],[PESO TOTAL]]-Tabela1[[#This Row],[Peso Expedido]]</f>
        <v>3022.8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5271</v>
      </c>
      <c r="B1004" s="21"/>
      <c r="C1004" s="1">
        <v>64</v>
      </c>
      <c r="D1004" s="1" t="s">
        <v>5273</v>
      </c>
      <c r="E1004" s="7">
        <v>4676</v>
      </c>
      <c r="F1004" s="7">
        <v>3</v>
      </c>
      <c r="G1004" s="1">
        <v>8.6</v>
      </c>
      <c r="H1004" s="34">
        <f>Tabela1[[#This Row],[PESO UNI]]*Tabela1[[#This Row],[QTE]]</f>
        <v>550.4</v>
      </c>
      <c r="I1004" s="7">
        <v>1</v>
      </c>
      <c r="J1004" s="8" t="s">
        <v>5259</v>
      </c>
      <c r="K1004" s="8" t="s">
        <v>4320</v>
      </c>
      <c r="L1004" s="9" t="s">
        <v>5260</v>
      </c>
      <c r="M1004" s="10">
        <v>46254</v>
      </c>
      <c r="N1004" s="8" t="s">
        <v>5281</v>
      </c>
      <c r="O1004" s="12"/>
      <c r="P1004" s="13"/>
      <c r="Q1004" s="14">
        <f>Tabela1[[#This Row],[QTDE/ Fabricação]]-Tabela1[[#This Row],[QTE]]</f>
        <v>-64</v>
      </c>
      <c r="R1004" s="18">
        <f t="shared" si="197"/>
        <v>0</v>
      </c>
      <c r="S1004" s="18">
        <f t="shared" si="198"/>
        <v>0</v>
      </c>
      <c r="T1004" s="19">
        <f t="shared" si="199"/>
        <v>-550.4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-64</v>
      </c>
      <c r="Z1004" s="20">
        <f>Tabela1[[#This Row],[PESO TOTAL]]-Tabela1[[#This Row],[Peso Expedido]]</f>
        <v>550.4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1" t="s">
        <v>5272</v>
      </c>
      <c r="B1005" s="21"/>
      <c r="C1005" s="1">
        <v>1</v>
      </c>
      <c r="D1005" s="1" t="s">
        <v>5274</v>
      </c>
      <c r="E1005" s="7">
        <v>4677</v>
      </c>
      <c r="F1005" s="7">
        <v>3</v>
      </c>
      <c r="G1005" s="1">
        <v>503.8</v>
      </c>
      <c r="H1005" s="34">
        <f>Tabela1[[#This Row],[PESO UNI]]*Tabela1[[#This Row],[QTE]]</f>
        <v>503.8</v>
      </c>
      <c r="I1005" s="7">
        <v>0</v>
      </c>
      <c r="J1005" s="8" t="s">
        <v>5259</v>
      </c>
      <c r="K1005" s="8" t="s">
        <v>4320</v>
      </c>
      <c r="L1005" s="9" t="s">
        <v>5260</v>
      </c>
      <c r="M1005" s="10">
        <v>46254</v>
      </c>
      <c r="N1005" s="8" t="s">
        <v>5281</v>
      </c>
      <c r="O1005" s="12"/>
      <c r="P1005" s="13"/>
      <c r="Q1005" s="14">
        <f>Tabela1[[#This Row],[QTDE/ Fabricação]]-Tabela1[[#This Row],[QTE]]</f>
        <v>-1</v>
      </c>
      <c r="R1005" s="18">
        <f t="shared" si="197"/>
        <v>0</v>
      </c>
      <c r="S1005" s="18">
        <f t="shared" si="198"/>
        <v>0</v>
      </c>
      <c r="T1005" s="19">
        <f t="shared" si="199"/>
        <v>-503.8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-1</v>
      </c>
      <c r="Z1005" s="20">
        <f>Tabela1[[#This Row],[PESO TOTAL]]-Tabela1[[#This Row],[Peso Expedido]]</f>
        <v>503.8</v>
      </c>
      <c r="AA1005" s="17"/>
      <c r="AB1005" s="33"/>
      <c r="AC1005" s="33"/>
      <c r="AD1005" s="33"/>
      <c r="AE1005" s="33"/>
      <c r="AF1005" s="33"/>
      <c r="AG1005" s="33"/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1" t="s">
        <v>5275</v>
      </c>
      <c r="B1006" s="21"/>
      <c r="C1006" s="1">
        <v>3</v>
      </c>
      <c r="D1006" s="1" t="s">
        <v>5276</v>
      </c>
      <c r="E1006" s="7">
        <v>4678</v>
      </c>
      <c r="F1006" s="7">
        <v>3</v>
      </c>
      <c r="G1006" s="1">
        <v>406.1</v>
      </c>
      <c r="H1006" s="34">
        <f>Tabela1[[#This Row],[PESO UNI]]*Tabela1[[#This Row],[QTE]]</f>
        <v>1218.3000000000002</v>
      </c>
      <c r="I1006" s="7">
        <v>0</v>
      </c>
      <c r="J1006" s="8" t="s">
        <v>5259</v>
      </c>
      <c r="K1006" s="8" t="s">
        <v>4320</v>
      </c>
      <c r="L1006" s="9" t="s">
        <v>5260</v>
      </c>
      <c r="M1006" s="10">
        <v>46254</v>
      </c>
      <c r="N1006" s="8" t="s">
        <v>38</v>
      </c>
      <c r="O1006" s="12"/>
      <c r="P1006" s="13"/>
      <c r="Q1006" s="14">
        <f>Tabela1[[#This Row],[QTDE/ Fabricação]]-Tabela1[[#This Row],[QTE]]</f>
        <v>-3</v>
      </c>
      <c r="R1006" s="18">
        <f t="shared" si="197"/>
        <v>0</v>
      </c>
      <c r="S1006" s="18">
        <f t="shared" si="198"/>
        <v>0</v>
      </c>
      <c r="T1006" s="19">
        <f t="shared" si="199"/>
        <v>-1218.3000000000002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-3</v>
      </c>
      <c r="Z1006" s="20">
        <f>Tabela1[[#This Row],[PESO TOTAL]]-Tabela1[[#This Row],[Peso Expedido]]</f>
        <v>1218.3000000000002</v>
      </c>
      <c r="AA1006" s="17"/>
      <c r="AB1006" s="33"/>
      <c r="AC1006" s="33"/>
      <c r="AD1006" s="33"/>
      <c r="AE1006" s="33"/>
      <c r="AF1006" s="33"/>
      <c r="AG1006" s="33"/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5277</v>
      </c>
      <c r="B1007" s="21"/>
      <c r="C1007" s="1">
        <v>252</v>
      </c>
      <c r="D1007" s="1" t="s">
        <v>5278</v>
      </c>
      <c r="E1007" s="7">
        <v>4679</v>
      </c>
      <c r="F1007" s="7">
        <v>3</v>
      </c>
      <c r="G1007" s="1">
        <v>11.8</v>
      </c>
      <c r="H1007" s="34">
        <f>Tabela1[[#This Row],[PESO UNI]]*Tabela1[[#This Row],[QTE]]</f>
        <v>2973.6000000000004</v>
      </c>
      <c r="I1007" s="7">
        <v>0</v>
      </c>
      <c r="J1007" s="8" t="s">
        <v>5259</v>
      </c>
      <c r="K1007" s="8" t="s">
        <v>4320</v>
      </c>
      <c r="L1007" s="9" t="s">
        <v>5260</v>
      </c>
      <c r="M1007" s="10">
        <v>46254</v>
      </c>
      <c r="N1007" s="8" t="s">
        <v>38</v>
      </c>
      <c r="O1007" s="12"/>
      <c r="P1007" s="13"/>
      <c r="Q1007" s="14">
        <f>Tabela1[[#This Row],[QTDE/ Fabricação]]-Tabela1[[#This Row],[QTE]]</f>
        <v>-252</v>
      </c>
      <c r="R1007" s="18">
        <f t="shared" ref="R1007:R1015" si="201">IFERROR(H1007*((AA1007*0.25)+(AC1007*0.25)+(AD1007*0.225)+(AE1007*0.225)+(AF1007*0.05)),"")</f>
        <v>0</v>
      </c>
      <c r="S1007" s="18">
        <f t="shared" ref="S1007:S1015" si="202">IFERROR(H1007*AG1007,"")</f>
        <v>0</v>
      </c>
      <c r="T1007" s="19">
        <f t="shared" ref="T1007:T1015" si="203">IFERROR(S1007-H1007,"")</f>
        <v>-2973.6000000000004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ref="Y1007:Y1015" si="204">U1007-C1007</f>
        <v>-252</v>
      </c>
      <c r="Z1007" s="20">
        <f>Tabela1[[#This Row],[PESO TOTAL]]-Tabela1[[#This Row],[Peso Expedido]]</f>
        <v>2973.6000000000004</v>
      </c>
      <c r="AA1007" s="17"/>
      <c r="AB1007" s="33"/>
      <c r="AC1007" s="33"/>
      <c r="AD1007" s="33"/>
      <c r="AE1007" s="33"/>
      <c r="AF1007" s="33"/>
      <c r="AG1007" s="33"/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5282</v>
      </c>
      <c r="B1008" s="21" t="s">
        <v>5283</v>
      </c>
      <c r="C1008" s="1">
        <v>1</v>
      </c>
      <c r="D1008" s="1" t="s">
        <v>5284</v>
      </c>
      <c r="E1008" s="7">
        <v>4680</v>
      </c>
      <c r="F1008" s="7">
        <v>63</v>
      </c>
      <c r="G1008" s="1">
        <v>101.4</v>
      </c>
      <c r="H1008" s="34">
        <f>Tabela1[[#This Row],[PESO UNI]]*Tabela1[[#This Row],[QTE]]</f>
        <v>101.4</v>
      </c>
      <c r="I1008" s="7">
        <v>0</v>
      </c>
      <c r="J1008" s="8" t="s">
        <v>3045</v>
      </c>
      <c r="K1008" s="8" t="s">
        <v>4320</v>
      </c>
      <c r="L1008" s="9" t="s">
        <v>2984</v>
      </c>
      <c r="M1008" s="10">
        <v>46255</v>
      </c>
      <c r="N1008" s="8" t="s">
        <v>38</v>
      </c>
      <c r="O1008" s="12"/>
      <c r="P1008" s="13"/>
      <c r="Q1008" s="14">
        <f>Tabela1[[#This Row],[QTDE/ Fabricação]]-Tabela1[[#This Row],[QTE]]</f>
        <v>-1</v>
      </c>
      <c r="R1008" s="18">
        <f t="shared" si="201"/>
        <v>45.63</v>
      </c>
      <c r="S1008" s="18">
        <f t="shared" si="202"/>
        <v>0</v>
      </c>
      <c r="T1008" s="19">
        <f t="shared" si="203"/>
        <v>-101.4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4"/>
        <v>-1</v>
      </c>
      <c r="Z1008" s="20">
        <f>Tabela1[[#This Row],[PESO TOTAL]]-Tabela1[[#This Row],[Peso Expedido]]</f>
        <v>101.4</v>
      </c>
      <c r="AA1008" s="17">
        <v>0.9</v>
      </c>
      <c r="AB1008" s="33"/>
      <c r="AC1008" s="33">
        <v>0.9</v>
      </c>
      <c r="AD1008" s="33"/>
      <c r="AE1008" s="33"/>
      <c r="AF1008" s="33"/>
      <c r="AG1008" s="33"/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5289</v>
      </c>
      <c r="B1009" s="21"/>
      <c r="C1009" s="207">
        <v>2</v>
      </c>
      <c r="D1009" s="1" t="s">
        <v>5290</v>
      </c>
      <c r="E1009" s="228">
        <v>4681</v>
      </c>
      <c r="F1009" s="193">
        <v>4</v>
      </c>
      <c r="G1009" s="1">
        <v>44</v>
      </c>
      <c r="H1009" s="34">
        <f>Tabela1[[#This Row],[PESO UNI]]*Tabela1[[#This Row],[QTE]]</f>
        <v>88</v>
      </c>
      <c r="I1009" s="7">
        <v>0</v>
      </c>
      <c r="J1009" s="8" t="s">
        <v>5259</v>
      </c>
      <c r="K1009" s="8" t="s">
        <v>32</v>
      </c>
      <c r="L1009" s="9" t="s">
        <v>5260</v>
      </c>
      <c r="M1009" s="10">
        <v>46255</v>
      </c>
      <c r="N1009" s="8" t="s">
        <v>38</v>
      </c>
      <c r="O1009" s="12"/>
      <c r="P1009" s="13"/>
      <c r="Q1009" s="14">
        <f>Tabela1[[#This Row],[QTDE/ Fabricação]]-Tabela1[[#This Row],[QTE]]</f>
        <v>-2</v>
      </c>
      <c r="R1009" s="18">
        <f t="shared" si="201"/>
        <v>0</v>
      </c>
      <c r="S1009" s="18">
        <f t="shared" si="202"/>
        <v>0</v>
      </c>
      <c r="T1009" s="19">
        <f t="shared" si="203"/>
        <v>-88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4"/>
        <v>-2</v>
      </c>
      <c r="Z1009" s="20">
        <f>Tabela1[[#This Row],[PESO TOTAL]]-Tabela1[[#This Row],[Peso Expedido]]</f>
        <v>88</v>
      </c>
      <c r="AA1009" s="17"/>
      <c r="AB1009" s="33"/>
      <c r="AC1009" s="33"/>
      <c r="AD1009" s="33"/>
      <c r="AE1009" s="33"/>
      <c r="AF1009" s="33"/>
      <c r="AG1009" s="33"/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5291</v>
      </c>
      <c r="B1010" s="21"/>
      <c r="C1010" s="207">
        <v>2</v>
      </c>
      <c r="D1010" s="1" t="s">
        <v>5292</v>
      </c>
      <c r="E1010" s="228">
        <v>4682</v>
      </c>
      <c r="F1010" s="193">
        <v>4</v>
      </c>
      <c r="G1010" s="1">
        <v>0.1</v>
      </c>
      <c r="H1010" s="34">
        <f>Tabela1[[#This Row],[PESO UNI]]*Tabela1[[#This Row],[QTE]]</f>
        <v>0.2</v>
      </c>
      <c r="I1010" s="7">
        <v>0</v>
      </c>
      <c r="J1010" s="8" t="s">
        <v>5259</v>
      </c>
      <c r="K1010" s="8" t="s">
        <v>32</v>
      </c>
      <c r="L1010" s="9" t="s">
        <v>5260</v>
      </c>
      <c r="M1010" s="10">
        <v>46255</v>
      </c>
      <c r="N1010" s="8" t="s">
        <v>38</v>
      </c>
      <c r="O1010" s="12"/>
      <c r="P1010" s="13"/>
      <c r="Q1010" s="14">
        <f>Tabela1[[#This Row],[QTDE/ Fabricação]]-Tabela1[[#This Row],[QTE]]</f>
        <v>-2</v>
      </c>
      <c r="R1010" s="18">
        <f t="shared" si="201"/>
        <v>0</v>
      </c>
      <c r="S1010" s="18">
        <f t="shared" si="202"/>
        <v>0</v>
      </c>
      <c r="T1010" s="19">
        <f t="shared" si="203"/>
        <v>-0.2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4"/>
        <v>-2</v>
      </c>
      <c r="Z1010" s="20">
        <f>Tabela1[[#This Row],[PESO TOTAL]]-Tabela1[[#This Row],[Peso Expedido]]</f>
        <v>0.2</v>
      </c>
      <c r="AA1010" s="17"/>
      <c r="AB1010" s="33"/>
      <c r="AC1010" s="33"/>
      <c r="AD1010" s="33"/>
      <c r="AE1010" s="33"/>
      <c r="AF1010" s="33"/>
      <c r="AG1010" s="33"/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5288</v>
      </c>
      <c r="B1011" s="21"/>
      <c r="C1011" s="207">
        <v>1</v>
      </c>
      <c r="D1011" s="1" t="s">
        <v>5293</v>
      </c>
      <c r="E1011" s="228">
        <v>4683</v>
      </c>
      <c r="F1011" s="193">
        <v>4</v>
      </c>
      <c r="G1011" s="1">
        <v>741.4</v>
      </c>
      <c r="H1011" s="34">
        <f>Tabela1[[#This Row],[PESO UNI]]*Tabela1[[#This Row],[QTE]]</f>
        <v>741.4</v>
      </c>
      <c r="I1011" s="7">
        <v>0</v>
      </c>
      <c r="J1011" s="8" t="s">
        <v>5259</v>
      </c>
      <c r="K1011" s="8" t="s">
        <v>32</v>
      </c>
      <c r="L1011" s="9" t="s">
        <v>5260</v>
      </c>
      <c r="M1011" s="10">
        <v>46255</v>
      </c>
      <c r="N1011" s="8" t="s">
        <v>38</v>
      </c>
      <c r="O1011" s="12"/>
      <c r="P1011" s="13"/>
      <c r="Q1011" s="14">
        <f>Tabela1[[#This Row],[QTDE/ Fabricação]]-Tabela1[[#This Row],[QTE]]</f>
        <v>-1</v>
      </c>
      <c r="R1011" s="18">
        <f t="shared" si="201"/>
        <v>0</v>
      </c>
      <c r="S1011" s="18">
        <f t="shared" si="202"/>
        <v>0</v>
      </c>
      <c r="T1011" s="19">
        <f t="shared" si="203"/>
        <v>-741.4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4"/>
        <v>-1</v>
      </c>
      <c r="Z1011" s="20">
        <f>Tabela1[[#This Row],[PESO TOTAL]]-Tabela1[[#This Row],[Peso Expedido]]</f>
        <v>741.4</v>
      </c>
      <c r="AA1011" s="17"/>
      <c r="AB1011" s="33"/>
      <c r="AC1011" s="33"/>
      <c r="AD1011" s="33"/>
      <c r="AE1011" s="33"/>
      <c r="AF1011" s="33"/>
      <c r="AG1011" s="33"/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5294</v>
      </c>
      <c r="B1012" s="21"/>
      <c r="C1012" s="207">
        <v>2</v>
      </c>
      <c r="D1012" s="1" t="s">
        <v>5295</v>
      </c>
      <c r="E1012" s="228">
        <v>4684</v>
      </c>
      <c r="F1012" s="193">
        <v>4</v>
      </c>
      <c r="G1012" s="1">
        <v>103.5</v>
      </c>
      <c r="H1012" s="34">
        <f>Tabela1[[#This Row],[PESO UNI]]*Tabela1[[#This Row],[QTE]]</f>
        <v>207</v>
      </c>
      <c r="I1012" s="7">
        <v>0</v>
      </c>
      <c r="J1012" s="8" t="s">
        <v>5259</v>
      </c>
      <c r="K1012" s="8" t="s">
        <v>32</v>
      </c>
      <c r="L1012" s="9" t="s">
        <v>5260</v>
      </c>
      <c r="M1012" s="10">
        <v>46255</v>
      </c>
      <c r="N1012" s="8" t="s">
        <v>38</v>
      </c>
      <c r="O1012" s="12"/>
      <c r="P1012" s="13"/>
      <c r="Q1012" s="14">
        <f>Tabela1[[#This Row],[QTDE/ Fabricação]]-Tabela1[[#This Row],[QTE]]</f>
        <v>-2</v>
      </c>
      <c r="R1012" s="18">
        <f t="shared" si="201"/>
        <v>0</v>
      </c>
      <c r="S1012" s="18">
        <f t="shared" si="202"/>
        <v>0</v>
      </c>
      <c r="T1012" s="19">
        <f t="shared" si="203"/>
        <v>-207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4"/>
        <v>-2</v>
      </c>
      <c r="Z1012" s="20">
        <f>Tabela1[[#This Row],[PESO TOTAL]]-Tabela1[[#This Row],[Peso Expedido]]</f>
        <v>207</v>
      </c>
      <c r="AA1012" s="17"/>
      <c r="AB1012" s="33"/>
      <c r="AC1012" s="33"/>
      <c r="AD1012" s="33"/>
      <c r="AE1012" s="33"/>
      <c r="AF1012" s="33"/>
      <c r="AG1012" s="33"/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5296</v>
      </c>
      <c r="B1013" s="21"/>
      <c r="C1013" s="207">
        <v>2</v>
      </c>
      <c r="D1013" s="1" t="s">
        <v>5297</v>
      </c>
      <c r="E1013" s="228">
        <v>4685</v>
      </c>
      <c r="F1013" s="193">
        <v>4</v>
      </c>
      <c r="G1013" s="1">
        <v>2.5</v>
      </c>
      <c r="H1013" s="34">
        <f>Tabela1[[#This Row],[PESO UNI]]*Tabela1[[#This Row],[QTE]]</f>
        <v>5</v>
      </c>
      <c r="I1013" s="7">
        <v>0</v>
      </c>
      <c r="J1013" s="8" t="s">
        <v>5259</v>
      </c>
      <c r="K1013" s="8" t="s">
        <v>32</v>
      </c>
      <c r="L1013" s="9" t="s">
        <v>5260</v>
      </c>
      <c r="M1013" s="10">
        <v>46255</v>
      </c>
      <c r="N1013" s="8" t="s">
        <v>38</v>
      </c>
      <c r="O1013" s="12"/>
      <c r="P1013" s="13"/>
      <c r="Q1013" s="14">
        <f>Tabela1[[#This Row],[QTDE/ Fabricação]]-Tabela1[[#This Row],[QTE]]</f>
        <v>-2</v>
      </c>
      <c r="R1013" s="18">
        <f t="shared" si="201"/>
        <v>0</v>
      </c>
      <c r="S1013" s="18">
        <f t="shared" si="202"/>
        <v>0</v>
      </c>
      <c r="T1013" s="19">
        <f t="shared" si="203"/>
        <v>-5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4"/>
        <v>-2</v>
      </c>
      <c r="Z1013" s="20">
        <f>Tabela1[[#This Row],[PESO TOTAL]]-Tabela1[[#This Row],[Peso Expedido]]</f>
        <v>5</v>
      </c>
      <c r="AA1013" s="17"/>
      <c r="AB1013" s="33"/>
      <c r="AC1013" s="33"/>
      <c r="AD1013" s="33"/>
      <c r="AE1013" s="33"/>
      <c r="AF1013" s="33"/>
      <c r="AG1013" s="33"/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1" t="s">
        <v>5298</v>
      </c>
      <c r="C1014" s="25">
        <v>2</v>
      </c>
      <c r="D1014" s="1" t="s">
        <v>5299</v>
      </c>
      <c r="E1014" s="25">
        <v>4686</v>
      </c>
      <c r="F1014" s="25">
        <v>4</v>
      </c>
      <c r="G1014" s="1">
        <v>115.7</v>
      </c>
      <c r="H1014" s="34">
        <f>Tabela1[[#This Row],[PESO UNI]]*Tabela1[[#This Row],[QTE]]</f>
        <v>231.4</v>
      </c>
      <c r="I1014" s="7">
        <v>3</v>
      </c>
      <c r="J1014" s="8" t="s">
        <v>5259</v>
      </c>
      <c r="K1014" s="8" t="s">
        <v>32</v>
      </c>
      <c r="L1014" s="9" t="s">
        <v>5260</v>
      </c>
      <c r="M1014" s="10">
        <v>46255</v>
      </c>
      <c r="N1014" s="8" t="s">
        <v>38</v>
      </c>
      <c r="O1014" s="12"/>
      <c r="P1014" s="13"/>
      <c r="Q1014" s="14">
        <f>Tabela1[[#This Row],[QTDE/ Fabricação]]-Tabela1[[#This Row],[QTE]]</f>
        <v>-2</v>
      </c>
      <c r="R1014" s="18">
        <f t="shared" si="201"/>
        <v>0</v>
      </c>
      <c r="S1014" s="18">
        <f t="shared" si="202"/>
        <v>0</v>
      </c>
      <c r="T1014" s="19">
        <f t="shared" si="203"/>
        <v>-231.4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 t="shared" si="204"/>
        <v>-2</v>
      </c>
      <c r="Z1014" s="20">
        <f>Tabela1[[#This Row],[PESO TOTAL]]-Tabela1[[#This Row],[Peso Expedido]]</f>
        <v>231.4</v>
      </c>
      <c r="AA1014" s="17"/>
      <c r="AB1014" s="33"/>
      <c r="AC1014" s="33"/>
      <c r="AD1014" s="33"/>
      <c r="AE1014" s="33"/>
      <c r="AF1014" s="33"/>
      <c r="AG1014" s="33"/>
      <c r="AH1014" s="33"/>
      <c r="AI1014" s="33"/>
      <c r="AJ1014"/>
      <c r="AK1014"/>
      <c r="AL1014"/>
      <c r="AM1014"/>
      <c r="AN1014"/>
      <c r="AO1014"/>
      <c r="AP1014"/>
      <c r="AQ1014" s="22"/>
    </row>
    <row r="1015" spans="1:49" ht="15.75" hidden="1" customHeight="1" x14ac:dyDescent="0.25">
      <c r="A1015" s="1" t="s">
        <v>5300</v>
      </c>
      <c r="C1015" s="25">
        <v>2</v>
      </c>
      <c r="D1015" s="1" t="s">
        <v>5301</v>
      </c>
      <c r="E1015" s="25">
        <v>4687</v>
      </c>
      <c r="F1015" s="25">
        <v>4</v>
      </c>
      <c r="G1015" s="1">
        <v>2</v>
      </c>
      <c r="H1015" s="34">
        <f>Tabela1[[#This Row],[PESO UNI]]*Tabela1[[#This Row],[QTE]]</f>
        <v>4</v>
      </c>
      <c r="I1015" s="7">
        <v>1</v>
      </c>
      <c r="J1015" s="8" t="s">
        <v>5259</v>
      </c>
      <c r="K1015" s="8" t="s">
        <v>32</v>
      </c>
      <c r="L1015" s="9" t="s">
        <v>5260</v>
      </c>
      <c r="M1015" s="10">
        <v>46255</v>
      </c>
      <c r="N1015" s="8" t="s">
        <v>38</v>
      </c>
      <c r="O1015" s="12"/>
      <c r="P1015" s="13"/>
      <c r="Q1015" s="14">
        <f>Tabela1[[#This Row],[QTDE/ Fabricação]]-Tabela1[[#This Row],[QTE]]</f>
        <v>-2</v>
      </c>
      <c r="R1015" s="18">
        <f t="shared" si="201"/>
        <v>0</v>
      </c>
      <c r="S1015" s="18">
        <f t="shared" si="202"/>
        <v>0</v>
      </c>
      <c r="T1015" s="19">
        <f t="shared" si="203"/>
        <v>-4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 t="shared" si="204"/>
        <v>-2</v>
      </c>
      <c r="Z1015" s="20">
        <f>Tabela1[[#This Row],[PESO TOTAL]]-Tabela1[[#This Row],[Peso Expedido]]</f>
        <v>4</v>
      </c>
      <c r="AA1015" s="17"/>
      <c r="AB1015" s="33"/>
      <c r="AC1015" s="33"/>
      <c r="AD1015" s="33"/>
      <c r="AE1015" s="33"/>
      <c r="AF1015" s="33"/>
      <c r="AG1015" s="33"/>
      <c r="AH1015" s="33"/>
      <c r="AI1015" s="33"/>
      <c r="AJ1015"/>
      <c r="AK1015"/>
      <c r="AL1015"/>
      <c r="AM1015"/>
      <c r="AN1015"/>
      <c r="AO1015"/>
    </row>
    <row r="1016" spans="1:49" ht="15.75" hidden="1" customHeight="1" x14ac:dyDescent="0.25">
      <c r="A1016" s="1" t="s">
        <v>5302</v>
      </c>
      <c r="C1016" s="25">
        <v>2</v>
      </c>
      <c r="D1016" s="1" t="s">
        <v>5303</v>
      </c>
      <c r="E1016" s="25">
        <v>4688</v>
      </c>
      <c r="F1016" s="25">
        <v>4</v>
      </c>
      <c r="G1016" s="1">
        <v>28.6</v>
      </c>
      <c r="H1016" s="34">
        <f>Tabela1[[#This Row],[PESO UNI]]*Tabela1[[#This Row],[QTE]]</f>
        <v>57.2</v>
      </c>
      <c r="I1016" s="7">
        <v>1</v>
      </c>
      <c r="J1016" s="8" t="s">
        <v>5259</v>
      </c>
      <c r="K1016" s="8" t="s">
        <v>32</v>
      </c>
      <c r="L1016" s="9" t="s">
        <v>5260</v>
      </c>
      <c r="M1016" s="10">
        <v>46255</v>
      </c>
      <c r="N1016" s="8" t="s">
        <v>38</v>
      </c>
      <c r="O1016" s="12"/>
      <c r="P1016" s="13"/>
      <c r="Q1016" s="14">
        <f>Tabela1[[#This Row],[QTDE/ Fabricação]]-Tabela1[[#This Row],[QTE]]</f>
        <v>-2</v>
      </c>
      <c r="R1016" s="18">
        <f t="shared" ref="R1016:R1022" si="205">IFERROR(H1016*((AA1016*0.25)+(AC1016*0.25)+(AD1016*0.225)+(AE1016*0.225)+(AF1016*0.05)),"")</f>
        <v>0</v>
      </c>
      <c r="S1016" s="18">
        <f t="shared" ref="S1016:S1022" si="206">IFERROR(H1016*AG1016,"")</f>
        <v>0</v>
      </c>
      <c r="T1016" s="19">
        <f t="shared" ref="T1016:T1022" si="207">IFERROR(S1016-H1016,"")</f>
        <v>-57.2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ref="Y1016:Y1022" si="208">U1016-C1016</f>
        <v>-2</v>
      </c>
      <c r="Z1016" s="20">
        <f>Tabela1[[#This Row],[PESO TOTAL]]-Tabela1[[#This Row],[Peso Expedido]]</f>
        <v>57.2</v>
      </c>
      <c r="AA1016" s="17"/>
      <c r="AB1016" s="33"/>
      <c r="AC1016" s="33"/>
      <c r="AD1016" s="33"/>
      <c r="AE1016" s="33"/>
      <c r="AF1016" s="33"/>
      <c r="AG1016" s="33"/>
      <c r="AH1016" s="33"/>
      <c r="AI1016" s="33"/>
      <c r="AJ1016"/>
      <c r="AK1016"/>
      <c r="AL1016"/>
      <c r="AM1016"/>
      <c r="AN1016"/>
      <c r="AO1016"/>
    </row>
    <row r="1017" spans="1:49" ht="15.75" hidden="1" customHeight="1" x14ac:dyDescent="0.25">
      <c r="A1017" s="209" t="s">
        <v>5305</v>
      </c>
      <c r="B1017" s="21" t="s">
        <v>5306</v>
      </c>
      <c r="C1017" s="196">
        <v>1</v>
      </c>
      <c r="D1017" s="1" t="s">
        <v>5307</v>
      </c>
      <c r="E1017" s="228">
        <v>4689</v>
      </c>
      <c r="F1017" s="196">
        <v>24</v>
      </c>
      <c r="G1017" s="1">
        <v>660</v>
      </c>
      <c r="H1017" s="34">
        <f>Tabela1[[#This Row],[PESO UNI]]*Tabela1[[#This Row],[QTE]]</f>
        <v>660</v>
      </c>
      <c r="I1017" s="7">
        <v>0</v>
      </c>
      <c r="J1017" s="8" t="s">
        <v>4834</v>
      </c>
      <c r="K1017" s="8" t="s">
        <v>4320</v>
      </c>
      <c r="L1017" s="9" t="s">
        <v>3291</v>
      </c>
      <c r="M1017" s="10">
        <v>46259</v>
      </c>
      <c r="N1017" s="8" t="s">
        <v>38</v>
      </c>
      <c r="O1017" s="12"/>
      <c r="P1017" s="13"/>
      <c r="Q1017" s="14">
        <f>Tabela1[[#This Row],[QTDE/ Fabricação]]-Tabela1[[#This Row],[QTE]]</f>
        <v>-1</v>
      </c>
      <c r="R1017" s="18">
        <f t="shared" si="205"/>
        <v>330</v>
      </c>
      <c r="S1017" s="18">
        <f t="shared" si="206"/>
        <v>0</v>
      </c>
      <c r="T1017" s="19">
        <f t="shared" si="207"/>
        <v>-660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8"/>
        <v>-1</v>
      </c>
      <c r="Z1017" s="20">
        <f>Tabela1[[#This Row],[PESO TOTAL]]-Tabela1[[#This Row],[Peso Expedido]]</f>
        <v>660</v>
      </c>
      <c r="AA1017" s="17">
        <v>1</v>
      </c>
      <c r="AB1017" s="33"/>
      <c r="AC1017" s="33">
        <v>1</v>
      </c>
      <c r="AD1017" s="33"/>
      <c r="AE1017" s="33"/>
      <c r="AF1017" s="33"/>
      <c r="AG1017" s="33"/>
      <c r="AH1017" s="33"/>
      <c r="AI1017" s="33"/>
      <c r="AJ1017"/>
      <c r="AK1017"/>
      <c r="AL1017"/>
      <c r="AM1017"/>
      <c r="AN1017"/>
      <c r="AO1017"/>
      <c r="AT1017" s="37"/>
      <c r="AU1017" s="37"/>
      <c r="AV1017" s="37"/>
      <c r="AW1017" s="37"/>
    </row>
    <row r="1018" spans="1:49" ht="15.75" hidden="1" customHeight="1" x14ac:dyDescent="0.25">
      <c r="A1018" s="209" t="s">
        <v>5308</v>
      </c>
      <c r="B1018" s="21" t="s">
        <v>5309</v>
      </c>
      <c r="C1018" s="196">
        <v>1</v>
      </c>
      <c r="D1018" s="1" t="s">
        <v>5310</v>
      </c>
      <c r="E1018" s="228">
        <v>4690</v>
      </c>
      <c r="F1018" s="196">
        <v>24</v>
      </c>
      <c r="G1018" s="1">
        <v>367</v>
      </c>
      <c r="H1018" s="34">
        <f>Tabela1[[#This Row],[PESO UNI]]*Tabela1[[#This Row],[QTE]]</f>
        <v>367</v>
      </c>
      <c r="I1018" s="7">
        <v>0</v>
      </c>
      <c r="J1018" s="8" t="s">
        <v>4834</v>
      </c>
      <c r="K1018" s="8" t="s">
        <v>4320</v>
      </c>
      <c r="L1018" s="9" t="s">
        <v>3291</v>
      </c>
      <c r="M1018" s="10">
        <v>46259</v>
      </c>
      <c r="N1018" s="8" t="s">
        <v>38</v>
      </c>
      <c r="O1018" s="12"/>
      <c r="P1018" s="13"/>
      <c r="Q1018" s="14">
        <f>Tabela1[[#This Row],[QTDE/ Fabricação]]-Tabela1[[#This Row],[QTE]]</f>
        <v>-1</v>
      </c>
      <c r="R1018" s="18">
        <f t="shared" si="205"/>
        <v>183.5</v>
      </c>
      <c r="S1018" s="18">
        <f t="shared" si="206"/>
        <v>0</v>
      </c>
      <c r="T1018" s="19">
        <f t="shared" si="207"/>
        <v>-367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8"/>
        <v>-1</v>
      </c>
      <c r="Z1018" s="20">
        <f>Tabela1[[#This Row],[PESO TOTAL]]-Tabela1[[#This Row],[Peso Expedido]]</f>
        <v>367</v>
      </c>
      <c r="AA1018" s="17">
        <v>1</v>
      </c>
      <c r="AB1018" s="33"/>
      <c r="AC1018" s="33">
        <v>1</v>
      </c>
      <c r="AD1018" s="33"/>
      <c r="AE1018" s="33"/>
      <c r="AF1018" s="33"/>
      <c r="AG1018" s="33"/>
      <c r="AH1018" s="33"/>
      <c r="AI1018" s="33"/>
      <c r="AJ1018"/>
      <c r="AK1018"/>
      <c r="AL1018"/>
      <c r="AM1018"/>
      <c r="AN1018"/>
      <c r="AO1018"/>
      <c r="AT1018" s="37"/>
      <c r="AU1018" s="37"/>
      <c r="AV1018" s="37"/>
      <c r="AW1018" s="37"/>
    </row>
    <row r="1019" spans="1:49" ht="15.75" hidden="1" customHeight="1" x14ac:dyDescent="0.25">
      <c r="A1019" s="209" t="s">
        <v>5308</v>
      </c>
      <c r="B1019" s="21" t="s">
        <v>5309</v>
      </c>
      <c r="C1019" s="196">
        <v>1</v>
      </c>
      <c r="D1019" s="1" t="s">
        <v>5311</v>
      </c>
      <c r="E1019" s="228">
        <v>4691</v>
      </c>
      <c r="F1019" s="196">
        <v>24</v>
      </c>
      <c r="G1019" s="1">
        <v>219</v>
      </c>
      <c r="H1019" s="34">
        <f>Tabela1[[#This Row],[PESO UNI]]*Tabela1[[#This Row],[QTE]]</f>
        <v>219</v>
      </c>
      <c r="I1019" s="7">
        <v>0</v>
      </c>
      <c r="J1019" s="8" t="s">
        <v>4834</v>
      </c>
      <c r="K1019" s="8" t="s">
        <v>4320</v>
      </c>
      <c r="L1019" s="9" t="s">
        <v>3291</v>
      </c>
      <c r="M1019" s="10">
        <v>46259</v>
      </c>
      <c r="N1019" s="8" t="s">
        <v>38</v>
      </c>
      <c r="O1019" s="12"/>
      <c r="P1019" s="13"/>
      <c r="Q1019" s="14">
        <f>Tabela1[[#This Row],[QTDE/ Fabricação]]-Tabela1[[#This Row],[QTE]]</f>
        <v>-1</v>
      </c>
      <c r="R1019" s="18">
        <f t="shared" si="205"/>
        <v>109.5</v>
      </c>
      <c r="S1019" s="18">
        <f t="shared" si="206"/>
        <v>0</v>
      </c>
      <c r="T1019" s="19">
        <f t="shared" si="207"/>
        <v>-219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8"/>
        <v>-1</v>
      </c>
      <c r="Z1019" s="20">
        <f>Tabela1[[#This Row],[PESO TOTAL]]-Tabela1[[#This Row],[Peso Expedido]]</f>
        <v>219</v>
      </c>
      <c r="AA1019" s="17">
        <v>1</v>
      </c>
      <c r="AB1019" s="33"/>
      <c r="AC1019" s="33">
        <v>1</v>
      </c>
      <c r="AD1019" s="33"/>
      <c r="AE1019" s="33"/>
      <c r="AF1019" s="33"/>
      <c r="AG1019" s="33"/>
      <c r="AH1019" s="33"/>
      <c r="AI1019" s="33"/>
      <c r="AJ1019"/>
      <c r="AK1019"/>
      <c r="AL1019"/>
      <c r="AM1019"/>
      <c r="AN1019"/>
      <c r="AO1019"/>
      <c r="AQ1019" s="201"/>
      <c r="AR1019" s="37"/>
      <c r="AS1019" s="37"/>
      <c r="AT1019" s="37"/>
      <c r="AU1019" s="37"/>
      <c r="AV1019" s="37"/>
      <c r="AW1019" s="37"/>
    </row>
    <row r="1020" spans="1:49" ht="15.75" hidden="1" customHeight="1" x14ac:dyDescent="0.25">
      <c r="A1020" s="209" t="s">
        <v>5312</v>
      </c>
      <c r="B1020" s="21" t="s">
        <v>5313</v>
      </c>
      <c r="C1020" s="196">
        <v>1</v>
      </c>
      <c r="D1020" s="1" t="s">
        <v>5314</v>
      </c>
      <c r="E1020" s="228">
        <v>4692</v>
      </c>
      <c r="F1020" s="196">
        <v>24</v>
      </c>
      <c r="G1020" s="1">
        <v>482</v>
      </c>
      <c r="H1020" s="34">
        <f>Tabela1[[#This Row],[PESO UNI]]*Tabela1[[#This Row],[QTE]]</f>
        <v>482</v>
      </c>
      <c r="I1020" s="7">
        <v>0</v>
      </c>
      <c r="J1020" s="8" t="s">
        <v>4834</v>
      </c>
      <c r="K1020" s="8" t="s">
        <v>4320</v>
      </c>
      <c r="L1020" s="9" t="s">
        <v>3291</v>
      </c>
      <c r="M1020" s="10">
        <v>46259</v>
      </c>
      <c r="N1020" s="8" t="s">
        <v>38</v>
      </c>
      <c r="O1020" s="12"/>
      <c r="P1020" s="13"/>
      <c r="Q1020" s="14">
        <f>Tabela1[[#This Row],[QTDE/ Fabricação]]-Tabela1[[#This Row],[QTE]]</f>
        <v>-1</v>
      </c>
      <c r="R1020" s="18">
        <f t="shared" si="205"/>
        <v>241</v>
      </c>
      <c r="S1020" s="18">
        <f t="shared" si="206"/>
        <v>0</v>
      </c>
      <c r="T1020" s="19">
        <f t="shared" si="207"/>
        <v>-482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8"/>
        <v>-1</v>
      </c>
      <c r="Z1020" s="20">
        <f>Tabela1[[#This Row],[PESO TOTAL]]-Tabela1[[#This Row],[Peso Expedido]]</f>
        <v>482</v>
      </c>
      <c r="AA1020" s="17">
        <v>1</v>
      </c>
      <c r="AB1020" s="33"/>
      <c r="AC1020" s="33">
        <v>1</v>
      </c>
      <c r="AD1020" s="33"/>
      <c r="AE1020" s="33"/>
      <c r="AF1020" s="33"/>
      <c r="AG1020" s="33"/>
      <c r="AH1020" s="33"/>
      <c r="AI1020" s="33"/>
      <c r="AJ1020"/>
      <c r="AK1020"/>
      <c r="AL1020"/>
      <c r="AM1020"/>
      <c r="AN1020"/>
      <c r="AO1020"/>
      <c r="AQ1020" s="201"/>
      <c r="AR1020" s="37"/>
      <c r="AS1020" s="37"/>
      <c r="AT1020" s="37"/>
      <c r="AU1020" s="37"/>
      <c r="AV1020" s="37"/>
      <c r="AW1020" s="37"/>
    </row>
    <row r="1021" spans="1:49" ht="15.75" hidden="1" customHeight="1" x14ac:dyDescent="0.25">
      <c r="A1021" s="209" t="s">
        <v>5315</v>
      </c>
      <c r="B1021" s="21" t="s">
        <v>5316</v>
      </c>
      <c r="C1021" s="196">
        <v>1</v>
      </c>
      <c r="D1021" s="1" t="s">
        <v>5317</v>
      </c>
      <c r="E1021" s="228">
        <v>4693</v>
      </c>
      <c r="F1021" s="196">
        <v>23</v>
      </c>
      <c r="G1021" s="1">
        <v>425.4</v>
      </c>
      <c r="H1021" s="34">
        <f>Tabela1[[#This Row],[PESO UNI]]*Tabela1[[#This Row],[QTE]]</f>
        <v>425.4</v>
      </c>
      <c r="I1021" s="7">
        <v>0</v>
      </c>
      <c r="J1021" s="8" t="s">
        <v>4834</v>
      </c>
      <c r="K1021" s="8" t="s">
        <v>4320</v>
      </c>
      <c r="L1021" s="9" t="s">
        <v>3291</v>
      </c>
      <c r="M1021" s="10">
        <v>46259</v>
      </c>
      <c r="N1021" s="8" t="s">
        <v>38</v>
      </c>
      <c r="O1021" s="12"/>
      <c r="P1021" s="13"/>
      <c r="Q1021" s="14">
        <f>Tabela1[[#This Row],[QTDE/ Fabricação]]-Tabela1[[#This Row],[QTE]]</f>
        <v>-1</v>
      </c>
      <c r="R1021" s="18">
        <f t="shared" si="205"/>
        <v>366.90750000000003</v>
      </c>
      <c r="S1021" s="18">
        <f t="shared" si="206"/>
        <v>0</v>
      </c>
      <c r="T1021" s="19">
        <f t="shared" si="207"/>
        <v>-425.4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8"/>
        <v>-1</v>
      </c>
      <c r="Z1021" s="20">
        <f>Tabela1[[#This Row],[PESO TOTAL]]-Tabela1[[#This Row],[Peso Expedido]]</f>
        <v>425.4</v>
      </c>
      <c r="AA1021" s="17">
        <v>1</v>
      </c>
      <c r="AB1021" s="33"/>
      <c r="AC1021" s="17">
        <v>1</v>
      </c>
      <c r="AD1021" s="33">
        <v>1</v>
      </c>
      <c r="AE1021" s="33">
        <v>0.5</v>
      </c>
      <c r="AF1021" s="33">
        <v>0.5</v>
      </c>
      <c r="AG1021" s="33"/>
      <c r="AH1021" s="33"/>
      <c r="AI1021" s="33"/>
      <c r="AJ1021"/>
      <c r="AK1021"/>
      <c r="AL1021"/>
      <c r="AM1021"/>
      <c r="AN1021"/>
      <c r="AO1021"/>
      <c r="AQ1021" s="201"/>
      <c r="AR1021" s="37"/>
      <c r="AS1021" s="37"/>
      <c r="AT1021" s="37"/>
      <c r="AU1021" s="37"/>
      <c r="AV1021" s="37"/>
      <c r="AW1021" s="37"/>
    </row>
    <row r="1022" spans="1:49" ht="15.75" hidden="1" customHeight="1" x14ac:dyDescent="0.25">
      <c r="A1022" s="209" t="s">
        <v>5318</v>
      </c>
      <c r="B1022" s="21" t="s">
        <v>5319</v>
      </c>
      <c r="C1022" s="196">
        <v>1</v>
      </c>
      <c r="D1022" s="1" t="s">
        <v>5320</v>
      </c>
      <c r="E1022" s="228">
        <v>4694</v>
      </c>
      <c r="F1022" s="196">
        <v>23</v>
      </c>
      <c r="G1022" s="1">
        <v>586.79999999999995</v>
      </c>
      <c r="H1022" s="34">
        <f>Tabela1[[#This Row],[PESO UNI]]*Tabela1[[#This Row],[QTE]]</f>
        <v>586.79999999999995</v>
      </c>
      <c r="I1022" s="7">
        <v>0</v>
      </c>
      <c r="J1022" s="8" t="s">
        <v>4834</v>
      </c>
      <c r="K1022" s="8" t="s">
        <v>4320</v>
      </c>
      <c r="L1022" s="9" t="s">
        <v>3291</v>
      </c>
      <c r="M1022" s="10">
        <v>46259</v>
      </c>
      <c r="N1022" s="8" t="s">
        <v>38</v>
      </c>
      <c r="O1022" s="12"/>
      <c r="P1022" s="13"/>
      <c r="Q1022" s="14">
        <f>Tabela1[[#This Row],[QTDE/ Fabricação]]-Tabela1[[#This Row],[QTE]]</f>
        <v>-1</v>
      </c>
      <c r="R1022" s="18">
        <f t="shared" si="205"/>
        <v>506.11500000000001</v>
      </c>
      <c r="S1022" s="18">
        <f t="shared" si="206"/>
        <v>0</v>
      </c>
      <c r="T1022" s="19">
        <f t="shared" si="207"/>
        <v>-586.79999999999995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8"/>
        <v>-1</v>
      </c>
      <c r="Z1022" s="20">
        <f>Tabela1[[#This Row],[PESO TOTAL]]-Tabela1[[#This Row],[Peso Expedido]]</f>
        <v>586.79999999999995</v>
      </c>
      <c r="AA1022" s="17">
        <v>1</v>
      </c>
      <c r="AB1022" s="33"/>
      <c r="AC1022" s="17">
        <v>1</v>
      </c>
      <c r="AD1022" s="33">
        <v>1</v>
      </c>
      <c r="AE1022" s="33">
        <v>0.5</v>
      </c>
      <c r="AF1022" s="33">
        <v>0.5</v>
      </c>
      <c r="AG1022" s="33"/>
      <c r="AH1022" s="33"/>
      <c r="AI1022" s="33"/>
      <c r="AJ1022"/>
      <c r="AK1022"/>
      <c r="AL1022"/>
      <c r="AM1022"/>
      <c r="AN1022"/>
      <c r="AO1022"/>
      <c r="AQ1022" s="201"/>
      <c r="AR1022" s="37"/>
      <c r="AS1022" s="37"/>
      <c r="AT1022" s="37"/>
      <c r="AU1022" s="37"/>
      <c r="AV1022" s="37"/>
      <c r="AW1022" s="37"/>
    </row>
    <row r="1023" spans="1:49" ht="15.75" hidden="1" customHeight="1" x14ac:dyDescent="0.25">
      <c r="A1023" s="209" t="s">
        <v>5321</v>
      </c>
      <c r="B1023" s="21" t="s">
        <v>5322</v>
      </c>
      <c r="C1023" s="196">
        <v>1</v>
      </c>
      <c r="D1023" s="1" t="s">
        <v>5323</v>
      </c>
      <c r="E1023" s="193">
        <v>4695</v>
      </c>
      <c r="F1023" s="196">
        <v>25</v>
      </c>
      <c r="G1023" s="1">
        <v>319.39999999999998</v>
      </c>
      <c r="H1023" s="34">
        <f>Tabela1[[#This Row],[PESO UNI]]*Tabela1[[#This Row],[QTE]]</f>
        <v>319.39999999999998</v>
      </c>
      <c r="I1023" s="7">
        <v>0</v>
      </c>
      <c r="J1023" s="8" t="s">
        <v>4834</v>
      </c>
      <c r="K1023" s="8" t="s">
        <v>4320</v>
      </c>
      <c r="L1023" s="9" t="s">
        <v>3291</v>
      </c>
      <c r="M1023" s="10">
        <v>46259</v>
      </c>
      <c r="N1023" s="8" t="s">
        <v>38</v>
      </c>
      <c r="O1023" s="12"/>
      <c r="P1023" s="13"/>
      <c r="Q1023" s="14">
        <f>Tabela1[[#This Row],[QTDE/ Fabricação]]-Tabela1[[#This Row],[QTE]]</f>
        <v>-1</v>
      </c>
      <c r="R1023" s="18">
        <f t="shared" ref="R1023:R1024" si="209">IFERROR(H1023*((AA1023*0.25)+(AC1023*0.25)+(AD1023*0.225)+(AE1023*0.225)+(AF1023*0.05)),"")</f>
        <v>0</v>
      </c>
      <c r="S1023" s="18">
        <f t="shared" ref="S1023:S1024" si="210">IFERROR(H1023*AG1023,"")</f>
        <v>0</v>
      </c>
      <c r="T1023" s="19">
        <f t="shared" ref="T1023:T1024" si="211">IFERROR(S1023-H1023,"")</f>
        <v>-319.39999999999998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ref="Y1023:Y1024" si="212">U1023-C1023</f>
        <v>-1</v>
      </c>
      <c r="Z1023" s="20">
        <f>Tabela1[[#This Row],[PESO TOTAL]]-Tabela1[[#This Row],[Peso Expedido]]</f>
        <v>319.39999999999998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Q1023" s="201"/>
      <c r="AR1023" s="37"/>
      <c r="AS1023" s="37"/>
      <c r="AT1023" s="37"/>
      <c r="AU1023" s="37"/>
      <c r="AV1023" s="37"/>
      <c r="AW1023" s="37"/>
    </row>
    <row r="1024" spans="1:49" ht="15.75" hidden="1" customHeight="1" x14ac:dyDescent="0.25">
      <c r="A1024" s="209" t="s">
        <v>5321</v>
      </c>
      <c r="B1024" s="21" t="s">
        <v>5322</v>
      </c>
      <c r="C1024" s="196">
        <v>2</v>
      </c>
      <c r="D1024" s="1" t="s">
        <v>5324</v>
      </c>
      <c r="E1024" s="193">
        <v>4696</v>
      </c>
      <c r="F1024" s="196">
        <v>25</v>
      </c>
      <c r="G1024" s="1">
        <v>62.1</v>
      </c>
      <c r="H1024" s="34">
        <f>Tabela1[[#This Row],[PESO UNI]]*Tabela1[[#This Row],[QTE]]</f>
        <v>124.2</v>
      </c>
      <c r="I1024" s="7">
        <v>0</v>
      </c>
      <c r="J1024" s="8" t="s">
        <v>4834</v>
      </c>
      <c r="K1024" s="8" t="s">
        <v>4320</v>
      </c>
      <c r="L1024" s="9" t="s">
        <v>3291</v>
      </c>
      <c r="M1024" s="10">
        <v>46259</v>
      </c>
      <c r="N1024" s="8" t="s">
        <v>38</v>
      </c>
      <c r="O1024" s="12"/>
      <c r="P1024" s="13"/>
      <c r="Q1024" s="14">
        <f>Tabela1[[#This Row],[QTDE/ Fabricação]]-Tabela1[[#This Row],[QTE]]</f>
        <v>-2</v>
      </c>
      <c r="R1024" s="18">
        <f t="shared" si="209"/>
        <v>0</v>
      </c>
      <c r="S1024" s="18">
        <f t="shared" si="210"/>
        <v>0</v>
      </c>
      <c r="T1024" s="19">
        <f t="shared" si="211"/>
        <v>-124.2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12"/>
        <v>-2</v>
      </c>
      <c r="Z1024" s="20">
        <f>Tabela1[[#This Row],[PESO TOTAL]]-Tabela1[[#This Row],[Peso Expedido]]</f>
        <v>124.2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Q1024" s="201"/>
      <c r="AR1024" s="37"/>
      <c r="AS1024" s="37"/>
      <c r="AT1024" s="37"/>
      <c r="AU1024" s="37"/>
      <c r="AV1024" s="37"/>
      <c r="AW1024" s="37"/>
    </row>
    <row r="1025" spans="1:49" ht="15.75" hidden="1" customHeight="1" x14ac:dyDescent="0.25">
      <c r="A1025" s="209" t="s">
        <v>5321</v>
      </c>
      <c r="B1025" s="21" t="s">
        <v>5322</v>
      </c>
      <c r="C1025" s="25">
        <v>2</v>
      </c>
      <c r="D1025" s="1" t="s">
        <v>5325</v>
      </c>
      <c r="E1025" s="25">
        <v>4697</v>
      </c>
      <c r="F1025" s="25">
        <v>25</v>
      </c>
      <c r="G1025" s="1">
        <v>9.5</v>
      </c>
      <c r="H1025" s="34">
        <f>Tabela1[[#This Row],[PESO UNI]]*Tabela1[[#This Row],[QTE]]</f>
        <v>19</v>
      </c>
      <c r="I1025" s="7">
        <v>0</v>
      </c>
      <c r="J1025" s="8" t="s">
        <v>4834</v>
      </c>
      <c r="K1025" s="8" t="s">
        <v>4320</v>
      </c>
      <c r="L1025" s="9" t="s">
        <v>3291</v>
      </c>
      <c r="M1025" s="10">
        <v>46259</v>
      </c>
      <c r="N1025" s="8" t="s">
        <v>38</v>
      </c>
      <c r="O1025" s="12"/>
      <c r="P1025" s="13"/>
      <c r="Q1025" s="14">
        <f>Tabela1[[#This Row],[QTDE/ Fabricação]]-Tabela1[[#This Row],[QTE]]</f>
        <v>-2</v>
      </c>
      <c r="R1025" s="18">
        <f t="shared" ref="R1025:R1041" si="213">IFERROR(H1025*((AA1025*0.25)+(AC1025*0.25)+(AD1025*0.225)+(AE1025*0.225)+(AF1025*0.05)),"")</f>
        <v>0</v>
      </c>
      <c r="S1025" s="18">
        <f t="shared" ref="S1025:S1041" si="214">IFERROR(H1025*AG1025,"")</f>
        <v>0</v>
      </c>
      <c r="T1025" s="19">
        <f t="shared" ref="T1025:T1041" si="215">IFERROR(S1025-H1025,"")</f>
        <v>-19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ref="Y1025:Y1041" si="216">U1025-C1025</f>
        <v>-2</v>
      </c>
      <c r="Z1025" s="20">
        <f>Tabela1[[#This Row],[PESO TOTAL]]-Tabela1[[#This Row],[Peso Expedido]]</f>
        <v>19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Q1025" s="201"/>
      <c r="AR1025" s="37"/>
      <c r="AS1025" s="37"/>
    </row>
    <row r="1026" spans="1:49" ht="15.75" hidden="1" customHeight="1" x14ac:dyDescent="0.25">
      <c r="A1026" s="21" t="s">
        <v>5326</v>
      </c>
      <c r="B1026" s="21" t="s">
        <v>5327</v>
      </c>
      <c r="C1026" s="196">
        <v>6</v>
      </c>
      <c r="D1026" s="1" t="s">
        <v>5328</v>
      </c>
      <c r="E1026" s="193">
        <v>4698</v>
      </c>
      <c r="F1026" s="196">
        <v>26</v>
      </c>
      <c r="G1026" s="1">
        <v>49.6</v>
      </c>
      <c r="H1026" s="34">
        <f>Tabela1[[#This Row],[PESO UNI]]*Tabela1[[#This Row],[QTE]]</f>
        <v>297.60000000000002</v>
      </c>
      <c r="I1026" s="7">
        <v>0</v>
      </c>
      <c r="J1026" s="8" t="s">
        <v>4834</v>
      </c>
      <c r="K1026" s="8" t="s">
        <v>4320</v>
      </c>
      <c r="L1026" s="9" t="s">
        <v>3291</v>
      </c>
      <c r="M1026" s="10">
        <v>46259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213"/>
        <v>0</v>
      </c>
      <c r="S1026" s="18">
        <f t="shared" si="214"/>
        <v>0</v>
      </c>
      <c r="T1026" s="19">
        <f t="shared" si="215"/>
        <v>-297.60000000000002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16"/>
        <v>-6</v>
      </c>
      <c r="Z1026" s="20">
        <f>Tabela1[[#This Row],[PESO TOTAL]]-Tabela1[[#This Row],[Peso Expedido]]</f>
        <v>297.60000000000002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Q1026" s="201"/>
      <c r="AR1026" s="37"/>
      <c r="AS1026" s="37"/>
      <c r="AT1026" s="37"/>
      <c r="AU1026" s="37"/>
      <c r="AV1026" s="37"/>
      <c r="AW1026" s="37"/>
    </row>
    <row r="1027" spans="1:49" ht="15.75" hidden="1" customHeight="1" x14ac:dyDescent="0.25">
      <c r="A1027" s="21" t="s">
        <v>5326</v>
      </c>
      <c r="B1027" s="21" t="s">
        <v>5327</v>
      </c>
      <c r="C1027" s="196">
        <v>6</v>
      </c>
      <c r="D1027" s="1" t="s">
        <v>5329</v>
      </c>
      <c r="E1027" s="193">
        <v>4699</v>
      </c>
      <c r="F1027" s="196">
        <v>26</v>
      </c>
      <c r="G1027" s="1">
        <v>49.6</v>
      </c>
      <c r="H1027" s="34">
        <f>Tabela1[[#This Row],[PESO UNI]]*Tabela1[[#This Row],[QTE]]</f>
        <v>297.60000000000002</v>
      </c>
      <c r="I1027" s="7">
        <v>0</v>
      </c>
      <c r="J1027" s="8" t="s">
        <v>4834</v>
      </c>
      <c r="K1027" s="8" t="s">
        <v>4320</v>
      </c>
      <c r="L1027" s="9" t="s">
        <v>3291</v>
      </c>
      <c r="M1027" s="10">
        <v>46259</v>
      </c>
      <c r="N1027" s="8" t="s">
        <v>38</v>
      </c>
      <c r="O1027" s="12"/>
      <c r="P1027" s="13"/>
      <c r="Q1027" s="14">
        <f>Tabela1[[#This Row],[QTDE/ Fabricação]]-Tabela1[[#This Row],[QTE]]</f>
        <v>-6</v>
      </c>
      <c r="R1027" s="18">
        <f t="shared" si="213"/>
        <v>0</v>
      </c>
      <c r="S1027" s="18">
        <f t="shared" si="214"/>
        <v>0</v>
      </c>
      <c r="T1027" s="19">
        <f t="shared" si="215"/>
        <v>-297.60000000000002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16"/>
        <v>-6</v>
      </c>
      <c r="Z1027" s="20">
        <f>Tabela1[[#This Row],[PESO TOTAL]]-Tabela1[[#This Row],[Peso Expedido]]</f>
        <v>297.60000000000002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Q1027" s="201"/>
      <c r="AR1027" s="37"/>
      <c r="AS1027" s="37"/>
      <c r="AT1027" s="37"/>
      <c r="AU1027" s="37"/>
      <c r="AV1027" s="37"/>
      <c r="AW1027" s="37"/>
    </row>
    <row r="1028" spans="1:49" ht="15.75" hidden="1" customHeight="1" x14ac:dyDescent="0.25">
      <c r="A1028" s="21" t="s">
        <v>5326</v>
      </c>
      <c r="B1028" s="21" t="s">
        <v>5327</v>
      </c>
      <c r="C1028" s="196">
        <v>1</v>
      </c>
      <c r="D1028" s="1" t="s">
        <v>5330</v>
      </c>
      <c r="E1028" s="193">
        <v>4700</v>
      </c>
      <c r="F1028" s="196">
        <v>26</v>
      </c>
      <c r="G1028" s="1">
        <v>13.7</v>
      </c>
      <c r="H1028" s="34">
        <f>Tabela1[[#This Row],[PESO UNI]]*Tabela1[[#This Row],[QTE]]</f>
        <v>13.7</v>
      </c>
      <c r="I1028" s="7">
        <v>0</v>
      </c>
      <c r="J1028" s="8" t="s">
        <v>4834</v>
      </c>
      <c r="K1028" s="8" t="s">
        <v>4320</v>
      </c>
      <c r="L1028" s="9" t="s">
        <v>3291</v>
      </c>
      <c r="M1028" s="10">
        <v>46259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13"/>
        <v>0</v>
      </c>
      <c r="S1028" s="18">
        <f t="shared" si="214"/>
        <v>0</v>
      </c>
      <c r="T1028" s="19">
        <f t="shared" si="215"/>
        <v>-13.7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16"/>
        <v>-1</v>
      </c>
      <c r="Z1028" s="20">
        <f>Tabela1[[#This Row],[PESO TOTAL]]-Tabela1[[#This Row],[Peso Expedido]]</f>
        <v>13.7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Q1028" s="201"/>
      <c r="AR1028" s="37"/>
      <c r="AS1028" s="37"/>
      <c r="AT1028" s="37"/>
      <c r="AU1028" s="37"/>
      <c r="AV1028" s="37"/>
      <c r="AW1028" s="37"/>
    </row>
    <row r="1029" spans="1:49" ht="15.75" hidden="1" customHeight="1" x14ac:dyDescent="0.25">
      <c r="A1029" s="21" t="s">
        <v>5326</v>
      </c>
      <c r="B1029" s="21" t="s">
        <v>5327</v>
      </c>
      <c r="C1029" s="196">
        <v>12</v>
      </c>
      <c r="D1029" s="1" t="s">
        <v>5331</v>
      </c>
      <c r="E1029" s="193">
        <v>4701</v>
      </c>
      <c r="F1029" s="196">
        <v>26</v>
      </c>
      <c r="G1029" s="1">
        <v>7</v>
      </c>
      <c r="H1029" s="34">
        <f>Tabela1[[#This Row],[PESO UNI]]*Tabela1[[#This Row],[QTE]]</f>
        <v>84</v>
      </c>
      <c r="I1029" s="7">
        <v>0</v>
      </c>
      <c r="J1029" s="8" t="s">
        <v>4834</v>
      </c>
      <c r="K1029" s="8" t="s">
        <v>4320</v>
      </c>
      <c r="L1029" s="9" t="s">
        <v>3291</v>
      </c>
      <c r="M1029" s="10">
        <v>46259</v>
      </c>
      <c r="N1029" s="8" t="s">
        <v>38</v>
      </c>
      <c r="O1029" s="12"/>
      <c r="P1029" s="13"/>
      <c r="Q1029" s="14">
        <f>Tabela1[[#This Row],[QTDE/ Fabricação]]-Tabela1[[#This Row],[QTE]]</f>
        <v>-12</v>
      </c>
      <c r="R1029" s="18">
        <f t="shared" si="213"/>
        <v>0</v>
      </c>
      <c r="S1029" s="18">
        <f t="shared" si="214"/>
        <v>0</v>
      </c>
      <c r="T1029" s="19">
        <f t="shared" si="215"/>
        <v>-84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16"/>
        <v>-12</v>
      </c>
      <c r="Z1029" s="20">
        <f>Tabela1[[#This Row],[PESO TOTAL]]-Tabela1[[#This Row],[Peso Expedido]]</f>
        <v>84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Q1029" s="201"/>
      <c r="AR1029" s="37"/>
      <c r="AS1029" s="37"/>
      <c r="AT1029" s="37"/>
      <c r="AU1029" s="37"/>
      <c r="AV1029" s="37"/>
      <c r="AW1029" s="37"/>
    </row>
    <row r="1030" spans="1:49" ht="15.75" hidden="1" customHeight="1" x14ac:dyDescent="0.25">
      <c r="A1030" s="21" t="s">
        <v>5326</v>
      </c>
      <c r="B1030" s="21" t="s">
        <v>5327</v>
      </c>
      <c r="C1030" s="196">
        <v>12</v>
      </c>
      <c r="D1030" s="1" t="s">
        <v>5332</v>
      </c>
      <c r="E1030" s="193">
        <v>4702</v>
      </c>
      <c r="F1030" s="196">
        <v>26</v>
      </c>
      <c r="G1030" s="1">
        <v>7</v>
      </c>
      <c r="H1030" s="34">
        <f>Tabela1[[#This Row],[PESO UNI]]*Tabela1[[#This Row],[QTE]]</f>
        <v>84</v>
      </c>
      <c r="I1030" s="7">
        <v>0</v>
      </c>
      <c r="J1030" s="8" t="s">
        <v>4834</v>
      </c>
      <c r="K1030" s="8" t="s">
        <v>4320</v>
      </c>
      <c r="L1030" s="9" t="s">
        <v>3291</v>
      </c>
      <c r="M1030" s="10">
        <v>46259</v>
      </c>
      <c r="N1030" s="8" t="s">
        <v>38</v>
      </c>
      <c r="O1030" s="12"/>
      <c r="P1030" s="13"/>
      <c r="Q1030" s="14">
        <f>Tabela1[[#This Row],[QTDE/ Fabricação]]-Tabela1[[#This Row],[QTE]]</f>
        <v>-12</v>
      </c>
      <c r="R1030" s="18">
        <f t="shared" si="213"/>
        <v>0</v>
      </c>
      <c r="S1030" s="18">
        <f t="shared" si="214"/>
        <v>0</v>
      </c>
      <c r="T1030" s="19">
        <f t="shared" si="215"/>
        <v>-84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16"/>
        <v>-12</v>
      </c>
      <c r="Z1030" s="20">
        <f>Tabela1[[#This Row],[PESO TOTAL]]-Tabela1[[#This Row],[Peso Expedido]]</f>
        <v>84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Q1030" s="201"/>
      <c r="AR1030" s="37"/>
      <c r="AS1030" s="37"/>
      <c r="AT1030" s="37"/>
      <c r="AU1030" s="37"/>
      <c r="AV1030" s="37"/>
      <c r="AW1030" s="37"/>
    </row>
    <row r="1031" spans="1:49" ht="15.75" hidden="1" customHeight="1" x14ac:dyDescent="0.25">
      <c r="A1031" s="21" t="s">
        <v>5326</v>
      </c>
      <c r="B1031" s="21" t="s">
        <v>5327</v>
      </c>
      <c r="C1031" s="196">
        <v>12</v>
      </c>
      <c r="D1031" s="1" t="s">
        <v>5333</v>
      </c>
      <c r="E1031" s="193">
        <v>4703</v>
      </c>
      <c r="F1031" s="196">
        <v>26</v>
      </c>
      <c r="G1031" s="1">
        <v>0.6</v>
      </c>
      <c r="H1031" s="34">
        <f>Tabela1[[#This Row],[PESO UNI]]*Tabela1[[#This Row],[QTE]]</f>
        <v>7.1999999999999993</v>
      </c>
      <c r="I1031" s="7">
        <v>0</v>
      </c>
      <c r="J1031" s="8" t="s">
        <v>4834</v>
      </c>
      <c r="K1031" s="8" t="s">
        <v>4320</v>
      </c>
      <c r="L1031" s="9" t="s">
        <v>3291</v>
      </c>
      <c r="M1031" s="10">
        <v>46259</v>
      </c>
      <c r="N1031" s="8" t="s">
        <v>38</v>
      </c>
      <c r="O1031" s="12"/>
      <c r="P1031" s="13"/>
      <c r="Q1031" s="14">
        <f>Tabela1[[#This Row],[QTDE/ Fabricação]]-Tabela1[[#This Row],[QTE]]</f>
        <v>-12</v>
      </c>
      <c r="R1031" s="18">
        <f t="shared" si="213"/>
        <v>0</v>
      </c>
      <c r="S1031" s="18">
        <f t="shared" si="214"/>
        <v>0</v>
      </c>
      <c r="T1031" s="19">
        <f t="shared" si="215"/>
        <v>-7.1999999999999993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16"/>
        <v>-12</v>
      </c>
      <c r="Z1031" s="20">
        <f>Tabela1[[#This Row],[PESO TOTAL]]-Tabela1[[#This Row],[Peso Expedido]]</f>
        <v>7.1999999999999993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Q1031" s="201"/>
      <c r="AR1031" s="37"/>
      <c r="AS1031" s="37"/>
      <c r="AT1031" s="37"/>
      <c r="AU1031" s="37"/>
      <c r="AV1031" s="37"/>
      <c r="AW1031" s="37"/>
    </row>
    <row r="1032" spans="1:49" ht="15.75" hidden="1" customHeight="1" x14ac:dyDescent="0.25">
      <c r="A1032" s="21" t="s">
        <v>5326</v>
      </c>
      <c r="B1032" s="21" t="s">
        <v>5327</v>
      </c>
      <c r="C1032" s="196">
        <v>12</v>
      </c>
      <c r="D1032" s="1" t="s">
        <v>5336</v>
      </c>
      <c r="E1032" s="193">
        <v>4704</v>
      </c>
      <c r="F1032" s="196">
        <v>26</v>
      </c>
      <c r="G1032" s="1">
        <v>1.7</v>
      </c>
      <c r="H1032" s="34">
        <f>Tabela1[[#This Row],[PESO UNI]]*Tabela1[[#This Row],[QTE]]</f>
        <v>20.399999999999999</v>
      </c>
      <c r="I1032" s="7">
        <v>0</v>
      </c>
      <c r="J1032" s="8" t="s">
        <v>4834</v>
      </c>
      <c r="K1032" s="8" t="s">
        <v>4320</v>
      </c>
      <c r="L1032" s="9" t="s">
        <v>3291</v>
      </c>
      <c r="M1032" s="10">
        <v>46259</v>
      </c>
      <c r="N1032" s="8" t="s">
        <v>38</v>
      </c>
      <c r="O1032" s="12"/>
      <c r="P1032" s="13"/>
      <c r="Q1032" s="14">
        <f>Tabela1[[#This Row],[QTDE/ Fabricação]]-Tabela1[[#This Row],[QTE]]</f>
        <v>-12</v>
      </c>
      <c r="R1032" s="18">
        <f t="shared" si="213"/>
        <v>0</v>
      </c>
      <c r="S1032" s="18">
        <f t="shared" si="214"/>
        <v>0</v>
      </c>
      <c r="T1032" s="19">
        <f t="shared" si="215"/>
        <v>-20.399999999999999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16"/>
        <v>-12</v>
      </c>
      <c r="Z1032" s="20">
        <f>Tabela1[[#This Row],[PESO TOTAL]]-Tabela1[[#This Row],[Peso Expedido]]</f>
        <v>20.399999999999999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Q1032" s="201"/>
      <c r="AR1032" s="37"/>
      <c r="AS1032" s="37"/>
      <c r="AT1032" s="37"/>
      <c r="AU1032" s="37"/>
      <c r="AV1032" s="37"/>
      <c r="AW1032" s="37"/>
    </row>
    <row r="1033" spans="1:49" ht="15.75" hidden="1" customHeight="1" x14ac:dyDescent="0.25">
      <c r="A1033" s="21" t="s">
        <v>5326</v>
      </c>
      <c r="B1033" s="21" t="s">
        <v>5327</v>
      </c>
      <c r="C1033" s="196">
        <v>24</v>
      </c>
      <c r="D1033" s="1" t="s">
        <v>5335</v>
      </c>
      <c r="E1033" s="193">
        <v>4705</v>
      </c>
      <c r="F1033" s="196">
        <v>26</v>
      </c>
      <c r="G1033" s="1">
        <v>1.5</v>
      </c>
      <c r="H1033" s="34">
        <f>Tabela1[[#This Row],[PESO UNI]]*Tabela1[[#This Row],[QTE]]</f>
        <v>36</v>
      </c>
      <c r="I1033" s="7">
        <v>0</v>
      </c>
      <c r="J1033" s="8" t="s">
        <v>4834</v>
      </c>
      <c r="K1033" s="8" t="s">
        <v>4320</v>
      </c>
      <c r="L1033" s="9" t="s">
        <v>3291</v>
      </c>
      <c r="M1033" s="10">
        <v>46259</v>
      </c>
      <c r="N1033" s="8" t="s">
        <v>38</v>
      </c>
      <c r="O1033" s="12"/>
      <c r="P1033" s="13"/>
      <c r="Q1033" s="14">
        <f>Tabela1[[#This Row],[QTDE/ Fabricação]]-Tabela1[[#This Row],[QTE]]</f>
        <v>-24</v>
      </c>
      <c r="R1033" s="18">
        <f t="shared" si="213"/>
        <v>0</v>
      </c>
      <c r="S1033" s="18">
        <f t="shared" si="214"/>
        <v>0</v>
      </c>
      <c r="T1033" s="19">
        <f t="shared" si="215"/>
        <v>-36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16"/>
        <v>-24</v>
      </c>
      <c r="Z1033" s="20">
        <f>Tabela1[[#This Row],[PESO TOTAL]]-Tabela1[[#This Row],[Peso Expedido]]</f>
        <v>36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Q1033" s="201"/>
      <c r="AR1033" s="37"/>
      <c r="AS1033" s="37"/>
      <c r="AT1033" s="37"/>
      <c r="AU1033" s="37"/>
      <c r="AV1033" s="37"/>
      <c r="AW1033" s="37"/>
    </row>
    <row r="1034" spans="1:49" ht="15.75" hidden="1" customHeight="1" x14ac:dyDescent="0.25">
      <c r="A1034" s="21" t="s">
        <v>5326</v>
      </c>
      <c r="B1034" s="21" t="s">
        <v>5327</v>
      </c>
      <c r="C1034" s="196">
        <v>1</v>
      </c>
      <c r="D1034" s="1" t="s">
        <v>5334</v>
      </c>
      <c r="E1034" s="193">
        <v>4706</v>
      </c>
      <c r="F1034" s="196">
        <v>26</v>
      </c>
      <c r="G1034" s="1">
        <v>1.3</v>
      </c>
      <c r="H1034" s="34">
        <f>Tabela1[[#This Row],[PESO UNI]]*Tabela1[[#This Row],[QTE]]</f>
        <v>1.3</v>
      </c>
      <c r="I1034" s="7">
        <v>0</v>
      </c>
      <c r="J1034" s="8" t="s">
        <v>4834</v>
      </c>
      <c r="K1034" s="8" t="s">
        <v>4320</v>
      </c>
      <c r="L1034" s="9" t="s">
        <v>3291</v>
      </c>
      <c r="M1034" s="10">
        <v>46259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13"/>
        <v>0</v>
      </c>
      <c r="S1034" s="18">
        <f t="shared" si="214"/>
        <v>0</v>
      </c>
      <c r="T1034" s="19">
        <f t="shared" si="215"/>
        <v>-1.3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16"/>
        <v>-1</v>
      </c>
      <c r="Z1034" s="20">
        <f>Tabela1[[#This Row],[PESO TOTAL]]-Tabela1[[#This Row],[Peso Expedido]]</f>
        <v>1.3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Q1034" s="201"/>
      <c r="AR1034" s="37"/>
      <c r="AS1034" s="37"/>
      <c r="AT1034" s="37"/>
      <c r="AU1034" s="37"/>
      <c r="AV1034" s="37"/>
      <c r="AW1034" s="37"/>
    </row>
    <row r="1035" spans="1:49" ht="15.75" hidden="1" customHeight="1" x14ac:dyDescent="0.25">
      <c r="A1035" s="21" t="s">
        <v>5339</v>
      </c>
      <c r="B1035" s="21"/>
      <c r="C1035" s="196">
        <v>2</v>
      </c>
      <c r="D1035" s="1" t="s">
        <v>5340</v>
      </c>
      <c r="E1035" s="193">
        <v>4707</v>
      </c>
      <c r="F1035" s="196">
        <v>22</v>
      </c>
      <c r="G1035" s="1">
        <v>562</v>
      </c>
      <c r="H1035" s="34">
        <f>Tabela1[[#This Row],[PESO UNI]]*Tabela1[[#This Row],[QTE]]</f>
        <v>1124</v>
      </c>
      <c r="I1035" s="7" t="s">
        <v>5407</v>
      </c>
      <c r="J1035" s="8" t="s">
        <v>4834</v>
      </c>
      <c r="K1035" s="8" t="s">
        <v>22</v>
      </c>
      <c r="L1035" s="9" t="s">
        <v>3291</v>
      </c>
      <c r="M1035" s="10">
        <v>46259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13"/>
        <v>0</v>
      </c>
      <c r="S1035" s="18">
        <f t="shared" si="214"/>
        <v>0</v>
      </c>
      <c r="T1035" s="19">
        <f t="shared" si="215"/>
        <v>-1124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16"/>
        <v>-2</v>
      </c>
      <c r="Z1035" s="20">
        <f>Tabela1[[#This Row],[PESO TOTAL]]-Tabela1[[#This Row],[Peso Expedido]]</f>
        <v>1124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Q1035" s="201"/>
      <c r="AR1035" s="37"/>
      <c r="AS1035" s="37"/>
      <c r="AT1035" s="37"/>
      <c r="AU1035" s="37"/>
      <c r="AV1035" s="37"/>
      <c r="AW1035" s="37"/>
    </row>
    <row r="1036" spans="1:49" ht="15.75" hidden="1" customHeight="1" x14ac:dyDescent="0.25">
      <c r="A1036" s="21" t="s">
        <v>5337</v>
      </c>
      <c r="B1036" s="21" t="s">
        <v>5338</v>
      </c>
      <c r="C1036" s="196">
        <v>1</v>
      </c>
      <c r="D1036" s="1" t="s">
        <v>5341</v>
      </c>
      <c r="E1036" s="193">
        <v>4708</v>
      </c>
      <c r="F1036" s="196">
        <v>27</v>
      </c>
      <c r="G1036" s="1">
        <v>41</v>
      </c>
      <c r="H1036" s="34">
        <f>Tabela1[[#This Row],[PESO UNI]]*Tabela1[[#This Row],[QTE]]</f>
        <v>41</v>
      </c>
      <c r="I1036" s="7">
        <v>0</v>
      </c>
      <c r="J1036" s="8" t="s">
        <v>4834</v>
      </c>
      <c r="K1036" s="8" t="s">
        <v>4320</v>
      </c>
      <c r="L1036" s="9" t="s">
        <v>3291</v>
      </c>
      <c r="M1036" s="10">
        <v>46259</v>
      </c>
      <c r="N1036" s="8" t="s">
        <v>38</v>
      </c>
      <c r="O1036" s="12"/>
      <c r="P1036" s="13"/>
      <c r="Q1036" s="14">
        <f>Tabela1[[#This Row],[QTDE/ Fabricação]]-Tabela1[[#This Row],[QTE]]</f>
        <v>-1</v>
      </c>
      <c r="R1036" s="18">
        <f t="shared" si="213"/>
        <v>0</v>
      </c>
      <c r="S1036" s="18">
        <f t="shared" si="214"/>
        <v>0</v>
      </c>
      <c r="T1036" s="19">
        <f t="shared" si="215"/>
        <v>-41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16"/>
        <v>-1</v>
      </c>
      <c r="Z1036" s="20">
        <f>Tabela1[[#This Row],[PESO TOTAL]]-Tabela1[[#This Row],[Peso Expedido]]</f>
        <v>41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Q1036" s="201"/>
      <c r="AR1036" s="37"/>
      <c r="AS1036" s="37"/>
      <c r="AT1036" s="37"/>
      <c r="AU1036" s="37"/>
      <c r="AV1036" s="37"/>
      <c r="AW1036" s="37"/>
    </row>
    <row r="1037" spans="1:49" ht="15.75" hidden="1" customHeight="1" x14ac:dyDescent="0.25">
      <c r="A1037" s="21" t="s">
        <v>5337</v>
      </c>
      <c r="B1037" s="21" t="s">
        <v>5338</v>
      </c>
      <c r="C1037" s="196">
        <v>2</v>
      </c>
      <c r="D1037" s="1" t="s">
        <v>5342</v>
      </c>
      <c r="E1037" s="193">
        <v>4709</v>
      </c>
      <c r="F1037" s="196">
        <v>27</v>
      </c>
      <c r="G1037" s="1">
        <v>19.600000000000001</v>
      </c>
      <c r="H1037" s="34">
        <f>Tabela1[[#This Row],[PESO UNI]]*Tabela1[[#This Row],[QTE]]</f>
        <v>39.200000000000003</v>
      </c>
      <c r="I1037" s="7">
        <v>0</v>
      </c>
      <c r="J1037" s="8" t="s">
        <v>4834</v>
      </c>
      <c r="K1037" s="8" t="s">
        <v>4320</v>
      </c>
      <c r="L1037" s="9" t="s">
        <v>3291</v>
      </c>
      <c r="M1037" s="10">
        <v>46259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13"/>
        <v>0</v>
      </c>
      <c r="S1037" s="18">
        <f t="shared" si="214"/>
        <v>0</v>
      </c>
      <c r="T1037" s="19">
        <f t="shared" si="215"/>
        <v>-39.200000000000003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16"/>
        <v>-2</v>
      </c>
      <c r="Z1037" s="20">
        <f>Tabela1[[#This Row],[PESO TOTAL]]-Tabela1[[#This Row],[Peso Expedido]]</f>
        <v>39.200000000000003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Q1037" s="201"/>
      <c r="AR1037" s="37"/>
      <c r="AS1037" s="37"/>
      <c r="AT1037" s="37"/>
      <c r="AU1037" s="37"/>
      <c r="AV1037" s="37"/>
      <c r="AW1037" s="37"/>
    </row>
    <row r="1038" spans="1:49" ht="15.75" hidden="1" customHeight="1" x14ac:dyDescent="0.25">
      <c r="A1038" s="21" t="s">
        <v>5337</v>
      </c>
      <c r="B1038" s="21" t="s">
        <v>5338</v>
      </c>
      <c r="C1038" s="196">
        <v>1</v>
      </c>
      <c r="D1038" s="1" t="s">
        <v>5343</v>
      </c>
      <c r="E1038" s="193">
        <v>4710</v>
      </c>
      <c r="F1038" s="196">
        <v>27</v>
      </c>
      <c r="G1038" s="1">
        <v>12.7</v>
      </c>
      <c r="H1038" s="34">
        <f>Tabela1[[#This Row],[PESO UNI]]*Tabela1[[#This Row],[QTE]]</f>
        <v>12.7</v>
      </c>
      <c r="I1038" s="7">
        <v>0</v>
      </c>
      <c r="J1038" s="8" t="s">
        <v>4834</v>
      </c>
      <c r="K1038" s="8" t="s">
        <v>4320</v>
      </c>
      <c r="L1038" s="9" t="s">
        <v>3291</v>
      </c>
      <c r="M1038" s="10">
        <v>46259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13"/>
        <v>0</v>
      </c>
      <c r="S1038" s="18">
        <f t="shared" si="214"/>
        <v>0</v>
      </c>
      <c r="T1038" s="19">
        <f t="shared" si="215"/>
        <v>-12.7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16"/>
        <v>-1</v>
      </c>
      <c r="Z1038" s="20">
        <f>Tabela1[[#This Row],[PESO TOTAL]]-Tabela1[[#This Row],[Peso Expedido]]</f>
        <v>12.7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Q1038" s="201"/>
      <c r="AR1038" s="37"/>
      <c r="AS1038" s="37"/>
      <c r="AT1038" s="37"/>
      <c r="AU1038" s="37"/>
      <c r="AV1038" s="37"/>
      <c r="AW1038" s="37"/>
    </row>
    <row r="1039" spans="1:49" ht="15.75" hidden="1" customHeight="1" x14ac:dyDescent="0.25">
      <c r="A1039" s="21" t="s">
        <v>5337</v>
      </c>
      <c r="B1039" s="21" t="s">
        <v>5338</v>
      </c>
      <c r="C1039" s="196">
        <v>4</v>
      </c>
      <c r="D1039" s="1" t="s">
        <v>5344</v>
      </c>
      <c r="E1039" s="193">
        <v>4711</v>
      </c>
      <c r="F1039" s="196">
        <v>27</v>
      </c>
      <c r="G1039" s="1">
        <v>0.8</v>
      </c>
      <c r="H1039" s="34">
        <f>Tabela1[[#This Row],[PESO UNI]]*Tabela1[[#This Row],[QTE]]</f>
        <v>3.2</v>
      </c>
      <c r="I1039" s="7">
        <v>0</v>
      </c>
      <c r="J1039" s="8" t="s">
        <v>4834</v>
      </c>
      <c r="K1039" s="8" t="s">
        <v>4320</v>
      </c>
      <c r="L1039" s="9" t="s">
        <v>3291</v>
      </c>
      <c r="M1039" s="10">
        <v>46259</v>
      </c>
      <c r="N1039" s="8" t="s">
        <v>38</v>
      </c>
      <c r="O1039" s="12"/>
      <c r="P1039" s="13"/>
      <c r="Q1039" s="14">
        <f>Tabela1[[#This Row],[QTDE/ Fabricação]]-Tabela1[[#This Row],[QTE]]</f>
        <v>-4</v>
      </c>
      <c r="R1039" s="18">
        <f t="shared" si="213"/>
        <v>0</v>
      </c>
      <c r="S1039" s="18">
        <f t="shared" si="214"/>
        <v>0</v>
      </c>
      <c r="T1039" s="19">
        <f t="shared" si="215"/>
        <v>-3.2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16"/>
        <v>-4</v>
      </c>
      <c r="Z1039" s="20">
        <f>Tabela1[[#This Row],[PESO TOTAL]]-Tabela1[[#This Row],[Peso Expedido]]</f>
        <v>3.2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Q1039" s="201"/>
      <c r="AR1039" s="37"/>
      <c r="AS1039" s="37"/>
      <c r="AT1039" s="37"/>
      <c r="AU1039" s="37"/>
      <c r="AV1039" s="37"/>
      <c r="AW1039" s="37"/>
    </row>
    <row r="1040" spans="1:49" ht="15.75" hidden="1" customHeight="1" x14ac:dyDescent="0.25">
      <c r="A1040" s="21" t="s">
        <v>5337</v>
      </c>
      <c r="B1040" s="21" t="s">
        <v>5338</v>
      </c>
      <c r="C1040" s="196">
        <v>2</v>
      </c>
      <c r="D1040" s="1" t="s">
        <v>5345</v>
      </c>
      <c r="E1040" s="193">
        <v>4712</v>
      </c>
      <c r="F1040" s="196">
        <v>27</v>
      </c>
      <c r="G1040" s="1">
        <v>0.4</v>
      </c>
      <c r="H1040" s="34">
        <f>Tabela1[[#This Row],[PESO UNI]]*Tabela1[[#This Row],[QTE]]</f>
        <v>0.8</v>
      </c>
      <c r="I1040" s="7">
        <v>0</v>
      </c>
      <c r="J1040" s="8" t="s">
        <v>4834</v>
      </c>
      <c r="K1040" s="8" t="s">
        <v>4320</v>
      </c>
      <c r="L1040" s="9" t="s">
        <v>3291</v>
      </c>
      <c r="M1040" s="10">
        <v>46259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13"/>
        <v>0</v>
      </c>
      <c r="S1040" s="18">
        <f t="shared" si="214"/>
        <v>0</v>
      </c>
      <c r="T1040" s="19">
        <f t="shared" si="215"/>
        <v>-0.8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16"/>
        <v>-2</v>
      </c>
      <c r="Z1040" s="20">
        <f>Tabela1[[#This Row],[PESO TOTAL]]-Tabela1[[#This Row],[Peso Expedido]]</f>
        <v>0.8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Q1040" s="201"/>
      <c r="AR1040" s="37"/>
      <c r="AS1040" s="37"/>
      <c r="AT1040" s="37"/>
      <c r="AU1040" s="37"/>
      <c r="AV1040" s="37"/>
      <c r="AW1040" s="37"/>
    </row>
    <row r="1041" spans="1:49" ht="15.75" hidden="1" customHeight="1" x14ac:dyDescent="0.25">
      <c r="A1041" s="21" t="s">
        <v>5337</v>
      </c>
      <c r="B1041" s="21" t="s">
        <v>5338</v>
      </c>
      <c r="C1041" s="196">
        <v>4</v>
      </c>
      <c r="D1041" s="1" t="s">
        <v>5346</v>
      </c>
      <c r="E1041" s="193">
        <v>4713</v>
      </c>
      <c r="F1041" s="196">
        <v>27</v>
      </c>
      <c r="G1041" s="1">
        <v>0.4</v>
      </c>
      <c r="H1041" s="34">
        <f>Tabela1[[#This Row],[PESO UNI]]*Tabela1[[#This Row],[QTE]]</f>
        <v>1.6</v>
      </c>
      <c r="I1041" s="7">
        <v>0</v>
      </c>
      <c r="J1041" s="8" t="s">
        <v>4834</v>
      </c>
      <c r="K1041" s="8" t="s">
        <v>4320</v>
      </c>
      <c r="L1041" s="9" t="s">
        <v>3291</v>
      </c>
      <c r="M1041" s="10">
        <v>46259</v>
      </c>
      <c r="N1041" s="8" t="s">
        <v>38</v>
      </c>
      <c r="O1041" s="12"/>
      <c r="P1041" s="13"/>
      <c r="Q1041" s="14">
        <f>Tabela1[[#This Row],[QTDE/ Fabricação]]-Tabela1[[#This Row],[QTE]]</f>
        <v>-4</v>
      </c>
      <c r="R1041" s="18">
        <f t="shared" si="213"/>
        <v>0</v>
      </c>
      <c r="S1041" s="18">
        <f t="shared" si="214"/>
        <v>0</v>
      </c>
      <c r="T1041" s="19">
        <f t="shared" si="215"/>
        <v>-1.6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16"/>
        <v>-4</v>
      </c>
      <c r="Z1041" s="20">
        <f>Tabela1[[#This Row],[PESO TOTAL]]-Tabela1[[#This Row],[Peso Expedido]]</f>
        <v>1.6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Q1041" s="201"/>
      <c r="AR1041" s="37"/>
      <c r="AS1041" s="37"/>
      <c r="AT1041" s="37"/>
      <c r="AU1041" s="37"/>
      <c r="AV1041" s="37"/>
      <c r="AW1041" s="37"/>
    </row>
    <row r="1042" spans="1:49" ht="15.75" hidden="1" customHeight="1" x14ac:dyDescent="0.25">
      <c r="A1042" s="21" t="s">
        <v>5337</v>
      </c>
      <c r="B1042" s="21" t="s">
        <v>5338</v>
      </c>
      <c r="C1042" s="196">
        <v>2</v>
      </c>
      <c r="D1042" s="1" t="s">
        <v>5347</v>
      </c>
      <c r="E1042" s="193">
        <v>4714</v>
      </c>
      <c r="F1042" s="196">
        <v>27</v>
      </c>
      <c r="G1042" s="1">
        <v>0.6</v>
      </c>
      <c r="H1042" s="34">
        <f>Tabela1[[#This Row],[PESO UNI]]*Tabela1[[#This Row],[QTE]]</f>
        <v>1.2</v>
      </c>
      <c r="I1042" s="7">
        <v>0</v>
      </c>
      <c r="J1042" s="8" t="s">
        <v>4834</v>
      </c>
      <c r="K1042" s="8" t="s">
        <v>4320</v>
      </c>
      <c r="L1042" s="9" t="s">
        <v>3291</v>
      </c>
      <c r="M1042" s="10">
        <v>46259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69" si="217">IFERROR(H1042*((AA1042*0.25)+(AC1042*0.25)+(AD1042*0.225)+(AE1042*0.225)+(AF1042*0.05)),"")</f>
        <v>0</v>
      </c>
      <c r="S1042" s="18">
        <f t="shared" ref="S1042:S1069" si="218">IFERROR(H1042*AG1042,"")</f>
        <v>0</v>
      </c>
      <c r="T1042" s="19">
        <f t="shared" ref="T1042:T1069" si="219">IFERROR(S1042-H1042,"")</f>
        <v>-1.2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69" si="220">U1042-C1042</f>
        <v>-2</v>
      </c>
      <c r="Z1042" s="20">
        <f>Tabela1[[#This Row],[PESO TOTAL]]-Tabela1[[#This Row],[Peso Expedido]]</f>
        <v>1.2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Q1042" s="201"/>
      <c r="AR1042" s="37"/>
      <c r="AS1042" s="37"/>
      <c r="AT1042" s="37"/>
      <c r="AU1042" s="37"/>
      <c r="AV1042" s="37"/>
      <c r="AW1042" s="37"/>
    </row>
    <row r="1043" spans="1:49" ht="15.75" hidden="1" customHeight="1" x14ac:dyDescent="0.25">
      <c r="A1043" s="21" t="s">
        <v>5337</v>
      </c>
      <c r="B1043" s="21" t="s">
        <v>5338</v>
      </c>
      <c r="C1043" s="196">
        <v>1</v>
      </c>
      <c r="D1043" s="1" t="s">
        <v>5348</v>
      </c>
      <c r="E1043" s="193">
        <v>4715</v>
      </c>
      <c r="F1043" s="196">
        <v>27</v>
      </c>
      <c r="G1043" s="1">
        <v>1</v>
      </c>
      <c r="H1043" s="34">
        <f>Tabela1[[#This Row],[PESO UNI]]*Tabela1[[#This Row],[QTE]]</f>
        <v>1</v>
      </c>
      <c r="I1043" s="7">
        <v>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17"/>
        <v>0</v>
      </c>
      <c r="S1043" s="18">
        <f t="shared" si="218"/>
        <v>0</v>
      </c>
      <c r="T1043" s="19">
        <f t="shared" si="219"/>
        <v>-1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20"/>
        <v>-1</v>
      </c>
      <c r="Z1043" s="20">
        <f>Tabela1[[#This Row],[PESO TOTAL]]-Tabela1[[#This Row],[Peso Expedido]]</f>
        <v>1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Q1043" s="201"/>
      <c r="AR1043" s="37"/>
      <c r="AS1043" s="37"/>
      <c r="AT1043" s="37"/>
      <c r="AU1043" s="37"/>
      <c r="AV1043" s="37"/>
      <c r="AW1043" s="37"/>
    </row>
    <row r="1044" spans="1:49" ht="15.75" hidden="1" customHeight="1" x14ac:dyDescent="0.25">
      <c r="A1044" s="21" t="s">
        <v>5349</v>
      </c>
      <c r="B1044" s="21" t="s">
        <v>5350</v>
      </c>
      <c r="C1044" s="196">
        <v>1</v>
      </c>
      <c r="D1044" s="1" t="s">
        <v>5351</v>
      </c>
      <c r="E1044" s="228">
        <v>4716</v>
      </c>
      <c r="F1044" s="196">
        <v>28</v>
      </c>
      <c r="G1044" s="1">
        <v>254.3</v>
      </c>
      <c r="H1044" s="34">
        <f>Tabela1[[#This Row],[PESO UNI]]*Tabela1[[#This Row],[QTE]]</f>
        <v>254.3</v>
      </c>
      <c r="I1044" s="7">
        <v>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17"/>
        <v>0</v>
      </c>
      <c r="S1044" s="18">
        <f t="shared" si="218"/>
        <v>0</v>
      </c>
      <c r="T1044" s="19">
        <f t="shared" si="219"/>
        <v>-254.3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20"/>
        <v>-1</v>
      </c>
      <c r="Z1044" s="20">
        <f>Tabela1[[#This Row],[PESO TOTAL]]-Tabela1[[#This Row],[Peso Expedido]]</f>
        <v>254.3</v>
      </c>
      <c r="AA1044" s="17"/>
      <c r="AB1044" s="33"/>
      <c r="AC1044" s="33"/>
      <c r="AD1044" s="33"/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Q1044" s="201"/>
      <c r="AR1044" s="37"/>
      <c r="AS1044" s="37"/>
      <c r="AT1044" s="37"/>
      <c r="AU1044" s="37"/>
      <c r="AV1044" s="37"/>
      <c r="AW1044" s="37"/>
    </row>
    <row r="1045" spans="1:49" ht="15.75" hidden="1" customHeight="1" x14ac:dyDescent="0.25">
      <c r="A1045" s="21" t="s">
        <v>5349</v>
      </c>
      <c r="B1045" s="21" t="s">
        <v>5350</v>
      </c>
      <c r="C1045" s="196">
        <v>1</v>
      </c>
      <c r="D1045" s="1" t="s">
        <v>5352</v>
      </c>
      <c r="E1045" s="193">
        <v>4717</v>
      </c>
      <c r="F1045" s="196">
        <v>28</v>
      </c>
      <c r="G1045" s="1">
        <v>155.5</v>
      </c>
      <c r="H1045" s="34">
        <f>Tabela1[[#This Row],[PESO UNI]]*Tabela1[[#This Row],[QTE]]</f>
        <v>155.5</v>
      </c>
      <c r="I1045" s="7">
        <v>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17"/>
        <v>0</v>
      </c>
      <c r="S1045" s="18">
        <f t="shared" si="218"/>
        <v>0</v>
      </c>
      <c r="T1045" s="19">
        <f t="shared" si="219"/>
        <v>-155.5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20"/>
        <v>-1</v>
      </c>
      <c r="Z1045" s="20">
        <f>Tabela1[[#This Row],[PESO TOTAL]]-Tabela1[[#This Row],[Peso Expedido]]</f>
        <v>155.5</v>
      </c>
      <c r="AA1045" s="17"/>
      <c r="AB1045" s="33"/>
      <c r="AC1045" s="33"/>
      <c r="AD1045" s="33"/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1" t="s">
        <v>5353</v>
      </c>
      <c r="B1046" s="21" t="s">
        <v>5354</v>
      </c>
      <c r="C1046" s="196">
        <v>1</v>
      </c>
      <c r="D1046" s="1" t="s">
        <v>5355</v>
      </c>
      <c r="E1046" s="228">
        <v>4718</v>
      </c>
      <c r="F1046" s="196">
        <v>29</v>
      </c>
      <c r="G1046" s="1">
        <v>27.4</v>
      </c>
      <c r="H1046" s="34">
        <f>Tabela1[[#This Row],[PESO UNI]]*Tabela1[[#This Row],[QTE]]</f>
        <v>27.4</v>
      </c>
      <c r="I1046" s="7">
        <v>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17"/>
        <v>0</v>
      </c>
      <c r="S1046" s="18">
        <f t="shared" si="218"/>
        <v>0</v>
      </c>
      <c r="T1046" s="19">
        <f t="shared" si="219"/>
        <v>-27.4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20"/>
        <v>-1</v>
      </c>
      <c r="Z1046" s="20">
        <f>Tabela1[[#This Row],[PESO TOTAL]]-Tabela1[[#This Row],[Peso Expedido]]</f>
        <v>27.4</v>
      </c>
      <c r="AA1046" s="17"/>
      <c r="AB1046" s="33"/>
      <c r="AC1046" s="33"/>
      <c r="AD1046" s="33"/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1" t="s">
        <v>5353</v>
      </c>
      <c r="B1047" s="21" t="s">
        <v>5354</v>
      </c>
      <c r="C1047" s="196">
        <v>1</v>
      </c>
      <c r="D1047" s="1" t="s">
        <v>5356</v>
      </c>
      <c r="E1047" s="193">
        <v>4719</v>
      </c>
      <c r="F1047" s="196">
        <v>29</v>
      </c>
      <c r="G1047" s="1">
        <v>13.2</v>
      </c>
      <c r="H1047" s="34">
        <f>Tabela1[[#This Row],[PESO UNI]]*Tabela1[[#This Row],[QTE]]</f>
        <v>13.2</v>
      </c>
      <c r="I1047" s="7">
        <v>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17"/>
        <v>0</v>
      </c>
      <c r="S1047" s="18">
        <f t="shared" si="218"/>
        <v>0</v>
      </c>
      <c r="T1047" s="19">
        <f t="shared" si="219"/>
        <v>-13.2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20"/>
        <v>-1</v>
      </c>
      <c r="Z1047" s="20">
        <f>Tabela1[[#This Row],[PESO TOTAL]]-Tabela1[[#This Row],[Peso Expedido]]</f>
        <v>13.2</v>
      </c>
      <c r="AA1047" s="17"/>
      <c r="AB1047" s="33"/>
      <c r="AC1047" s="33"/>
      <c r="AD1047" s="33"/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1" t="s">
        <v>5353</v>
      </c>
      <c r="B1048" s="21" t="s">
        <v>5354</v>
      </c>
      <c r="C1048" s="196">
        <v>1</v>
      </c>
      <c r="D1048" s="1" t="s">
        <v>5357</v>
      </c>
      <c r="E1048" s="193">
        <v>4720</v>
      </c>
      <c r="F1048" s="196">
        <v>29</v>
      </c>
      <c r="G1048" s="1">
        <v>9.6</v>
      </c>
      <c r="H1048" s="34">
        <f>Tabela1[[#This Row],[PESO UNI]]*Tabela1[[#This Row],[QTE]]</f>
        <v>9.6</v>
      </c>
      <c r="I1048" s="7">
        <v>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17"/>
        <v>0</v>
      </c>
      <c r="S1048" s="18">
        <f t="shared" si="218"/>
        <v>0</v>
      </c>
      <c r="T1048" s="19">
        <f t="shared" si="219"/>
        <v>-9.6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20"/>
        <v>-1</v>
      </c>
      <c r="Z1048" s="20">
        <f>Tabela1[[#This Row],[PESO TOTAL]]-Tabela1[[#This Row],[Peso Expedido]]</f>
        <v>9.6</v>
      </c>
      <c r="AA1048" s="17"/>
      <c r="AB1048" s="33"/>
      <c r="AC1048" s="33"/>
      <c r="AD1048" s="33"/>
      <c r="AE1048" s="33"/>
      <c r="AF1048" s="33"/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1" t="s">
        <v>5353</v>
      </c>
      <c r="B1049" s="21" t="s">
        <v>5354</v>
      </c>
      <c r="C1049" s="196">
        <v>1</v>
      </c>
      <c r="D1049" s="1" t="s">
        <v>5358</v>
      </c>
      <c r="E1049" s="193">
        <v>4721</v>
      </c>
      <c r="F1049" s="196">
        <v>29</v>
      </c>
      <c r="G1049" s="1">
        <v>20.2</v>
      </c>
      <c r="H1049" s="34">
        <f>Tabela1[[#This Row],[PESO UNI]]*Tabela1[[#This Row],[QTE]]</f>
        <v>20.2</v>
      </c>
      <c r="I1049" s="7">
        <v>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17"/>
        <v>0</v>
      </c>
      <c r="S1049" s="18">
        <f t="shared" si="218"/>
        <v>0</v>
      </c>
      <c r="T1049" s="19">
        <f t="shared" si="219"/>
        <v>-20.2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20"/>
        <v>-1</v>
      </c>
      <c r="Z1049" s="20">
        <f>Tabela1[[#This Row],[PESO TOTAL]]-Tabela1[[#This Row],[Peso Expedido]]</f>
        <v>20.2</v>
      </c>
      <c r="AA1049" s="17"/>
      <c r="AB1049" s="33"/>
      <c r="AC1049" s="33"/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hidden="1" customHeight="1" x14ac:dyDescent="0.25">
      <c r="A1050" s="21" t="s">
        <v>5353</v>
      </c>
      <c r="B1050" s="21" t="s">
        <v>5354</v>
      </c>
      <c r="C1050" s="196">
        <v>1</v>
      </c>
      <c r="D1050" s="1" t="s">
        <v>5359</v>
      </c>
      <c r="E1050" s="193">
        <v>4722</v>
      </c>
      <c r="F1050" s="196">
        <v>29</v>
      </c>
      <c r="G1050" s="1">
        <v>11</v>
      </c>
      <c r="H1050" s="34">
        <f>Tabela1[[#This Row],[PESO UNI]]*Tabela1[[#This Row],[QTE]]</f>
        <v>11</v>
      </c>
      <c r="I1050" s="7">
        <v>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si="217"/>
        <v>0</v>
      </c>
      <c r="S1050" s="18">
        <f t="shared" si="218"/>
        <v>0</v>
      </c>
      <c r="T1050" s="19">
        <f t="shared" si="219"/>
        <v>-11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20"/>
        <v>-1</v>
      </c>
      <c r="Z1050" s="20">
        <f>Tabela1[[#This Row],[PESO TOTAL]]-Tabela1[[#This Row],[Peso Expedido]]</f>
        <v>11</v>
      </c>
      <c r="AA1050" s="17"/>
      <c r="AB1050" s="33"/>
      <c r="AC1050" s="33"/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hidden="1" customHeight="1" x14ac:dyDescent="0.25">
      <c r="A1051" s="21" t="s">
        <v>5353</v>
      </c>
      <c r="B1051" s="21" t="s">
        <v>5354</v>
      </c>
      <c r="C1051" s="196">
        <v>1</v>
      </c>
      <c r="D1051" s="1" t="s">
        <v>5360</v>
      </c>
      <c r="E1051" s="193">
        <v>4723</v>
      </c>
      <c r="F1051" s="196">
        <v>29</v>
      </c>
      <c r="G1051" s="1">
        <v>36.200000000000003</v>
      </c>
      <c r="H1051" s="34">
        <f>Tabela1[[#This Row],[PESO UNI]]*Tabela1[[#This Row],[QTE]]</f>
        <v>36.200000000000003</v>
      </c>
      <c r="I1051" s="7">
        <v>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-1</v>
      </c>
      <c r="R1051" s="18">
        <f t="shared" si="217"/>
        <v>0</v>
      </c>
      <c r="S1051" s="18">
        <f t="shared" si="218"/>
        <v>0</v>
      </c>
      <c r="T1051" s="19">
        <f t="shared" si="219"/>
        <v>-36.200000000000003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20"/>
        <v>-1</v>
      </c>
      <c r="Z1051" s="20">
        <f>Tabela1[[#This Row],[PESO TOTAL]]-Tabela1[[#This Row],[Peso Expedido]]</f>
        <v>36.200000000000003</v>
      </c>
      <c r="AA1051" s="17"/>
      <c r="AB1051" s="33"/>
      <c r="AC1051" s="33"/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  <c r="AT1051" s="37"/>
      <c r="AU1051" s="37"/>
      <c r="AV1051" s="37"/>
      <c r="AW1051" s="37"/>
    </row>
    <row r="1052" spans="1:49" ht="15.75" hidden="1" customHeight="1" x14ac:dyDescent="0.25">
      <c r="A1052" s="21" t="s">
        <v>5353</v>
      </c>
      <c r="B1052" s="21" t="s">
        <v>5354</v>
      </c>
      <c r="C1052" s="196">
        <v>32</v>
      </c>
      <c r="D1052" s="1" t="s">
        <v>5361</v>
      </c>
      <c r="E1052" s="193">
        <v>4724</v>
      </c>
      <c r="F1052" s="196">
        <v>29</v>
      </c>
      <c r="G1052" s="1">
        <v>0.4</v>
      </c>
      <c r="H1052" s="34">
        <f>Tabela1[[#This Row],[PESO UNI]]*Tabela1[[#This Row],[QTE]]</f>
        <v>12.8</v>
      </c>
      <c r="I1052" s="7">
        <v>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-32</v>
      </c>
      <c r="R1052" s="18">
        <f t="shared" si="217"/>
        <v>0</v>
      </c>
      <c r="S1052" s="18">
        <f t="shared" si="218"/>
        <v>0</v>
      </c>
      <c r="T1052" s="19">
        <f t="shared" si="219"/>
        <v>-12.8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-32</v>
      </c>
      <c r="Z1052" s="20">
        <f>Tabela1[[#This Row],[PESO TOTAL]]-Tabela1[[#This Row],[Peso Expedido]]</f>
        <v>12.8</v>
      </c>
      <c r="AA1052" s="17"/>
      <c r="AB1052" s="33"/>
      <c r="AC1052" s="33"/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s="21" customFormat="1" ht="15.75" hidden="1" customHeight="1" x14ac:dyDescent="0.25">
      <c r="A1053" s="21" t="s">
        <v>5362</v>
      </c>
      <c r="B1053" s="21" t="s">
        <v>5363</v>
      </c>
      <c r="C1053" s="21">
        <v>1</v>
      </c>
      <c r="D1053" s="1" t="s">
        <v>5364</v>
      </c>
      <c r="E1053" s="21">
        <v>4725</v>
      </c>
      <c r="F1053" s="21">
        <v>30</v>
      </c>
      <c r="G1053" s="1">
        <v>91</v>
      </c>
      <c r="H1053" s="34">
        <f>Tabela1[[#This Row],[PESO UNI]]*Tabela1[[#This Row],[QTE]]</f>
        <v>91</v>
      </c>
      <c r="I1053" s="7">
        <v>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-1</v>
      </c>
      <c r="R1053" s="18">
        <f t="shared" si="217"/>
        <v>0</v>
      </c>
      <c r="S1053" s="18">
        <f t="shared" si="218"/>
        <v>0</v>
      </c>
      <c r="T1053" s="19">
        <f t="shared" si="219"/>
        <v>-91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-1</v>
      </c>
      <c r="Z1053" s="20">
        <f>Tabela1[[#This Row],[PESO TOTAL]]-Tabela1[[#This Row],[Peso Expedido]]</f>
        <v>91</v>
      </c>
      <c r="AA1053" s="17"/>
      <c r="AB1053" s="33"/>
      <c r="AC1053" s="33"/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 s="28"/>
      <c r="AQ1053" s="201"/>
    </row>
    <row r="1054" spans="1:49" s="21" customFormat="1" ht="15.75" hidden="1" customHeight="1" x14ac:dyDescent="0.25">
      <c r="A1054" s="21" t="s">
        <v>5362</v>
      </c>
      <c r="B1054" s="21" t="s">
        <v>5363</v>
      </c>
      <c r="C1054" s="21">
        <v>2</v>
      </c>
      <c r="D1054" s="1" t="s">
        <v>5365</v>
      </c>
      <c r="E1054" s="21">
        <v>4726</v>
      </c>
      <c r="F1054" s="21">
        <v>30</v>
      </c>
      <c r="G1054" s="1">
        <v>26.9</v>
      </c>
      <c r="H1054" s="34">
        <f>Tabela1[[#This Row],[PESO UNI]]*Tabela1[[#This Row],[QTE]]</f>
        <v>53.8</v>
      </c>
      <c r="I1054" s="7">
        <v>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-2</v>
      </c>
      <c r="R1054" s="18">
        <f t="shared" si="217"/>
        <v>0</v>
      </c>
      <c r="S1054" s="18">
        <f t="shared" si="218"/>
        <v>0</v>
      </c>
      <c r="T1054" s="19">
        <f t="shared" si="219"/>
        <v>-53.8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-2</v>
      </c>
      <c r="Z1054" s="20">
        <f>Tabela1[[#This Row],[PESO TOTAL]]-Tabela1[[#This Row],[Peso Expedido]]</f>
        <v>53.8</v>
      </c>
      <c r="AA1054" s="17"/>
      <c r="AB1054" s="33"/>
      <c r="AC1054" s="33"/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 s="28"/>
      <c r="AQ1054" s="201"/>
    </row>
    <row r="1055" spans="1:49" s="21" customFormat="1" ht="15.75" hidden="1" customHeight="1" x14ac:dyDescent="0.25">
      <c r="A1055" s="21" t="s">
        <v>5362</v>
      </c>
      <c r="B1055" s="21" t="s">
        <v>5363</v>
      </c>
      <c r="C1055" s="21">
        <v>4</v>
      </c>
      <c r="D1055" s="1" t="s">
        <v>5366</v>
      </c>
      <c r="E1055" s="21">
        <v>4727</v>
      </c>
      <c r="F1055" s="21">
        <v>30</v>
      </c>
      <c r="G1055" s="1">
        <v>10.8</v>
      </c>
      <c r="H1055" s="34">
        <f>Tabela1[[#This Row],[PESO UNI]]*Tabela1[[#This Row],[QTE]]</f>
        <v>43.2</v>
      </c>
      <c r="I1055" s="7">
        <v>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-4</v>
      </c>
      <c r="R1055" s="18">
        <f t="shared" si="217"/>
        <v>0</v>
      </c>
      <c r="S1055" s="18">
        <f t="shared" si="218"/>
        <v>0</v>
      </c>
      <c r="T1055" s="19">
        <f t="shared" si="219"/>
        <v>-43.2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-4</v>
      </c>
      <c r="Z1055" s="20">
        <f>Tabela1[[#This Row],[PESO TOTAL]]-Tabela1[[#This Row],[Peso Expedido]]</f>
        <v>43.2</v>
      </c>
      <c r="AA1055" s="17"/>
      <c r="AB1055" s="33"/>
      <c r="AC1055" s="33"/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 s="28"/>
      <c r="AQ1055" s="201"/>
    </row>
    <row r="1056" spans="1:49" s="36" customFormat="1" ht="15.75" hidden="1" customHeight="1" x14ac:dyDescent="0.25">
      <c r="A1056" s="21" t="s">
        <v>5367</v>
      </c>
      <c r="B1056" s="21" t="s">
        <v>5368</v>
      </c>
      <c r="C1056" s="193">
        <v>1</v>
      </c>
      <c r="D1056" s="1" t="s">
        <v>5369</v>
      </c>
      <c r="E1056" s="228">
        <v>4728</v>
      </c>
      <c r="F1056" s="193">
        <v>31</v>
      </c>
      <c r="G1056" s="1">
        <v>224.7</v>
      </c>
      <c r="H1056" s="34">
        <f>Tabela1[[#This Row],[PESO UNI]]*Tabela1[[#This Row],[QTE]]</f>
        <v>224.7</v>
      </c>
      <c r="I1056" s="7">
        <v>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</v>
      </c>
      <c r="R1056" s="18">
        <f t="shared" si="217"/>
        <v>0</v>
      </c>
      <c r="S1056" s="18">
        <f t="shared" si="218"/>
        <v>0</v>
      </c>
      <c r="T1056" s="19">
        <f t="shared" si="219"/>
        <v>-224.7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</v>
      </c>
      <c r="Z1056" s="20">
        <f>Tabela1[[#This Row],[PESO TOTAL]]-Tabela1[[#This Row],[Peso Expedido]]</f>
        <v>224.7</v>
      </c>
      <c r="AA1056" s="17"/>
      <c r="AB1056" s="33"/>
      <c r="AC1056" s="33"/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 s="28"/>
      <c r="AQ1056" s="201"/>
      <c r="AR1056" s="21"/>
      <c r="AS1056" s="21"/>
      <c r="AT1056" s="229"/>
      <c r="AU1056" s="229"/>
      <c r="AV1056" s="229"/>
      <c r="AW1056" s="229"/>
    </row>
    <row r="1057" spans="1:49" s="36" customFormat="1" ht="15.75" hidden="1" customHeight="1" x14ac:dyDescent="0.25">
      <c r="A1057" s="21" t="s">
        <v>5367</v>
      </c>
      <c r="B1057" s="21" t="s">
        <v>5368</v>
      </c>
      <c r="C1057" s="193">
        <v>1</v>
      </c>
      <c r="D1057" s="1" t="s">
        <v>5370</v>
      </c>
      <c r="E1057" s="193">
        <v>4729</v>
      </c>
      <c r="F1057" s="193">
        <v>31</v>
      </c>
      <c r="G1057" s="1">
        <v>36.200000000000003</v>
      </c>
      <c r="H1057" s="34">
        <f>Tabela1[[#This Row],[PESO UNI]]*Tabela1[[#This Row],[QTE]]</f>
        <v>36.200000000000003</v>
      </c>
      <c r="I1057" s="7">
        <v>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</v>
      </c>
      <c r="R1057" s="18">
        <f t="shared" si="217"/>
        <v>0</v>
      </c>
      <c r="S1057" s="18">
        <f t="shared" si="218"/>
        <v>0</v>
      </c>
      <c r="T1057" s="19">
        <f t="shared" si="219"/>
        <v>-36.200000000000003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</v>
      </c>
      <c r="Z1057" s="20">
        <f>Tabela1[[#This Row],[PESO TOTAL]]-Tabela1[[#This Row],[Peso Expedido]]</f>
        <v>36.200000000000003</v>
      </c>
      <c r="AA1057" s="17"/>
      <c r="AB1057" s="33"/>
      <c r="AC1057" s="33"/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 s="28"/>
      <c r="AQ1057" s="201"/>
      <c r="AR1057" s="21"/>
      <c r="AS1057" s="21"/>
      <c r="AT1057" s="229"/>
      <c r="AU1057" s="229"/>
      <c r="AV1057" s="229"/>
      <c r="AW1057" s="229"/>
    </row>
    <row r="1058" spans="1:49" s="36" customFormat="1" ht="15.75" hidden="1" customHeight="1" x14ac:dyDescent="0.25">
      <c r="A1058" s="21" t="s">
        <v>5371</v>
      </c>
      <c r="B1058" s="21" t="s">
        <v>5372</v>
      </c>
      <c r="C1058" s="193">
        <v>1</v>
      </c>
      <c r="D1058" s="1" t="s">
        <v>5373</v>
      </c>
      <c r="E1058" s="228">
        <v>4730</v>
      </c>
      <c r="F1058" s="193">
        <v>31</v>
      </c>
      <c r="G1058" s="1">
        <v>211.6</v>
      </c>
      <c r="H1058" s="34">
        <f>Tabela1[[#This Row],[PESO UNI]]*Tabela1[[#This Row],[QTE]]</f>
        <v>211.6</v>
      </c>
      <c r="I1058" s="7">
        <v>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</v>
      </c>
      <c r="R1058" s="18">
        <f t="shared" si="217"/>
        <v>0</v>
      </c>
      <c r="S1058" s="18">
        <f t="shared" si="218"/>
        <v>0</v>
      </c>
      <c r="T1058" s="19">
        <f t="shared" si="219"/>
        <v>-211.6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</v>
      </c>
      <c r="Z1058" s="20">
        <f>Tabela1[[#This Row],[PESO TOTAL]]-Tabela1[[#This Row],[Peso Expedido]]</f>
        <v>211.6</v>
      </c>
      <c r="AA1058" s="17"/>
      <c r="AB1058" s="33"/>
      <c r="AC1058" s="33"/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 s="28"/>
      <c r="AQ1058" s="201"/>
      <c r="AR1058" s="21"/>
      <c r="AS1058" s="21"/>
      <c r="AT1058" s="229"/>
      <c r="AU1058" s="229"/>
      <c r="AV1058" s="229"/>
      <c r="AW1058" s="229"/>
    </row>
    <row r="1059" spans="1:49" s="36" customFormat="1" ht="15.75" hidden="1" customHeight="1" x14ac:dyDescent="0.25">
      <c r="A1059" s="21" t="s">
        <v>5371</v>
      </c>
      <c r="B1059" s="21" t="s">
        <v>5372</v>
      </c>
      <c r="C1059" s="193">
        <v>1</v>
      </c>
      <c r="D1059" s="1" t="s">
        <v>5374</v>
      </c>
      <c r="E1059" s="193">
        <v>4731</v>
      </c>
      <c r="F1059" s="193">
        <v>31</v>
      </c>
      <c r="G1059" s="1">
        <v>79.900000000000006</v>
      </c>
      <c r="H1059" s="34">
        <f>Tabela1[[#This Row],[PESO UNI]]*Tabela1[[#This Row],[QTE]]</f>
        <v>79.900000000000006</v>
      </c>
      <c r="I1059" s="7">
        <v>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</v>
      </c>
      <c r="R1059" s="18">
        <f t="shared" si="217"/>
        <v>0</v>
      </c>
      <c r="S1059" s="18">
        <f t="shared" si="218"/>
        <v>0</v>
      </c>
      <c r="T1059" s="19">
        <f t="shared" si="219"/>
        <v>-79.900000000000006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</v>
      </c>
      <c r="Z1059" s="20">
        <f>Tabela1[[#This Row],[PESO TOTAL]]-Tabela1[[#This Row],[Peso Expedido]]</f>
        <v>79.900000000000006</v>
      </c>
      <c r="AA1059" s="17"/>
      <c r="AB1059" s="33"/>
      <c r="AC1059" s="33"/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 s="28"/>
      <c r="AQ1059" s="201"/>
      <c r="AR1059" s="21"/>
      <c r="AS1059" s="21"/>
      <c r="AT1059" s="229"/>
      <c r="AU1059" s="229"/>
      <c r="AV1059" s="229"/>
      <c r="AW1059" s="229"/>
    </row>
    <row r="1060" spans="1:49" s="36" customFormat="1" ht="15.75" hidden="1" customHeight="1" x14ac:dyDescent="0.25">
      <c r="A1060" s="21" t="s">
        <v>5371</v>
      </c>
      <c r="B1060" s="21" t="s">
        <v>5372</v>
      </c>
      <c r="C1060" s="193">
        <v>1</v>
      </c>
      <c r="D1060" s="1" t="s">
        <v>5375</v>
      </c>
      <c r="E1060" s="193">
        <v>4732</v>
      </c>
      <c r="F1060" s="193">
        <v>31</v>
      </c>
      <c r="G1060" s="1">
        <v>240.9</v>
      </c>
      <c r="H1060" s="34">
        <f>Tabela1[[#This Row],[PESO UNI]]*Tabela1[[#This Row],[QTE]]</f>
        <v>240.9</v>
      </c>
      <c r="I1060" s="7">
        <v>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</v>
      </c>
      <c r="S1060" s="18">
        <f t="shared" si="218"/>
        <v>0</v>
      </c>
      <c r="T1060" s="19">
        <f t="shared" si="219"/>
        <v>-240.9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240.9</v>
      </c>
      <c r="AA1060" s="17"/>
      <c r="AB1060" s="33"/>
      <c r="AC1060" s="33"/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 s="28"/>
      <c r="AQ1060" s="201"/>
      <c r="AR1060" s="21"/>
      <c r="AS1060" s="21"/>
      <c r="AT1060" s="229"/>
      <c r="AU1060" s="229"/>
      <c r="AV1060" s="229"/>
      <c r="AW1060" s="229"/>
    </row>
    <row r="1061" spans="1:49" s="36" customFormat="1" ht="15.75" hidden="1" customHeight="1" x14ac:dyDescent="0.25">
      <c r="A1061" s="21" t="s">
        <v>5371</v>
      </c>
      <c r="B1061" s="21" t="s">
        <v>5372</v>
      </c>
      <c r="C1061" s="193">
        <v>1</v>
      </c>
      <c r="D1061" s="1" t="s">
        <v>5376</v>
      </c>
      <c r="E1061" s="193">
        <v>4733</v>
      </c>
      <c r="F1061" s="193">
        <v>31</v>
      </c>
      <c r="G1061" s="1">
        <v>90.5</v>
      </c>
      <c r="H1061" s="34">
        <f>Tabela1[[#This Row],[PESO UNI]]*Tabela1[[#This Row],[QTE]]</f>
        <v>90.5</v>
      </c>
      <c r="I1061" s="7">
        <v>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0</v>
      </c>
      <c r="S1061" s="18">
        <f t="shared" si="218"/>
        <v>0</v>
      </c>
      <c r="T1061" s="19">
        <f t="shared" si="219"/>
        <v>-90.5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90.5</v>
      </c>
      <c r="AA1061" s="17"/>
      <c r="AB1061" s="33"/>
      <c r="AC1061" s="33"/>
      <c r="AD1061" s="33"/>
      <c r="AE1061" s="33"/>
      <c r="AF1061" s="33"/>
      <c r="AG1061" s="33"/>
      <c r="AH1061" s="33"/>
      <c r="AI1061" s="33"/>
      <c r="AJ1061"/>
      <c r="AK1061"/>
      <c r="AL1061"/>
      <c r="AM1061"/>
      <c r="AN1061"/>
      <c r="AO1061"/>
      <c r="AP1061" s="28"/>
      <c r="AQ1061" s="201"/>
      <c r="AR1061" s="21"/>
      <c r="AS1061" s="21"/>
      <c r="AT1061" s="229"/>
      <c r="AU1061" s="229"/>
      <c r="AV1061" s="229"/>
      <c r="AW1061" s="229"/>
    </row>
    <row r="1062" spans="1:49" s="36" customFormat="1" ht="15.75" hidden="1" customHeight="1" x14ac:dyDescent="0.25">
      <c r="A1062" s="21" t="s">
        <v>5377</v>
      </c>
      <c r="B1062" s="21" t="s">
        <v>5378</v>
      </c>
      <c r="C1062" s="193">
        <v>4</v>
      </c>
      <c r="D1062" s="1" t="s">
        <v>5379</v>
      </c>
      <c r="E1062" s="228">
        <v>4734</v>
      </c>
      <c r="F1062" s="193">
        <v>31</v>
      </c>
      <c r="G1062" s="1">
        <v>102.4</v>
      </c>
      <c r="H1062" s="34">
        <f>Tabela1[[#This Row],[PESO UNI]]*Tabela1[[#This Row],[QTE]]</f>
        <v>409.6</v>
      </c>
      <c r="I1062" s="7">
        <v>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-4</v>
      </c>
      <c r="R1062" s="18">
        <f t="shared" si="217"/>
        <v>0</v>
      </c>
      <c r="S1062" s="18">
        <f t="shared" si="218"/>
        <v>0</v>
      </c>
      <c r="T1062" s="19">
        <f t="shared" si="219"/>
        <v>-409.6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-4</v>
      </c>
      <c r="Z1062" s="20">
        <f>Tabela1[[#This Row],[PESO TOTAL]]-Tabela1[[#This Row],[Peso Expedido]]</f>
        <v>409.6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 s="28"/>
      <c r="AQ1062" s="201"/>
      <c r="AR1062" s="229"/>
      <c r="AS1062" s="229"/>
      <c r="AT1062" s="229"/>
      <c r="AU1062" s="229"/>
      <c r="AV1062" s="229"/>
      <c r="AW1062" s="229"/>
    </row>
    <row r="1063" spans="1:49" s="36" customFormat="1" ht="15.75" hidden="1" customHeight="1" x14ac:dyDescent="0.25">
      <c r="A1063" s="21" t="s">
        <v>5377</v>
      </c>
      <c r="B1063" s="21" t="s">
        <v>5378</v>
      </c>
      <c r="C1063" s="193">
        <v>2</v>
      </c>
      <c r="D1063" s="1" t="s">
        <v>5380</v>
      </c>
      <c r="E1063" s="193">
        <v>4735</v>
      </c>
      <c r="F1063" s="193">
        <v>31</v>
      </c>
      <c r="G1063" s="1">
        <v>92.4</v>
      </c>
      <c r="H1063" s="34">
        <f>Tabela1[[#This Row],[PESO UNI]]*Tabela1[[#This Row],[QTE]]</f>
        <v>184.8</v>
      </c>
      <c r="I1063" s="7">
        <v>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-184.8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184.8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 s="28"/>
      <c r="AQ1063" s="201"/>
      <c r="AR1063" s="229"/>
      <c r="AS1063" s="229"/>
      <c r="AT1063" s="229"/>
      <c r="AU1063" s="229"/>
      <c r="AV1063" s="229"/>
      <c r="AW1063" s="229"/>
    </row>
    <row r="1064" spans="1:49" s="36" customFormat="1" ht="15.75" hidden="1" customHeight="1" x14ac:dyDescent="0.25">
      <c r="A1064" s="21" t="s">
        <v>5377</v>
      </c>
      <c r="B1064" s="21" t="s">
        <v>5378</v>
      </c>
      <c r="C1064" s="193">
        <v>2</v>
      </c>
      <c r="D1064" s="1" t="s">
        <v>5381</v>
      </c>
      <c r="E1064" s="193">
        <v>4736</v>
      </c>
      <c r="F1064" s="193">
        <v>31</v>
      </c>
      <c r="G1064" s="1">
        <v>49.4</v>
      </c>
      <c r="H1064" s="34">
        <f>Tabela1[[#This Row],[PESO UNI]]*Tabela1[[#This Row],[QTE]]</f>
        <v>98.8</v>
      </c>
      <c r="I1064" s="7">
        <v>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-98.8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98.8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 s="28"/>
      <c r="AQ1064" s="201"/>
      <c r="AR1064" s="229"/>
      <c r="AS1064" s="229"/>
      <c r="AT1064" s="229"/>
      <c r="AU1064" s="229"/>
      <c r="AV1064" s="229"/>
      <c r="AW1064" s="229"/>
    </row>
    <row r="1065" spans="1:49" s="36" customFormat="1" ht="15.75" hidden="1" customHeight="1" x14ac:dyDescent="0.25">
      <c r="A1065" s="21" t="s">
        <v>5377</v>
      </c>
      <c r="B1065" s="21" t="s">
        <v>5378</v>
      </c>
      <c r="C1065" s="193">
        <v>1</v>
      </c>
      <c r="D1065" s="1" t="s">
        <v>5382</v>
      </c>
      <c r="E1065" s="193">
        <v>4737</v>
      </c>
      <c r="F1065" s="193">
        <v>31</v>
      </c>
      <c r="G1065" s="1">
        <v>57.6</v>
      </c>
      <c r="H1065" s="34">
        <f>Tabela1[[#This Row],[PESO UNI]]*Tabela1[[#This Row],[QTE]]</f>
        <v>57.6</v>
      </c>
      <c r="I1065" s="7">
        <v>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-57.6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57.6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 s="28"/>
      <c r="AQ1065" s="201"/>
      <c r="AR1065" s="229"/>
      <c r="AS1065" s="229"/>
      <c r="AT1065" s="229"/>
      <c r="AU1065" s="229"/>
      <c r="AV1065" s="229"/>
      <c r="AW1065" s="229"/>
    </row>
    <row r="1066" spans="1:49" s="36" customFormat="1" ht="15.75" hidden="1" customHeight="1" x14ac:dyDescent="0.25">
      <c r="A1066" s="21" t="s">
        <v>5377</v>
      </c>
      <c r="B1066" s="21" t="s">
        <v>5378</v>
      </c>
      <c r="C1066" s="193">
        <v>1</v>
      </c>
      <c r="D1066" s="1" t="s">
        <v>5383</v>
      </c>
      <c r="E1066" s="193">
        <v>4738</v>
      </c>
      <c r="F1066" s="193">
        <v>31</v>
      </c>
      <c r="G1066" s="1">
        <v>57.6</v>
      </c>
      <c r="H1066" s="34">
        <f>Tabela1[[#This Row],[PESO UNI]]*Tabela1[[#This Row],[QTE]]</f>
        <v>57.6</v>
      </c>
      <c r="I1066" s="7">
        <v>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-1</v>
      </c>
      <c r="R1066" s="18">
        <f t="shared" si="217"/>
        <v>0</v>
      </c>
      <c r="S1066" s="18">
        <f t="shared" si="218"/>
        <v>0</v>
      </c>
      <c r="T1066" s="19">
        <f t="shared" si="219"/>
        <v>-57.6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-1</v>
      </c>
      <c r="Z1066" s="20">
        <f>Tabela1[[#This Row],[PESO TOTAL]]-Tabela1[[#This Row],[Peso Expedido]]</f>
        <v>57.6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 s="28"/>
      <c r="AQ1066" s="201"/>
      <c r="AR1066" s="229"/>
      <c r="AS1066" s="229"/>
      <c r="AT1066" s="229"/>
      <c r="AU1066" s="229"/>
      <c r="AV1066" s="229"/>
      <c r="AW1066" s="229"/>
    </row>
    <row r="1067" spans="1:49" s="36" customFormat="1" ht="15.75" hidden="1" customHeight="1" x14ac:dyDescent="0.25">
      <c r="A1067" s="21" t="s">
        <v>5377</v>
      </c>
      <c r="B1067" s="21" t="s">
        <v>5378</v>
      </c>
      <c r="C1067" s="193">
        <v>1</v>
      </c>
      <c r="D1067" s="1" t="s">
        <v>5384</v>
      </c>
      <c r="E1067" s="193">
        <v>4739</v>
      </c>
      <c r="F1067" s="193">
        <v>31</v>
      </c>
      <c r="G1067" s="1">
        <v>79.5</v>
      </c>
      <c r="H1067" s="34">
        <f>Tabela1[[#This Row],[PESO UNI]]*Tabela1[[#This Row],[QTE]]</f>
        <v>79.5</v>
      </c>
      <c r="I1067" s="7">
        <v>0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-1</v>
      </c>
      <c r="R1067" s="18">
        <f t="shared" si="217"/>
        <v>0</v>
      </c>
      <c r="S1067" s="18">
        <f t="shared" si="218"/>
        <v>0</v>
      </c>
      <c r="T1067" s="19">
        <f t="shared" si="219"/>
        <v>-79.5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-1</v>
      </c>
      <c r="Z1067" s="20">
        <f>Tabela1[[#This Row],[PESO TOTAL]]-Tabela1[[#This Row],[Peso Expedido]]</f>
        <v>79.5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 s="28"/>
      <c r="AQ1067" s="201"/>
      <c r="AR1067" s="229"/>
      <c r="AS1067" s="229"/>
      <c r="AT1067" s="229"/>
      <c r="AU1067" s="229"/>
      <c r="AV1067" s="229"/>
      <c r="AW1067" s="229"/>
    </row>
    <row r="1068" spans="1:49" s="36" customFormat="1" ht="15.75" hidden="1" customHeight="1" x14ac:dyDescent="0.25">
      <c r="A1068" s="21" t="s">
        <v>5377</v>
      </c>
      <c r="B1068" s="21" t="s">
        <v>5378</v>
      </c>
      <c r="C1068" s="193">
        <v>2</v>
      </c>
      <c r="D1068" s="1" t="s">
        <v>5385</v>
      </c>
      <c r="E1068" s="193">
        <v>4740</v>
      </c>
      <c r="F1068" s="193">
        <v>31</v>
      </c>
      <c r="G1068" s="1">
        <v>68.400000000000006</v>
      </c>
      <c r="H1068" s="34">
        <f>Tabela1[[#This Row],[PESO UNI]]*Tabela1[[#This Row],[QTE]]</f>
        <v>136.80000000000001</v>
      </c>
      <c r="I1068" s="7">
        <v>0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si="217"/>
        <v>0</v>
      </c>
      <c r="S1068" s="18">
        <f t="shared" si="218"/>
        <v>0</v>
      </c>
      <c r="T1068" s="19">
        <f t="shared" si="219"/>
        <v>-136.80000000000001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-2</v>
      </c>
      <c r="Z1068" s="20">
        <f>Tabela1[[#This Row],[PESO TOTAL]]-Tabela1[[#This Row],[Peso Expedido]]</f>
        <v>136.80000000000001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 s="28"/>
      <c r="AQ1068" s="201"/>
      <c r="AR1068" s="229"/>
      <c r="AS1068" s="229"/>
      <c r="AT1068" s="229"/>
      <c r="AU1068" s="229"/>
      <c r="AV1068" s="229"/>
      <c r="AW1068" s="229"/>
    </row>
    <row r="1069" spans="1:49" s="36" customFormat="1" ht="15.75" hidden="1" customHeight="1" x14ac:dyDescent="0.25">
      <c r="A1069" s="21" t="s">
        <v>5377</v>
      </c>
      <c r="B1069" s="21" t="s">
        <v>5378</v>
      </c>
      <c r="C1069" s="193">
        <v>2</v>
      </c>
      <c r="D1069" s="1" t="s">
        <v>5386</v>
      </c>
      <c r="E1069" s="193">
        <v>4741</v>
      </c>
      <c r="F1069" s="193">
        <v>31</v>
      </c>
      <c r="G1069" s="1">
        <v>52.7</v>
      </c>
      <c r="H1069" s="34">
        <f>Tabela1[[#This Row],[PESO UNI]]*Tabela1[[#This Row],[QTE]]</f>
        <v>105.4</v>
      </c>
      <c r="I1069" s="7">
        <v>0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si="217"/>
        <v>0</v>
      </c>
      <c r="S1069" s="18">
        <f t="shared" si="218"/>
        <v>0</v>
      </c>
      <c r="T1069" s="19">
        <f t="shared" si="219"/>
        <v>-105.4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0"/>
        <v>-2</v>
      </c>
      <c r="Z1069" s="20">
        <f>Tabela1[[#This Row],[PESO TOTAL]]-Tabela1[[#This Row],[Peso Expedido]]</f>
        <v>105.4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 s="28"/>
      <c r="AQ1069" s="201"/>
      <c r="AR1069" s="229"/>
      <c r="AS1069" s="229"/>
      <c r="AT1069" s="229"/>
      <c r="AU1069" s="229"/>
      <c r="AV1069" s="229"/>
      <c r="AW1069" s="229"/>
    </row>
    <row r="1070" spans="1:49" ht="15.75" hidden="1" customHeight="1" x14ac:dyDescent="0.25">
      <c r="A1070" s="21" t="s">
        <v>137</v>
      </c>
      <c r="C1070" s="25">
        <v>30</v>
      </c>
      <c r="D1070" s="1" t="s">
        <v>5388</v>
      </c>
      <c r="E1070" s="25">
        <v>4742</v>
      </c>
      <c r="F1070" s="25">
        <v>1</v>
      </c>
      <c r="G1070" s="1">
        <v>4.0999999999999996</v>
      </c>
      <c r="H1070" s="34">
        <f>Tabela1[[#This Row],[PESO UNI]]*Tabela1[[#This Row],[QTE]]</f>
        <v>122.99999999999999</v>
      </c>
      <c r="I1070" s="7">
        <v>0</v>
      </c>
      <c r="J1070" s="8" t="s">
        <v>5389</v>
      </c>
      <c r="K1070" s="8" t="s">
        <v>23</v>
      </c>
      <c r="L1070" s="9" t="s">
        <v>5390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-30</v>
      </c>
      <c r="R1070" s="18">
        <f>IFERROR(H1070*((AA1070*0.25)+(AC1070*0.25)+(AD1070*0.225)+(AE1070*0.225)+(AF1070*0.05)),"")</f>
        <v>0</v>
      </c>
      <c r="S1070" s="18">
        <f>IFERROR(H1070*AG1070,"")</f>
        <v>0</v>
      </c>
      <c r="T1070" s="19">
        <f>IFERROR(S1070-H1070,"")</f>
        <v>-122.99999999999999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>U1070-C1070</f>
        <v>-30</v>
      </c>
      <c r="Z1070" s="20">
        <f>Tabela1[[#This Row],[PESO TOTAL]]-Tabela1[[#This Row],[Peso Expedido]]</f>
        <v>122.99999999999999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229"/>
      <c r="AS1070" s="229"/>
    </row>
    <row r="1071" spans="1:49" ht="15.75" hidden="1" customHeight="1" x14ac:dyDescent="0.25">
      <c r="A1071" s="1" t="s">
        <v>5408</v>
      </c>
      <c r="B1071" s="21" t="s">
        <v>5409</v>
      </c>
      <c r="C1071" s="1">
        <v>1</v>
      </c>
      <c r="D1071" s="1" t="s">
        <v>5410</v>
      </c>
      <c r="E1071" s="7">
        <v>4743</v>
      </c>
      <c r="F1071" s="7">
        <v>64</v>
      </c>
      <c r="G1071" s="1">
        <v>34.700000000000003</v>
      </c>
      <c r="H1071" s="34">
        <f>Tabela1[[#This Row],[PESO UNI]]*Tabela1[[#This Row],[QTE]]</f>
        <v>34.700000000000003</v>
      </c>
      <c r="I1071" s="7">
        <v>0</v>
      </c>
      <c r="J1071" s="8" t="s">
        <v>3093</v>
      </c>
      <c r="K1071" s="8" t="s">
        <v>4320</v>
      </c>
      <c r="L1071" s="9" t="s">
        <v>2984</v>
      </c>
      <c r="M1071" s="10">
        <v>46260</v>
      </c>
      <c r="N1071" s="8" t="s">
        <v>5109</v>
      </c>
      <c r="O1071" s="12"/>
      <c r="P1071" s="13"/>
      <c r="Q1071" s="14">
        <f>Tabela1[[#This Row],[QTDE/ Fabricação]]-Tabela1[[#This Row],[QTE]]</f>
        <v>-1</v>
      </c>
      <c r="R1071" s="18">
        <f t="shared" ref="R1071" si="221">IFERROR(H1071*((AA1071*0.25)+(AC1071*0.25)+(AD1071*0.225)+(AE1071*0.225)+(AF1071*0.05)),"")</f>
        <v>8.6750000000000007</v>
      </c>
      <c r="S1071" s="18">
        <f t="shared" ref="S1071" si="222">IFERROR(H1071*AG1071,"")</f>
        <v>0</v>
      </c>
      <c r="T1071" s="19">
        <f t="shared" ref="T1071" si="223">IFERROR(S1071-H1071,"")</f>
        <v>-34.700000000000003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ref="Y1071" si="224">U1071-C1071</f>
        <v>-1</v>
      </c>
      <c r="Z1071" s="20">
        <f>Tabela1[[#This Row],[PESO TOTAL]]-Tabela1[[#This Row],[Peso Expedido]]</f>
        <v>34.700000000000003</v>
      </c>
      <c r="AA1071" s="17">
        <v>1</v>
      </c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5408</v>
      </c>
      <c r="B1072" s="21" t="s">
        <v>5409</v>
      </c>
      <c r="C1072" s="1">
        <v>1</v>
      </c>
      <c r="D1072" s="1" t="s">
        <v>5411</v>
      </c>
      <c r="E1072" s="7">
        <v>4744</v>
      </c>
      <c r="F1072" s="7">
        <v>64</v>
      </c>
      <c r="G1072" s="1">
        <v>73.099999999999994</v>
      </c>
      <c r="H1072" s="34">
        <f>Tabela1[[#This Row],[PESO UNI]]*Tabela1[[#This Row],[QTE]]</f>
        <v>73.099999999999994</v>
      </c>
      <c r="I1072" s="7">
        <v>0</v>
      </c>
      <c r="J1072" s="8" t="s">
        <v>3093</v>
      </c>
      <c r="K1072" s="8" t="s">
        <v>4320</v>
      </c>
      <c r="L1072" s="9" t="s">
        <v>2984</v>
      </c>
      <c r="M1072" s="10">
        <v>46260</v>
      </c>
      <c r="N1072" s="8" t="s">
        <v>5109</v>
      </c>
      <c r="O1072" s="12"/>
      <c r="P1072" s="13"/>
      <c r="Q1072" s="14">
        <f>Tabela1[[#This Row],[QTDE/ Fabricação]]-Tabela1[[#This Row],[QTE]]</f>
        <v>-1</v>
      </c>
      <c r="R1072" s="18">
        <f t="shared" ref="R1072" si="225">IFERROR(H1072*((AA1072*0.25)+(AC1072*0.25)+(AD1072*0.225)+(AE1072*0.225)+(AF1072*0.05)),"")</f>
        <v>18.274999999999999</v>
      </c>
      <c r="S1072" s="18">
        <f t="shared" ref="S1072" si="226">IFERROR(H1072*AG1072,"")</f>
        <v>0</v>
      </c>
      <c r="T1072" s="19">
        <f t="shared" ref="T1072" si="227">IFERROR(S1072-H1072,"")</f>
        <v>-73.099999999999994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ref="Y1072" si="228">U1072-C1072</f>
        <v>-1</v>
      </c>
      <c r="Z1072" s="20">
        <f>Tabela1[[#This Row],[PESO TOTAL]]-Tabela1[[#This Row],[Peso Expedido]]</f>
        <v>73.099999999999994</v>
      </c>
      <c r="AA1072" s="17">
        <v>1</v>
      </c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5408</v>
      </c>
      <c r="B1073" s="21" t="s">
        <v>5409</v>
      </c>
      <c r="C1073" s="1">
        <v>1</v>
      </c>
      <c r="D1073" s="1" t="s">
        <v>5412</v>
      </c>
      <c r="E1073" s="7">
        <v>4745</v>
      </c>
      <c r="F1073" s="7">
        <v>64</v>
      </c>
      <c r="G1073" s="1">
        <v>60.8</v>
      </c>
      <c r="H1073" s="34">
        <f>Tabela1[[#This Row],[PESO UNI]]*Tabela1[[#This Row],[QTE]]</f>
        <v>60.8</v>
      </c>
      <c r="I1073" s="7">
        <v>0</v>
      </c>
      <c r="J1073" s="8" t="s">
        <v>3093</v>
      </c>
      <c r="K1073" s="8" t="s">
        <v>4320</v>
      </c>
      <c r="L1073" s="9" t="s">
        <v>2984</v>
      </c>
      <c r="M1073" s="10">
        <v>46260</v>
      </c>
      <c r="N1073" s="8" t="s">
        <v>5109</v>
      </c>
      <c r="O1073" s="12"/>
      <c r="P1073" s="13"/>
      <c r="Q1073" s="14">
        <f>Tabela1[[#This Row],[QTDE/ Fabricação]]-Tabela1[[#This Row],[QTE]]</f>
        <v>-1</v>
      </c>
      <c r="R1073" s="18">
        <f t="shared" ref="R1073" si="229">IFERROR(H1073*((AA1073*0.25)+(AC1073*0.25)+(AD1073*0.225)+(AE1073*0.225)+(AF1073*0.05)),"")</f>
        <v>15.2</v>
      </c>
      <c r="S1073" s="18">
        <f t="shared" ref="S1073" si="230">IFERROR(H1073*AG1073,"")</f>
        <v>0</v>
      </c>
      <c r="T1073" s="19">
        <f t="shared" ref="T1073" si="231">IFERROR(S1073-H1073,"")</f>
        <v>-60.8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ref="Y1073" si="232">U1073-C1073</f>
        <v>-1</v>
      </c>
      <c r="Z1073" s="20">
        <f>Tabela1[[#This Row],[PESO TOTAL]]-Tabela1[[#This Row],[Peso Expedido]]</f>
        <v>60.8</v>
      </c>
      <c r="AA1073" s="17">
        <v>1</v>
      </c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5408</v>
      </c>
      <c r="B1074" s="21" t="s">
        <v>5409</v>
      </c>
      <c r="C1074" s="1">
        <v>1</v>
      </c>
      <c r="D1074" s="1" t="s">
        <v>5413</v>
      </c>
      <c r="E1074" s="7">
        <v>4746</v>
      </c>
      <c r="F1074" s="7">
        <v>64</v>
      </c>
      <c r="G1074" s="1">
        <v>72.400000000000006</v>
      </c>
      <c r="H1074" s="34">
        <f>Tabela1[[#This Row],[PESO UNI]]*Tabela1[[#This Row],[QTE]]</f>
        <v>72.400000000000006</v>
      </c>
      <c r="I1074" s="7">
        <v>0</v>
      </c>
      <c r="J1074" s="8" t="s">
        <v>3093</v>
      </c>
      <c r="K1074" s="8" t="s">
        <v>4320</v>
      </c>
      <c r="L1074" s="9" t="s">
        <v>2984</v>
      </c>
      <c r="M1074" s="10">
        <v>46260</v>
      </c>
      <c r="N1074" s="8" t="s">
        <v>5109</v>
      </c>
      <c r="O1074" s="12"/>
      <c r="P1074" s="13"/>
      <c r="Q1074" s="14">
        <f>Tabela1[[#This Row],[QTDE/ Fabricação]]-Tabela1[[#This Row],[QTE]]</f>
        <v>-1</v>
      </c>
      <c r="R1074" s="18">
        <f t="shared" ref="R1074" si="233">IFERROR(H1074*((AA1074*0.25)+(AC1074*0.25)+(AD1074*0.225)+(AE1074*0.225)+(AF1074*0.05)),"")</f>
        <v>18.100000000000001</v>
      </c>
      <c r="S1074" s="18">
        <f t="shared" ref="S1074" si="234">IFERROR(H1074*AG1074,"")</f>
        <v>0</v>
      </c>
      <c r="T1074" s="19">
        <f t="shared" ref="T1074" si="235">IFERROR(S1074-H1074,"")</f>
        <v>-72.400000000000006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ref="Y1074" si="236">U1074-C1074</f>
        <v>-1</v>
      </c>
      <c r="Z1074" s="20">
        <f>Tabela1[[#This Row],[PESO TOTAL]]-Tabela1[[#This Row],[Peso Expedido]]</f>
        <v>72.400000000000006</v>
      </c>
      <c r="AA1074" s="17">
        <v>1</v>
      </c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5408</v>
      </c>
      <c r="B1075" s="21" t="s">
        <v>5409</v>
      </c>
      <c r="C1075" s="1">
        <v>1</v>
      </c>
      <c r="D1075" s="1" t="s">
        <v>5414</v>
      </c>
      <c r="E1075" s="7">
        <v>4747</v>
      </c>
      <c r="F1075" s="7">
        <v>64</v>
      </c>
      <c r="G1075" s="1">
        <v>58.7</v>
      </c>
      <c r="H1075" s="34">
        <f>Tabela1[[#This Row],[PESO UNI]]*Tabela1[[#This Row],[QTE]]</f>
        <v>58.7</v>
      </c>
      <c r="I1075" s="7">
        <v>0</v>
      </c>
      <c r="J1075" s="8" t="s">
        <v>3093</v>
      </c>
      <c r="K1075" s="8" t="s">
        <v>4320</v>
      </c>
      <c r="L1075" s="9" t="s">
        <v>2984</v>
      </c>
      <c r="M1075" s="10">
        <v>46260</v>
      </c>
      <c r="N1075" s="8" t="s">
        <v>5109</v>
      </c>
      <c r="O1075" s="12"/>
      <c r="P1075" s="13"/>
      <c r="Q1075" s="14">
        <f>Tabela1[[#This Row],[QTDE/ Fabricação]]-Tabela1[[#This Row],[QTE]]</f>
        <v>-1</v>
      </c>
      <c r="R1075" s="18">
        <f t="shared" ref="R1075" si="237">IFERROR(H1075*((AA1075*0.25)+(AC1075*0.25)+(AD1075*0.225)+(AE1075*0.225)+(AF1075*0.05)),"")</f>
        <v>14.675000000000001</v>
      </c>
      <c r="S1075" s="18">
        <f t="shared" ref="S1075" si="238">IFERROR(H1075*AG1075,"")</f>
        <v>0</v>
      </c>
      <c r="T1075" s="19">
        <f t="shared" ref="T1075" si="239">IFERROR(S1075-H1075,"")</f>
        <v>-58.7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ref="Y1075" si="240">U1075-C1075</f>
        <v>-1</v>
      </c>
      <c r="Z1075" s="20">
        <f>Tabela1[[#This Row],[PESO TOTAL]]-Tabela1[[#This Row],[Peso Expedido]]</f>
        <v>58.7</v>
      </c>
      <c r="AA1075" s="17">
        <v>1</v>
      </c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</sheetData>
  <phoneticPr fontId="6" type="noConversion"/>
  <conditionalFormatting sqref="A1026:B1052">
    <cfRule type="expression" dxfId="112" priority="797">
      <formula>#REF!="OK"</formula>
    </cfRule>
  </conditionalFormatting>
  <conditionalFormatting sqref="A1053:C1055">
    <cfRule type="expression" dxfId="111" priority="754">
      <formula>#REF!="OK"</formula>
    </cfRule>
  </conditionalFormatting>
  <conditionalFormatting sqref="A1058:C1070">
    <cfRule type="expression" dxfId="110" priority="682">
      <formula>#REF!="OK"</formula>
    </cfRule>
  </conditionalFormatting>
  <conditionalFormatting sqref="E2:E458 AA29:AH120 AI29:AI459 AE121:AH122 AA123:AH140 AD141:AH142 AA143:AH147 AD148:AH149 AA150:AH449 AA452:AD453 AA454:AB458 AD454:AD458 AA486:AH604 E556:E604 L605 J605:J1075 E606:E1013 AA762:AJ762 AC762:AE763 AA763:AI797 AA798:AH804 AA805:AI816 AA817:AH817 AB818:AI819 AA820:AI821 AB822:AI833 AA834:AI836 AB837:AI838 AA839:AI839 AB840:AI841 AA842:AI857 AB858:AI858 AA859:AI873 AB874:AI884 AA885:AI891 AB892:AI996 AA997:AI1070 E1071:E1075 AB1071:AI1075">
    <cfRule type="expression" dxfId="109" priority="1312">
      <formula>$AI2="OK"</formula>
    </cfRule>
  </conditionalFormatting>
  <conditionalFormatting sqref="E1053:F1070 AR1053:XFD1070 B1062:C1070">
    <cfRule type="expression" dxfId="108" priority="526">
      <formula>#REF!="OK"</formula>
    </cfRule>
  </conditionalFormatting>
  <conditionalFormatting sqref="F564:F1052 B606:B1025 A1070">
    <cfRule type="expression" dxfId="107" priority="451">
      <formula>#REF!="OK"</formula>
    </cfRule>
  </conditionalFormatting>
  <conditionalFormatting sqref="H419">
    <cfRule type="expression" dxfId="106" priority="28105">
      <formula>$AI449="OK"</formula>
    </cfRule>
  </conditionalFormatting>
  <conditionalFormatting sqref="H420:H438">
    <cfRule type="expression" dxfId="105" priority="28095">
      <formula>$AI459="OK"</formula>
    </cfRule>
  </conditionalFormatting>
  <conditionalFormatting sqref="H576">
    <cfRule type="expression" dxfId="104" priority="28072">
      <formula>$AI604="OK"</formula>
    </cfRule>
  </conditionalFormatting>
  <conditionalFormatting sqref="H606:I1075 K764:O1075 A1051:A1057 B1056:C1057 B1071:B1075 F1071:F1075">
    <cfRule type="expression" dxfId="103" priority="1196">
      <formula>#REF!="OK"</formula>
    </cfRule>
  </conditionalFormatting>
  <conditionalFormatting sqref="K153:K438 K445:K458 L448:L449 L762:O763">
    <cfRule type="expression" dxfId="102" priority="1321">
      <formula>#REF!="OK"</formula>
    </cfRule>
  </conditionalFormatting>
  <conditionalFormatting sqref="K762:K763">
    <cfRule type="expression" dxfId="101" priority="1204">
      <formula>$AI1095="OK"</formula>
    </cfRule>
  </conditionalFormatting>
  <conditionalFormatting sqref="L2:L27 H415:H417">
    <cfRule type="expression" dxfId="100" priority="27848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99" priority="1318">
      <formula>$AI72="OK"</formula>
    </cfRule>
  </conditionalFormatting>
  <conditionalFormatting sqref="L408">
    <cfRule type="expression" dxfId="98" priority="28097">
      <formula>$AI449="OK"</formula>
    </cfRule>
  </conditionalFormatting>
  <conditionalFormatting sqref="L409:L438">
    <cfRule type="expression" dxfId="97" priority="27950">
      <formula>$AI459="OK"</formula>
    </cfRule>
  </conditionalFormatting>
  <conditionalFormatting sqref="N2:N458">
    <cfRule type="expression" dxfId="96" priority="1202">
      <formula>#REF!="OK"</formula>
    </cfRule>
  </conditionalFormatting>
  <conditionalFormatting sqref="O450:O458">
    <cfRule type="cellIs" dxfId="95" priority="1268" operator="greaterThanOrEqual">
      <formula>0</formula>
    </cfRule>
  </conditionalFormatting>
  <conditionalFormatting sqref="O450:P452 H449 R449 A450:D452 F450:F452 M450:M452 H450:J458 P457:P458">
    <cfRule type="expression" dxfId="94" priority="27906">
      <formula>$AI503="OK"</formula>
    </cfRule>
  </conditionalFormatting>
  <conditionalFormatting sqref="O453:P453">
    <cfRule type="expression" dxfId="93" priority="1278">
      <formula>#REF!="OK"</formula>
    </cfRule>
  </conditionalFormatting>
  <conditionalFormatting sqref="O2:Z27 A2:D27 F2:F27 H2:K27 M2:M27 H153:H413 H459:H571">
    <cfRule type="expression" dxfId="92" priority="27881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91" priority="27579">
      <formula>$AI73="OK"</formula>
    </cfRule>
  </conditionalFormatting>
  <conditionalFormatting sqref="O108:Z108 A108:D108 F108 H108:K108 M108 L109">
    <cfRule type="expression" dxfId="90" priority="28214">
      <formula>#REF!="OK"</formula>
    </cfRule>
  </conditionalFormatting>
  <conditionalFormatting sqref="O402:Z402 O406:Z406 A402:D402 F402 I402:J402 M402 L403 A406:D406 F406 I406:J406 M406 L407 H414 H418">
    <cfRule type="expression" dxfId="89" priority="28098">
      <formula>#REF!="OK"</formula>
    </cfRule>
  </conditionalFormatting>
  <conditionalFormatting sqref="O403:Z405 L110:L152 L214:L256 L396:L402 A403:D405 F403:F405 I403:J405 M403:M405">
    <cfRule type="expression" dxfId="88" priority="27785">
      <formula>$AI153="OK"</formula>
    </cfRule>
  </conditionalFormatting>
  <conditionalFormatting sqref="O407:Z407 L404:L406 A407:D407 F407 I407:J407 M407">
    <cfRule type="expression" dxfId="87" priority="28107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86" priority="27920">
      <formula>$AI499="OK"</formula>
    </cfRule>
  </conditionalFormatting>
  <conditionalFormatting sqref="O559:Z562 Z560:Z563 B559:B562 F559:F562 I559:I562 M559:M562 H572:H575">
    <cfRule type="expression" dxfId="85" priority="28035">
      <formula>#REF!="OK"</formula>
    </cfRule>
  </conditionalFormatting>
  <conditionalFormatting sqref="O563:Z563 B563 F563 I563 M563">
    <cfRule type="expression" dxfId="84" priority="27949">
      <formula>$AI604="OK"</formula>
    </cfRule>
  </conditionalFormatting>
  <conditionalFormatting sqref="P762:Z834">
    <cfRule type="expression" dxfId="83" priority="28234">
      <formula>$AI1105="OK"</formula>
    </cfRule>
  </conditionalFormatting>
  <conditionalFormatting sqref="P835:Z845">
    <cfRule type="expression" dxfId="82" priority="28310">
      <formula>$AI1176="OK"</formula>
    </cfRule>
  </conditionalFormatting>
  <conditionalFormatting sqref="P837:Z845">
    <cfRule type="expression" dxfId="81" priority="28311">
      <formula>$AI1177="OK"</formula>
    </cfRule>
  </conditionalFormatting>
  <conditionalFormatting sqref="P845:Z845 P847:Z989">
    <cfRule type="expression" dxfId="80" priority="28303">
      <formula>$AI1184="OK"</formula>
    </cfRule>
  </conditionalFormatting>
  <conditionalFormatting sqref="P846:Z846">
    <cfRule type="expression" dxfId="79" priority="12">
      <formula>$AI1185="OK"</formula>
    </cfRule>
    <cfRule type="expression" dxfId="78" priority="13">
      <formula>$AI1187="OK"</formula>
    </cfRule>
    <cfRule type="expression" dxfId="77" priority="14">
      <formula>$AI1186="OK"</formula>
    </cfRule>
  </conditionalFormatting>
  <conditionalFormatting sqref="P847:Z1018">
    <cfRule type="expression" dxfId="76" priority="28313">
      <formula>$AI1185="OK"</formula>
    </cfRule>
  </conditionalFormatting>
  <conditionalFormatting sqref="P990:Z1018">
    <cfRule type="expression" dxfId="75" priority="28301">
      <formula>$AI1327="OK"</formula>
    </cfRule>
  </conditionalFormatting>
  <conditionalFormatting sqref="P1019:Z1021">
    <cfRule type="expression" dxfId="74" priority="858">
      <formula>$AI1356="OK"</formula>
    </cfRule>
    <cfRule type="expression" dxfId="73" priority="859">
      <formula>$AI1357="OK"</formula>
    </cfRule>
  </conditionalFormatting>
  <conditionalFormatting sqref="P1022:Z1029">
    <cfRule type="expression" dxfId="72" priority="28309">
      <formula>$AI1360="OK"</formula>
    </cfRule>
    <cfRule type="expression" dxfId="71" priority="28308">
      <formula>$AI1359="OK"</formula>
    </cfRule>
  </conditionalFormatting>
  <conditionalFormatting sqref="P1030:Z1075">
    <cfRule type="expression" dxfId="70" priority="20">
      <formula>$AI1368="OK"</formula>
    </cfRule>
    <cfRule type="expression" dxfId="69" priority="19">
      <formula>$AI1367="OK"</formula>
    </cfRule>
  </conditionalFormatting>
  <conditionalFormatting sqref="Q2:Q456 T2:T1075 Y2:Z1075 Q459:Q1075">
    <cfRule type="cellIs" dxfId="68" priority="27548" operator="greaterThanOrEqual">
      <formula>0</formula>
    </cfRule>
  </conditionalFormatting>
  <conditionalFormatting sqref="Q2:Q456">
    <cfRule type="cellIs" dxfId="67" priority="27547" operator="lessThan">
      <formula>0</formula>
    </cfRule>
  </conditionalFormatting>
  <conditionalFormatting sqref="Q459:Q1075 O450:O458">
    <cfRule type="cellIs" dxfId="66" priority="1267" operator="lessThan">
      <formula>0</formula>
    </cfRule>
  </conditionalFormatting>
  <conditionalFormatting sqref="S211">
    <cfRule type="expression" dxfId="65" priority="1319">
      <formula>#REF!="OK"</formula>
    </cfRule>
  </conditionalFormatting>
  <conditionalFormatting sqref="S393">
    <cfRule type="expression" dxfId="64" priority="1320">
      <formula>#REF!="OK"</formula>
    </cfRule>
  </conditionalFormatting>
  <conditionalFormatting sqref="S447:Z447 O447:Q447 A447:D447 F447 J447 M447 A453:D453 F453 M453 L454:L458">
    <cfRule type="expression" dxfId="63" priority="27905">
      <formula>#REF!="OK"</formula>
    </cfRule>
  </conditionalFormatting>
  <conditionalFormatting sqref="T2:T1075 Y2:Z1075">
    <cfRule type="cellIs" dxfId="62" priority="27549" operator="lessThan">
      <formula>0</formula>
    </cfRule>
  </conditionalFormatting>
  <conditionalFormatting sqref="T212:Z212 O212:R212 A212:D212 F212 I212:J212 M212">
    <cfRule type="expression" dxfId="61" priority="27759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60" priority="27647">
      <formula>$AI257="OK"</formula>
    </cfRule>
  </conditionalFormatting>
  <conditionalFormatting sqref="T394:Z394 O394:R394 A394:D394 F394 I394:J394 M394 L395">
    <cfRule type="expression" dxfId="59" priority="27810">
      <formula>#REF!="OK"</formula>
    </cfRule>
  </conditionalFormatting>
  <conditionalFormatting sqref="T408:Z438 O408:R438 S408:S437 A408:D438 F408:F438 I408:J438 M408:M438 L439:L445">
    <cfRule type="expression" dxfId="58" priority="28191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57" priority="28100">
      <formula>$AI490="OK"</formula>
    </cfRule>
  </conditionalFormatting>
  <conditionalFormatting sqref="T605:Z605 Q605:R605 H605">
    <cfRule type="expression" dxfId="56" priority="28087">
      <formula>$AI669="OK"</formula>
    </cfRule>
  </conditionalFormatting>
  <conditionalFormatting sqref="V450:Y451 R450:T458 V452:Z458">
    <cfRule type="expression" dxfId="55" priority="28005">
      <formula>$AI487="OK"</formula>
    </cfRule>
  </conditionalFormatting>
  <conditionalFormatting sqref="Z450:Z451 O564:Z622 K623:Z761 K556:K622 B564:B603 I564:I603 M564:M603 H577:H603 A604:D605 H604:J605 L604:N622">
    <cfRule type="expression" dxfId="54" priority="28074">
      <formula>#REF!="OK"</formula>
    </cfRule>
  </conditionalFormatting>
  <conditionalFormatting sqref="Z450:Z451">
    <cfRule type="expression" dxfId="53" priority="1251">
      <formula>$AI494="OK"</formula>
    </cfRule>
  </conditionalFormatting>
  <conditionalFormatting sqref="Z564">
    <cfRule type="expression" dxfId="52" priority="28065">
      <formula>$AI604="OK"</formula>
    </cfRule>
  </conditionalFormatting>
  <conditionalFormatting sqref="Z605">
    <cfRule type="expression" dxfId="51" priority="28090">
      <formula>$AI668="OK"</formula>
    </cfRule>
  </conditionalFormatting>
  <conditionalFormatting sqref="AA818:AA819 AA1071:AA1075">
    <cfRule type="expression" dxfId="50" priority="143">
      <formula>$AI818="OK"</formula>
    </cfRule>
    <cfRule type="cellIs" dxfId="49" priority="142" operator="greaterThanOrEqual">
      <formula>1</formula>
    </cfRule>
  </conditionalFormatting>
  <conditionalFormatting sqref="AA822:AA833">
    <cfRule type="cellIs" dxfId="48" priority="118" operator="greaterThanOrEqual">
      <formula>1</formula>
    </cfRule>
    <cfRule type="expression" dxfId="47" priority="119">
      <formula>$AI822="OK"</formula>
    </cfRule>
  </conditionalFormatting>
  <conditionalFormatting sqref="AA837:AA838">
    <cfRule type="expression" dxfId="46" priority="115">
      <formula>$AI837="OK"</formula>
    </cfRule>
    <cfRule type="cellIs" dxfId="45" priority="114" operator="greaterThanOrEqual">
      <formula>1</formula>
    </cfRule>
  </conditionalFormatting>
  <conditionalFormatting sqref="AA840:AA841">
    <cfRule type="expression" dxfId="44" priority="111">
      <formula>$AI840="OK"</formula>
    </cfRule>
    <cfRule type="cellIs" dxfId="43" priority="110" operator="greaterThanOrEqual">
      <formula>1</formula>
    </cfRule>
  </conditionalFormatting>
  <conditionalFormatting sqref="AA858">
    <cfRule type="expression" dxfId="42" priority="109">
      <formula>$AI858="OK"</formula>
    </cfRule>
    <cfRule type="cellIs" dxfId="41" priority="108" operator="greaterThanOrEqual">
      <formula>1</formula>
    </cfRule>
  </conditionalFormatting>
  <conditionalFormatting sqref="AA874:AA884">
    <cfRule type="expression" dxfId="40" priority="87">
      <formula>$AI874="OK"</formula>
    </cfRule>
    <cfRule type="cellIs" dxfId="39" priority="86" operator="greaterThanOrEqual">
      <formula>1</formula>
    </cfRule>
  </conditionalFormatting>
  <conditionalFormatting sqref="AA892:AA996">
    <cfRule type="expression" dxfId="38" priority="57">
      <formula>$AI892="OK"</formula>
    </cfRule>
    <cfRule type="cellIs" dxfId="37" priority="56" operator="greaterThanOrEqual">
      <formula>1</formula>
    </cfRule>
  </conditionalFormatting>
  <conditionalFormatting sqref="AA1021:AA1022">
    <cfRule type="cellIs" dxfId="36" priority="9" operator="greaterThanOrEqual">
      <formula>1</formula>
    </cfRule>
  </conditionalFormatting>
  <conditionalFormatting sqref="AA137:AC141">
    <cfRule type="expression" dxfId="35" priority="49">
      <formula>$AI137="OK"</formula>
    </cfRule>
  </conditionalFormatting>
  <conditionalFormatting sqref="AA142:AC142">
    <cfRule type="expression" dxfId="34" priority="51">
      <formula>$AI141="OK"</formula>
    </cfRule>
  </conditionalFormatting>
  <conditionalFormatting sqref="AA143:AC148">
    <cfRule type="expression" dxfId="33" priority="41">
      <formula>$AI143="OK"</formula>
    </cfRule>
  </conditionalFormatting>
  <conditionalFormatting sqref="AA149:AC149">
    <cfRule type="expression" dxfId="32" priority="43">
      <formula>$AI148="OK"</formula>
    </cfRule>
  </conditionalFormatting>
  <conditionalFormatting sqref="AA150:AC150">
    <cfRule type="expression" dxfId="31" priority="40">
      <formula>$AI150="OK"</formula>
    </cfRule>
  </conditionalFormatting>
  <conditionalFormatting sqref="AA606:AC609 AA612:AC622 AA775:AC797 AA805:AC816 AA820:AC821 AA835:AC836 AA839:AC839 AA855:AC857 AA859:AC861 AA863:AC868 AA1008:AC1008">
    <cfRule type="expression" dxfId="30" priority="37">
      <formula>$AI606="OK"</formula>
    </cfRule>
  </conditionalFormatting>
  <conditionalFormatting sqref="AA606:AC609 AA612:AC622 AA997:AJ1070 AB1071:AJ1075">
    <cfRule type="cellIs" dxfId="29" priority="39" operator="greaterThanOrEqual">
      <formula>1</formula>
    </cfRule>
  </conditionalFormatting>
  <conditionalFormatting sqref="AA121:AD127">
    <cfRule type="expression" dxfId="28" priority="146">
      <formula>$AI121="OK"</formula>
    </cfRule>
  </conditionalFormatting>
  <conditionalFormatting sqref="AA604:AH604">
    <cfRule type="cellIs" dxfId="27" priority="154" operator="greaterThanOrEqual">
      <formula>1</formula>
    </cfRule>
  </conditionalFormatting>
  <conditionalFormatting sqref="AA623:AH761">
    <cfRule type="cellIs" dxfId="26" priority="153" operator="greaterThanOrEqual">
      <formula>1</formula>
    </cfRule>
    <cfRule type="expression" dxfId="25" priority="152">
      <formula>$AI623="OK"</formula>
    </cfRule>
  </conditionalFormatting>
  <conditionalFormatting sqref="AA2:AI28 AA450:AE451 AE452:AG452 AF453:AG458 AA459:AH459 A459:G555 I459:N555 AA460:AI603 J556:J603 L556:L603">
    <cfRule type="expression" dxfId="24" priority="27545">
      <formula>$AI2="OK"</formula>
    </cfRule>
  </conditionalFormatting>
  <conditionalFormatting sqref="AA2:AI28 AA29:AH451 AI29:AI459 AJ153:AW153 AE452:AG452 AA452:AD453 AE453 AF453:AG458 AA454:AB458 AD454:AG458 AA459:AH459 AA762:AJ797 AA798:AH804 AJ798:AJ804 AA805:AJ816 AA817:AH817 AJ817 AB818:AJ819 AA820:AJ821 AB822:AJ833 AA834:AJ836 AB837:AJ838 AA839:AJ839 AB840:AJ841 AB858:AJ858 AA859:AJ873 AB874:AJ884 AA885:AJ891 AB892:AJ996">
    <cfRule type="cellIs" dxfId="23" priority="27546" operator="greaterThanOrEqual">
      <formula>1</formula>
    </cfRule>
  </conditionalFormatting>
  <conditionalFormatting sqref="AA460:AI605 AI606:AI761 AI798:AI804 AI817">
    <cfRule type="cellIs" dxfId="22" priority="1245" operator="greaterThanOrEqual">
      <formula>1</formula>
    </cfRule>
  </conditionalFormatting>
  <conditionalFormatting sqref="AA605:AI605">
    <cfRule type="expression" dxfId="21" priority="1246">
      <formula>$AI605="OK"</formula>
    </cfRule>
  </conditionalFormatting>
  <conditionalFormatting sqref="AA842:AJ857">
    <cfRule type="cellIs" dxfId="20" priority="11" operator="greaterThanOrEqual">
      <formula>1</formula>
    </cfRule>
  </conditionalFormatting>
  <conditionalFormatting sqref="AC454:AC458">
    <cfRule type="cellIs" dxfId="19" priority="1186" operator="greaterThanOrEqual">
      <formula>1</formula>
    </cfRule>
    <cfRule type="expression" dxfId="18" priority="1185">
      <formula>$AI454="OK"</formula>
    </cfRule>
  </conditionalFormatting>
  <conditionalFormatting sqref="AC1021:AC1022">
    <cfRule type="cellIs" dxfId="17" priority="7" operator="greaterThanOrEqual">
      <formula>1</formula>
    </cfRule>
  </conditionalFormatting>
  <conditionalFormatting sqref="AD1021:AD1022">
    <cfRule type="cellIs" dxfId="16" priority="5" operator="greaterThanOrEqual">
      <formula>1</formula>
    </cfRule>
  </conditionalFormatting>
  <conditionalFormatting sqref="AD606:AH609 AA610:AH611 AD612:AH622">
    <cfRule type="cellIs" dxfId="15" priority="1235" operator="greaterThanOrEqual">
      <formula>1</formula>
    </cfRule>
    <cfRule type="expression" dxfId="14" priority="1236">
      <formula>$AI606="OK"</formula>
    </cfRule>
  </conditionalFormatting>
  <conditionalFormatting sqref="AE453:AE458">
    <cfRule type="expression" dxfId="13" priority="1184">
      <formula>$AI453="OK"</formula>
    </cfRule>
  </conditionalFormatting>
  <conditionalFormatting sqref="AE1021:AE1022">
    <cfRule type="cellIs" dxfId="12" priority="3" operator="greaterThanOrEqual">
      <formula>1</formula>
    </cfRule>
  </conditionalFormatting>
  <conditionalFormatting sqref="AF454:AF458">
    <cfRule type="expression" dxfId="11" priority="1183">
      <formula>$AI454="OK"</formula>
    </cfRule>
  </conditionalFormatting>
  <conditionalFormatting sqref="AF1021:AF1022">
    <cfRule type="cellIs" dxfId="10" priority="1" operator="greaterThanOrEqual">
      <formula>1</formula>
    </cfRule>
  </conditionalFormatting>
  <conditionalFormatting sqref="AF450:AH451">
    <cfRule type="expression" dxfId="9" priority="1134">
      <formula>$AI450="OK"</formula>
    </cfRule>
  </conditionalFormatting>
  <conditionalFormatting sqref="AG454:AG458">
    <cfRule type="expression" dxfId="8" priority="1182">
      <formula>$AI454="OK"</formula>
    </cfRule>
  </conditionalFormatting>
  <conditionalFormatting sqref="AI486:AI761 N556:N603 AI798:AI804 AI817">
    <cfRule type="expression" dxfId="7" priority="1252">
      <formula>$AI486="OK"</formula>
    </cfRule>
  </conditionalFormatting>
  <conditionalFormatting sqref="AJ153:AW153">
    <cfRule type="expression" dxfId="6" priority="1323">
      <formula>$AI153="OK"</formula>
    </cfRule>
  </conditionalFormatting>
  <conditionalFormatting sqref="AR1070:AS1070">
    <cfRule type="expression" dxfId="5" priority="229">
      <formula>#REF!="OK"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6"/>
  <sheetViews>
    <sheetView topLeftCell="A5" workbookViewId="0">
      <selection activeCell="E15" sqref="E15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3">
        <v>188</v>
      </c>
      <c r="B2" s="218" t="s">
        <v>2071</v>
      </c>
      <c r="C2" s="234">
        <v>46188</v>
      </c>
      <c r="D2" s="234">
        <v>46261</v>
      </c>
      <c r="E2" s="235" t="s">
        <v>496</v>
      </c>
      <c r="F2" s="218" t="s">
        <v>2070</v>
      </c>
    </row>
    <row r="3" spans="1:6" x14ac:dyDescent="0.25">
      <c r="A3" s="233">
        <v>190</v>
      </c>
      <c r="B3" s="218" t="s">
        <v>2986</v>
      </c>
      <c r="C3" s="234">
        <v>46205</v>
      </c>
      <c r="D3" s="234"/>
      <c r="E3" s="235" t="s">
        <v>496</v>
      </c>
      <c r="F3" s="218" t="s">
        <v>2987</v>
      </c>
    </row>
    <row r="4" spans="1:6" x14ac:dyDescent="0.25">
      <c r="A4" s="236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5487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5493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5487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5493</v>
      </c>
      <c r="F14" s="188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5487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7">
        <v>133</v>
      </c>
      <c r="B19" s="220" t="s">
        <v>4971</v>
      </c>
      <c r="C19" s="216">
        <v>46249</v>
      </c>
      <c r="D19" s="216"/>
      <c r="E19" s="221" t="s">
        <v>5494</v>
      </c>
      <c r="F19" s="220" t="s">
        <v>4970</v>
      </c>
    </row>
    <row r="20" spans="1:6" x14ac:dyDescent="0.25">
      <c r="A20" s="212">
        <v>899</v>
      </c>
      <c r="B20" s="188" t="s">
        <v>4971</v>
      </c>
      <c r="C20" s="189">
        <v>46270</v>
      </c>
      <c r="D20" s="189"/>
      <c r="E20" s="190" t="s">
        <v>4968</v>
      </c>
      <c r="F20" s="188" t="s">
        <v>4442</v>
      </c>
    </row>
    <row r="21" spans="1:6" ht="45" x14ac:dyDescent="0.25">
      <c r="A21" s="224">
        <v>214</v>
      </c>
      <c r="B21" s="191" t="s">
        <v>5031</v>
      </c>
      <c r="C21" s="189">
        <v>46268</v>
      </c>
      <c r="D21" s="189"/>
      <c r="E21" s="190" t="s">
        <v>5489</v>
      </c>
      <c r="F21" s="188" t="s">
        <v>5032</v>
      </c>
    </row>
    <row r="22" spans="1:6" x14ac:dyDescent="0.25">
      <c r="A22" s="224">
        <v>900</v>
      </c>
      <c r="B22" s="188" t="s">
        <v>5492</v>
      </c>
      <c r="C22" s="189">
        <v>46277</v>
      </c>
      <c r="D22" s="189"/>
      <c r="E22" s="190" t="s">
        <v>4968</v>
      </c>
      <c r="F22" s="188" t="s">
        <v>4442</v>
      </c>
    </row>
    <row r="23" spans="1:6" ht="240" x14ac:dyDescent="0.25">
      <c r="A23" s="225">
        <v>206</v>
      </c>
      <c r="B23" s="191" t="s">
        <v>5279</v>
      </c>
      <c r="C23" s="189"/>
      <c r="D23" s="189"/>
      <c r="E23" s="226" t="s">
        <v>4968</v>
      </c>
      <c r="F23" s="227" t="s">
        <v>5280</v>
      </c>
    </row>
    <row r="24" spans="1:6" x14ac:dyDescent="0.25">
      <c r="A24" s="232">
        <v>216</v>
      </c>
      <c r="B24" s="107" t="s">
        <v>5490</v>
      </c>
      <c r="C24" s="185">
        <v>46288</v>
      </c>
      <c r="D24" s="185"/>
      <c r="E24" s="186" t="s">
        <v>5489</v>
      </c>
      <c r="F24" s="188" t="s">
        <v>5415</v>
      </c>
    </row>
    <row r="25" spans="1:6" x14ac:dyDescent="0.25">
      <c r="A25" s="231">
        <v>217</v>
      </c>
      <c r="B25" s="188" t="s">
        <v>5491</v>
      </c>
      <c r="C25" s="189">
        <v>46295</v>
      </c>
      <c r="D25" s="189"/>
      <c r="E25" s="226" t="s">
        <v>5489</v>
      </c>
      <c r="F25" s="188" t="s">
        <v>5415</v>
      </c>
    </row>
    <row r="26" spans="1:6" x14ac:dyDescent="0.25">
      <c r="A26" s="231"/>
      <c r="B26" s="188"/>
      <c r="C26" s="189"/>
      <c r="D26" s="189"/>
      <c r="E26" s="190"/>
      <c r="F26" s="1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92" t="e" vm="1">
        <v>#VALUE!</v>
      </c>
      <c r="D2" s="293"/>
      <c r="E2" s="296" t="s">
        <v>320</v>
      </c>
      <c r="F2" s="296"/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297"/>
      <c r="U2" s="300" t="s">
        <v>246</v>
      </c>
      <c r="V2" s="29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4"/>
      <c r="D3" s="295"/>
      <c r="E3" s="298"/>
      <c r="F3" s="298"/>
      <c r="G3" s="298"/>
      <c r="H3" s="298"/>
      <c r="I3" s="298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9"/>
      <c r="U3" s="301"/>
      <c r="V3" s="29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5" t="s">
        <v>2070</v>
      </c>
      <c r="D6" s="258" t="s">
        <v>2069</v>
      </c>
      <c r="E6" s="261" t="s">
        <v>2071</v>
      </c>
      <c r="F6" s="264">
        <v>46183</v>
      </c>
      <c r="G6" s="302">
        <v>46220</v>
      </c>
      <c r="H6" s="281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49">
        <f>T9/T6</f>
        <v>0.88949747289203585</v>
      </c>
      <c r="V6" s="252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6"/>
      <c r="D7" s="259"/>
      <c r="E7" s="262"/>
      <c r="F7" s="265"/>
      <c r="G7" s="303"/>
      <c r="H7" s="282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0"/>
      <c r="V7" s="25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6"/>
      <c r="D8" s="259"/>
      <c r="E8" s="262"/>
      <c r="F8" s="265"/>
      <c r="G8" s="303"/>
      <c r="H8" s="282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0"/>
      <c r="V8" s="25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6"/>
      <c r="D9" s="259"/>
      <c r="E9" s="262"/>
      <c r="F9" s="265"/>
      <c r="G9" s="303"/>
      <c r="H9" s="282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0"/>
      <c r="V9" s="25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7"/>
      <c r="D10" s="260"/>
      <c r="E10" s="263"/>
      <c r="F10" s="266"/>
      <c r="G10" s="304"/>
      <c r="H10" s="283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1"/>
      <c r="V10" s="254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5" t="s">
        <v>2987</v>
      </c>
      <c r="D12" s="258" t="s">
        <v>2551</v>
      </c>
      <c r="E12" s="261" t="s">
        <v>2986</v>
      </c>
      <c r="F12" s="264">
        <v>46205</v>
      </c>
      <c r="G12" s="302"/>
      <c r="H12" s="28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9">
        <f>T15/T12</f>
        <v>0.76586952907929418</v>
      </c>
      <c r="V12" s="252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6"/>
      <c r="D13" s="259"/>
      <c r="E13" s="262"/>
      <c r="F13" s="265"/>
      <c r="G13" s="303"/>
      <c r="H13" s="28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0"/>
      <c r="V13" s="25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6"/>
      <c r="D14" s="259"/>
      <c r="E14" s="262"/>
      <c r="F14" s="265"/>
      <c r="G14" s="303"/>
      <c r="H14" s="28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0"/>
      <c r="V14" s="25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6"/>
      <c r="D15" s="259"/>
      <c r="E15" s="262"/>
      <c r="F15" s="265"/>
      <c r="G15" s="303"/>
      <c r="H15" s="28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0"/>
      <c r="V15" s="25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7"/>
      <c r="D16" s="260"/>
      <c r="E16" s="263"/>
      <c r="F16" s="266"/>
      <c r="G16" s="304"/>
      <c r="H16" s="28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1"/>
      <c r="V16" s="254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5" t="s">
        <v>2983</v>
      </c>
      <c r="D18" s="258" t="s">
        <v>2984</v>
      </c>
      <c r="E18" s="261" t="s">
        <v>2985</v>
      </c>
      <c r="F18" s="264">
        <v>46289</v>
      </c>
      <c r="G18" s="302"/>
      <c r="H18" s="270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49">
        <f>T21/T18</f>
        <v>0.7638396884091303</v>
      </c>
      <c r="V18" s="252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6"/>
      <c r="D19" s="259"/>
      <c r="E19" s="262"/>
      <c r="F19" s="265"/>
      <c r="G19" s="303"/>
      <c r="H19" s="271"/>
      <c r="I19" s="129" t="s">
        <v>3028</v>
      </c>
      <c r="J19" s="130">
        <f t="shared" ref="J19" si="17">J18-J20</f>
        <v>7.8344999999999976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9.9383999999999997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32.564399999999999</v>
      </c>
      <c r="U19" s="250"/>
      <c r="V19" s="25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6"/>
      <c r="D20" s="259"/>
      <c r="E20" s="262"/>
      <c r="F20" s="265"/>
      <c r="G20" s="303"/>
      <c r="H20" s="271"/>
      <c r="I20" s="129" t="s">
        <v>3030</v>
      </c>
      <c r="J20" s="131">
        <f>SUMIF(PERFORMANCE!$N:$N,W18,PERFORMANCE!$Q:$Q)/1000</f>
        <v>0.27460000000000001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0.64079999999999993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0.91539999999999999</v>
      </c>
      <c r="U20" s="250"/>
      <c r="V20" s="25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6"/>
      <c r="D21" s="259"/>
      <c r="E21" s="262"/>
      <c r="F21" s="265"/>
      <c r="G21" s="303"/>
      <c r="H21" s="271"/>
      <c r="I21" s="132" t="s">
        <v>315</v>
      </c>
      <c r="J21" s="131">
        <f>SUMIF(PERFORMANCE!$N:$N,MACRO!W18,PERFORMANCE!$R:$R)/1000</f>
        <v>6.3533999999999997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9.9383999999999997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25.5732</v>
      </c>
      <c r="U21" s="250"/>
      <c r="V21" s="25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7"/>
      <c r="D22" s="260"/>
      <c r="E22" s="263"/>
      <c r="F22" s="266"/>
      <c r="G22" s="304"/>
      <c r="H22" s="272"/>
      <c r="I22" s="133" t="s">
        <v>3029</v>
      </c>
      <c r="J22" s="134">
        <f t="shared" ref="J22:R22" si="28">J18-J21</f>
        <v>1.7556999999999983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0.64080000000000048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7.9065999999999974</v>
      </c>
      <c r="U22" s="251"/>
      <c r="V22" s="254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5" t="s">
        <v>3292</v>
      </c>
      <c r="D24" s="258" t="s">
        <v>3291</v>
      </c>
      <c r="E24" s="261" t="s">
        <v>3293</v>
      </c>
      <c r="F24" s="264">
        <v>46336</v>
      </c>
      <c r="G24" s="267"/>
      <c r="H24" s="270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9">
        <v>0</v>
      </c>
      <c r="V24" s="252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6"/>
      <c r="D25" s="259"/>
      <c r="E25" s="262"/>
      <c r="F25" s="265"/>
      <c r="G25" s="268"/>
      <c r="H25" s="271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0"/>
      <c r="V25" s="25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6"/>
      <c r="D26" s="259"/>
      <c r="E26" s="262"/>
      <c r="F26" s="265"/>
      <c r="G26" s="268"/>
      <c r="H26" s="271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0"/>
      <c r="V26" s="25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6"/>
      <c r="D27" s="259"/>
      <c r="E27" s="262"/>
      <c r="F27" s="265"/>
      <c r="G27" s="268"/>
      <c r="H27" s="271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0"/>
      <c r="V27" s="25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7"/>
      <c r="D28" s="260"/>
      <c r="E28" s="263"/>
      <c r="F28" s="266"/>
      <c r="G28" s="269"/>
      <c r="H28" s="272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1"/>
      <c r="V28" s="254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5" t="s">
        <v>2993</v>
      </c>
      <c r="D30" s="258" t="s">
        <v>2989</v>
      </c>
      <c r="E30" s="261" t="s">
        <v>2994</v>
      </c>
      <c r="F30" s="264">
        <v>46219</v>
      </c>
      <c r="G30" s="267"/>
      <c r="H30" s="281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9">
        <v>0</v>
      </c>
      <c r="V30" s="252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6"/>
      <c r="D31" s="259"/>
      <c r="E31" s="262"/>
      <c r="F31" s="265"/>
      <c r="G31" s="268"/>
      <c r="H31" s="282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0"/>
      <c r="V31" s="25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6"/>
      <c r="D32" s="259"/>
      <c r="E32" s="262"/>
      <c r="F32" s="265"/>
      <c r="G32" s="268"/>
      <c r="H32" s="282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0"/>
      <c r="V32" s="25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6"/>
      <c r="D33" s="259"/>
      <c r="E33" s="262"/>
      <c r="F33" s="265"/>
      <c r="G33" s="268"/>
      <c r="H33" s="282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0"/>
      <c r="V33" s="25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7"/>
      <c r="D34" s="260"/>
      <c r="E34" s="263"/>
      <c r="F34" s="266"/>
      <c r="G34" s="269"/>
      <c r="H34" s="283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1"/>
      <c r="V34" s="254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5" t="s">
        <v>2995</v>
      </c>
      <c r="D36" s="258" t="s">
        <v>2990</v>
      </c>
      <c r="E36" s="261" t="s">
        <v>2992</v>
      </c>
      <c r="F36" s="264">
        <v>46198</v>
      </c>
      <c r="G36" s="284"/>
      <c r="H36" s="28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9">
        <v>0</v>
      </c>
      <c r="V36" s="252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6"/>
      <c r="D37" s="259"/>
      <c r="E37" s="262"/>
      <c r="F37" s="265"/>
      <c r="G37" s="285"/>
      <c r="H37" s="28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0"/>
      <c r="V37" s="25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6"/>
      <c r="D38" s="259"/>
      <c r="E38" s="262"/>
      <c r="F38" s="265"/>
      <c r="G38" s="285"/>
      <c r="H38" s="28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0"/>
      <c r="V38" s="25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6"/>
      <c r="D39" s="259"/>
      <c r="E39" s="262"/>
      <c r="F39" s="265"/>
      <c r="G39" s="285"/>
      <c r="H39" s="28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0"/>
      <c r="V39" s="25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7"/>
      <c r="D40" s="260"/>
      <c r="E40" s="263"/>
      <c r="F40" s="266"/>
      <c r="G40" s="286"/>
      <c r="H40" s="28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1"/>
      <c r="V40" s="254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5" t="s">
        <v>3006</v>
      </c>
      <c r="D42" s="258" t="s">
        <v>3004</v>
      </c>
      <c r="E42" s="261" t="s">
        <v>3007</v>
      </c>
      <c r="F42" s="264">
        <v>46188</v>
      </c>
      <c r="G42" s="284">
        <v>46220</v>
      </c>
      <c r="H42" s="281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9">
        <v>0</v>
      </c>
      <c r="V42" s="252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6"/>
      <c r="D43" s="259"/>
      <c r="E43" s="262"/>
      <c r="F43" s="265"/>
      <c r="G43" s="285"/>
      <c r="H43" s="282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0"/>
      <c r="V43" s="25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6"/>
      <c r="D44" s="259"/>
      <c r="E44" s="262"/>
      <c r="F44" s="265"/>
      <c r="G44" s="285"/>
      <c r="H44" s="282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0"/>
      <c r="V44" s="25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6"/>
      <c r="D45" s="259"/>
      <c r="E45" s="262"/>
      <c r="F45" s="265"/>
      <c r="G45" s="285"/>
      <c r="H45" s="282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0"/>
      <c r="V45" s="25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7"/>
      <c r="D46" s="260"/>
      <c r="E46" s="263"/>
      <c r="F46" s="266"/>
      <c r="G46" s="286"/>
      <c r="H46" s="283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1"/>
      <c r="V46" s="254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5" t="s">
        <v>3009</v>
      </c>
      <c r="D48" s="258" t="s">
        <v>3005</v>
      </c>
      <c r="E48" s="261" t="s">
        <v>3008</v>
      </c>
      <c r="F48" s="264">
        <v>46202</v>
      </c>
      <c r="G48" s="284">
        <v>46233</v>
      </c>
      <c r="H48" s="281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9">
        <v>0</v>
      </c>
      <c r="V48" s="252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6"/>
      <c r="D49" s="259"/>
      <c r="E49" s="262"/>
      <c r="F49" s="265"/>
      <c r="G49" s="285"/>
      <c r="H49" s="282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0"/>
      <c r="V49" s="25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6"/>
      <c r="D50" s="259"/>
      <c r="E50" s="262"/>
      <c r="F50" s="265"/>
      <c r="G50" s="285"/>
      <c r="H50" s="282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0"/>
      <c r="V50" s="25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6"/>
      <c r="D51" s="259"/>
      <c r="E51" s="262"/>
      <c r="F51" s="265"/>
      <c r="G51" s="285"/>
      <c r="H51" s="282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0"/>
      <c r="V51" s="25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7"/>
      <c r="D52" s="260"/>
      <c r="E52" s="263"/>
      <c r="F52" s="266"/>
      <c r="G52" s="286"/>
      <c r="H52" s="283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51"/>
      <c r="V52" s="254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5" t="s">
        <v>3009</v>
      </c>
      <c r="D54" s="258" t="s">
        <v>3111</v>
      </c>
      <c r="E54" s="261" t="s">
        <v>3164</v>
      </c>
      <c r="F54" s="264">
        <v>46226</v>
      </c>
      <c r="G54" s="267"/>
      <c r="H54" s="281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9">
        <v>0</v>
      </c>
      <c r="V54" s="252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6"/>
      <c r="D55" s="259"/>
      <c r="E55" s="262"/>
      <c r="F55" s="265"/>
      <c r="G55" s="268"/>
      <c r="H55" s="282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0"/>
      <c r="V55" s="25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6"/>
      <c r="D56" s="259"/>
      <c r="E56" s="262"/>
      <c r="F56" s="265"/>
      <c r="G56" s="268"/>
      <c r="H56" s="282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0"/>
      <c r="V56" s="25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6"/>
      <c r="D57" s="259"/>
      <c r="E57" s="262"/>
      <c r="F57" s="265"/>
      <c r="G57" s="268"/>
      <c r="H57" s="282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0"/>
      <c r="V57" s="25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7"/>
      <c r="D58" s="260"/>
      <c r="E58" s="263"/>
      <c r="F58" s="266"/>
      <c r="G58" s="269"/>
      <c r="H58" s="283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51"/>
      <c r="V58" s="254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5" t="s">
        <v>3165</v>
      </c>
      <c r="D60" s="258" t="s">
        <v>3163</v>
      </c>
      <c r="E60" s="261" t="s">
        <v>3166</v>
      </c>
      <c r="F60" s="264">
        <v>46235</v>
      </c>
      <c r="G60" s="267"/>
      <c r="H60" s="270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9">
        <v>0</v>
      </c>
      <c r="V60" s="252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6"/>
      <c r="D61" s="259"/>
      <c r="E61" s="262"/>
      <c r="F61" s="265"/>
      <c r="G61" s="268"/>
      <c r="H61" s="271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50"/>
      <c r="V61" s="25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6"/>
      <c r="D62" s="259"/>
      <c r="E62" s="262"/>
      <c r="F62" s="265"/>
      <c r="G62" s="268"/>
      <c r="H62" s="271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50"/>
      <c r="V62" s="25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6"/>
      <c r="D63" s="259"/>
      <c r="E63" s="262"/>
      <c r="F63" s="265"/>
      <c r="G63" s="268"/>
      <c r="H63" s="271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50"/>
      <c r="V63" s="25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7"/>
      <c r="D64" s="260"/>
      <c r="E64" s="263"/>
      <c r="F64" s="266"/>
      <c r="G64" s="269"/>
      <c r="H64" s="272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51"/>
      <c r="V64" s="254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5" t="s">
        <v>4307</v>
      </c>
      <c r="D66" s="258" t="s">
        <v>4299</v>
      </c>
      <c r="E66" s="261" t="s">
        <v>4308</v>
      </c>
      <c r="F66" s="264">
        <v>46233</v>
      </c>
      <c r="G66" s="267"/>
      <c r="H66" s="270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9">
        <v>0</v>
      </c>
      <c r="V66" s="252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6"/>
      <c r="D67" s="259"/>
      <c r="E67" s="262"/>
      <c r="F67" s="265"/>
      <c r="G67" s="268"/>
      <c r="H67" s="271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0"/>
      <c r="V67" s="25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6"/>
      <c r="D68" s="259"/>
      <c r="E68" s="262"/>
      <c r="F68" s="265"/>
      <c r="G68" s="268"/>
      <c r="H68" s="271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0"/>
      <c r="V68" s="25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6"/>
      <c r="D69" s="259"/>
      <c r="E69" s="262"/>
      <c r="F69" s="265"/>
      <c r="G69" s="268"/>
      <c r="H69" s="271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0"/>
      <c r="V69" s="25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7"/>
      <c r="D70" s="260"/>
      <c r="E70" s="263"/>
      <c r="F70" s="266"/>
      <c r="G70" s="269"/>
      <c r="H70" s="272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51"/>
      <c r="V70" s="254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5" t="s">
        <v>3165</v>
      </c>
      <c r="D72" s="258" t="s">
        <v>4306</v>
      </c>
      <c r="E72" s="261" t="s">
        <v>4309</v>
      </c>
      <c r="F72" s="264">
        <v>46280</v>
      </c>
      <c r="G72" s="267"/>
      <c r="H72" s="270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9">
        <v>0</v>
      </c>
      <c r="V72" s="252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6"/>
      <c r="D73" s="259"/>
      <c r="E73" s="262"/>
      <c r="F73" s="265"/>
      <c r="G73" s="268"/>
      <c r="H73" s="271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0"/>
      <c r="V73" s="25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6"/>
      <c r="D74" s="259"/>
      <c r="E74" s="262"/>
      <c r="F74" s="265"/>
      <c r="G74" s="268"/>
      <c r="H74" s="271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0"/>
      <c r="V74" s="25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6"/>
      <c r="D75" s="259"/>
      <c r="E75" s="262"/>
      <c r="F75" s="265"/>
      <c r="G75" s="268"/>
      <c r="H75" s="271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0"/>
      <c r="V75" s="25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7"/>
      <c r="D76" s="260"/>
      <c r="E76" s="263"/>
      <c r="F76" s="266"/>
      <c r="G76" s="269"/>
      <c r="H76" s="272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1"/>
      <c r="V76" s="254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3" t="s">
        <v>326</v>
      </c>
      <c r="E79" s="275" t="s">
        <v>891</v>
      </c>
      <c r="F79" s="276"/>
      <c r="G79" s="276"/>
      <c r="H79" s="276"/>
      <c r="I79" s="276"/>
      <c r="J79" s="277"/>
      <c r="K79" s="278" t="s">
        <v>331</v>
      </c>
      <c r="L79" s="279"/>
      <c r="M79" s="279"/>
      <c r="N79" s="280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4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8.8104999999999976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10.1736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35.063099999999999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16.374600000000001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2.6507999999999998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62.535399999999996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20.229399999999998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12.0456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80.785300000000007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4.5556999999999981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0.64080000000000048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16.306599999999996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48"/>
  <sheetViews>
    <sheetView topLeftCell="C1" zoomScaleNormal="100" workbookViewId="0">
      <pane ySplit="1" topLeftCell="A5239" activePane="bottomLeft" state="frozen"/>
      <selection pane="bottomLeft" activeCell="N5252" sqref="N525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5392</v>
      </c>
      <c r="F5141" s="1" t="s">
        <v>5393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5392</v>
      </c>
      <c r="F5142" s="1" t="s">
        <v>5393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5392</v>
      </c>
      <c r="F5150" s="1" t="s">
        <v>5393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5392</v>
      </c>
      <c r="F5151" s="1" t="s">
        <v>5393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5394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5395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5396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5397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5398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5399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5400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5401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5402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5403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5404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5405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5406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230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230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230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5423</v>
      </c>
      <c r="D5175" s="1"/>
      <c r="E5175" s="1"/>
      <c r="F5175" s="1" t="s">
        <v>5424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230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5423</v>
      </c>
      <c r="D5176" s="1"/>
      <c r="E5176" s="1"/>
      <c r="F5176" s="1" t="s">
        <v>5425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230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5423</v>
      </c>
      <c r="D5177" s="1"/>
      <c r="E5177" s="1"/>
      <c r="F5177" s="1" t="s">
        <v>5426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230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5427</v>
      </c>
      <c r="D5178" s="1"/>
      <c r="E5178" s="1"/>
      <c r="F5178" s="1" t="s">
        <v>5428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230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5427</v>
      </c>
      <c r="D5179" s="1"/>
      <c r="E5179" s="1"/>
      <c r="F5179" s="1" t="s">
        <v>5429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230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5427</v>
      </c>
      <c r="D5180" s="1"/>
      <c r="E5180" s="1"/>
      <c r="F5180" s="1" t="s">
        <v>5430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230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5431</v>
      </c>
      <c r="D5181" s="1"/>
      <c r="E5181" s="1"/>
      <c r="F5181" s="1" t="s">
        <v>5432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230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5431</v>
      </c>
      <c r="D5182" s="1"/>
      <c r="E5182" s="1"/>
      <c r="F5182" s="1" t="s">
        <v>5433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230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5431</v>
      </c>
      <c r="D5183" s="1"/>
      <c r="E5183" s="1"/>
      <c r="F5183" s="1" t="s">
        <v>5434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230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5435</v>
      </c>
      <c r="D5184" s="1"/>
      <c r="E5184" s="1"/>
      <c r="F5184" s="1" t="s">
        <v>5436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230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5435</v>
      </c>
      <c r="D5185" s="1"/>
      <c r="E5185" s="1"/>
      <c r="F5185" s="1" t="s">
        <v>5437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230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5438</v>
      </c>
      <c r="D5186" s="1"/>
      <c r="E5186" s="1"/>
      <c r="F5186" s="1" t="s">
        <v>5439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230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5438</v>
      </c>
      <c r="D5187" s="1"/>
      <c r="E5187" s="1"/>
      <c r="F5187" s="1" t="s">
        <v>5440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230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5438</v>
      </c>
      <c r="D5188" s="1"/>
      <c r="E5188" s="1"/>
      <c r="F5188" s="1" t="s">
        <v>5441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230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5438</v>
      </c>
      <c r="D5189" s="1"/>
      <c r="E5189" s="1"/>
      <c r="F5189" s="1" t="s">
        <v>5442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230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5438</v>
      </c>
      <c r="D5190" s="1"/>
      <c r="E5190" s="1"/>
      <c r="F5190" s="1" t="s">
        <v>5443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230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5438</v>
      </c>
      <c r="D5191" s="1"/>
      <c r="E5191" s="1"/>
      <c r="F5191" s="1" t="s">
        <v>5444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230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5438</v>
      </c>
      <c r="D5192" s="1"/>
      <c r="E5192" s="1"/>
      <c r="F5192" s="1" t="s">
        <v>5445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230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5438</v>
      </c>
      <c r="D5193" s="1"/>
      <c r="E5193" s="1"/>
      <c r="F5193" s="1" t="s">
        <v>5446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230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5438</v>
      </c>
      <c r="D5194" s="1"/>
      <c r="E5194" s="1"/>
      <c r="F5194" s="1" t="s">
        <v>5447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230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5438</v>
      </c>
      <c r="D5195" s="1"/>
      <c r="E5195" s="1"/>
      <c r="F5195" s="1" t="s">
        <v>5448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230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5438</v>
      </c>
      <c r="D5196" s="1"/>
      <c r="E5196" s="1"/>
      <c r="F5196" s="1" t="s">
        <v>5449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230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5450</v>
      </c>
      <c r="D5197" s="1"/>
      <c r="E5197" s="1"/>
      <c r="F5197" s="1" t="s">
        <v>5451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230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5450</v>
      </c>
      <c r="D5198" s="1"/>
      <c r="E5198" s="1"/>
      <c r="F5198" s="1" t="s">
        <v>5452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230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5450</v>
      </c>
      <c r="D5199" s="1"/>
      <c r="E5199" s="1"/>
      <c r="F5199" s="1" t="s">
        <v>5453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230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5454</v>
      </c>
      <c r="D5200" s="1"/>
      <c r="E5200" s="1"/>
      <c r="F5200" s="1" t="s">
        <v>5455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230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5454</v>
      </c>
      <c r="D5201" s="1"/>
      <c r="E5201" s="1"/>
      <c r="F5201" s="1" t="s">
        <v>5456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230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5454</v>
      </c>
      <c r="D5202" s="1"/>
      <c r="E5202" s="1"/>
      <c r="F5202" s="1" t="s">
        <v>5457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230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5458</v>
      </c>
      <c r="E5203" s="1" t="s">
        <v>2</v>
      </c>
      <c r="F5203" s="1" t="s">
        <v>5459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230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5458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230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5458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230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5458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230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5458</v>
      </c>
      <c r="E5207" s="1" t="s">
        <v>100</v>
      </c>
      <c r="F5207" s="1" t="s">
        <v>5460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230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5458</v>
      </c>
      <c r="E5208" s="1" t="s">
        <v>173</v>
      </c>
      <c r="F5208" s="1" t="s">
        <v>5461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230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5458</v>
      </c>
      <c r="E5209" s="1" t="s">
        <v>461</v>
      </c>
      <c r="F5209" s="1" t="s">
        <v>5462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230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5458</v>
      </c>
      <c r="E5210" s="1" t="s">
        <v>464</v>
      </c>
      <c r="F5210" s="1" t="s">
        <v>5463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230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5458</v>
      </c>
      <c r="E5211" s="1" t="s">
        <v>1103</v>
      </c>
      <c r="F5211" s="1" t="s">
        <v>5464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230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5458</v>
      </c>
      <c r="E5212" s="1" t="s">
        <v>2</v>
      </c>
      <c r="F5212" s="1" t="s">
        <v>5459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230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5458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230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5458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230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5458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230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5458</v>
      </c>
      <c r="E5216" s="1" t="s">
        <v>100</v>
      </c>
      <c r="F5216" s="1" t="s">
        <v>5460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230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5458</v>
      </c>
      <c r="E5217" s="1" t="s">
        <v>173</v>
      </c>
      <c r="F5217" s="1" t="s">
        <v>5461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230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5458</v>
      </c>
      <c r="E5218" s="1" t="s">
        <v>461</v>
      </c>
      <c r="F5218" s="1" t="s">
        <v>5462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230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5458</v>
      </c>
      <c r="E5219" s="1" t="s">
        <v>464</v>
      </c>
      <c r="F5219" s="1" t="s">
        <v>5463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230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5458</v>
      </c>
      <c r="E5220" s="1" t="s">
        <v>1103</v>
      </c>
      <c r="F5220" s="1" t="s">
        <v>5464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230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230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230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5465</v>
      </c>
      <c r="E5223" s="1"/>
      <c r="F5223" s="1" t="s">
        <v>5466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230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5467</v>
      </c>
      <c r="E5224" s="1"/>
      <c r="F5224" s="1" t="s">
        <v>5468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230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5465</v>
      </c>
      <c r="E5225" s="1"/>
      <c r="F5225" s="1" t="s">
        <v>5469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230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5465</v>
      </c>
      <c r="E5226" s="1"/>
      <c r="F5226" s="1" t="s">
        <v>5470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230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5471</v>
      </c>
      <c r="D5227" s="1"/>
      <c r="E5227" s="1"/>
      <c r="F5227" s="1" t="s">
        <v>5472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230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5473</v>
      </c>
      <c r="D5228" s="1"/>
      <c r="E5228" s="1"/>
      <c r="F5228" s="1" t="s">
        <v>5474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230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5475</v>
      </c>
      <c r="D5229" s="1"/>
      <c r="E5229" s="1" t="s">
        <v>2</v>
      </c>
      <c r="F5229" s="1" t="s">
        <v>5476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230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5475</v>
      </c>
      <c r="D5230" s="1"/>
      <c r="E5230" s="1" t="s">
        <v>2</v>
      </c>
      <c r="F5230" s="1" t="s">
        <v>5476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230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5477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230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5477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230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230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230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230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230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5478</v>
      </c>
      <c r="D5237" s="1"/>
      <c r="E5237" s="1" t="s">
        <v>2193</v>
      </c>
      <c r="F5237" s="1" t="s">
        <v>5479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230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5478</v>
      </c>
      <c r="D5238" s="1"/>
      <c r="E5238" s="1" t="s">
        <v>2193</v>
      </c>
      <c r="F5238" s="1" t="s">
        <v>5479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230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5480</v>
      </c>
      <c r="D5239" s="1"/>
      <c r="E5239" s="1" t="s">
        <v>5481</v>
      </c>
      <c r="F5239" s="1" t="s">
        <v>5479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230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5480</v>
      </c>
      <c r="D5240" s="1"/>
      <c r="E5240" s="1" t="s">
        <v>5481</v>
      </c>
      <c r="F5240" s="1" t="s">
        <v>5479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230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5482</v>
      </c>
      <c r="D5241" s="1"/>
      <c r="E5241" s="1" t="s">
        <v>5481</v>
      </c>
      <c r="F5241" s="1" t="s">
        <v>5479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230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5482</v>
      </c>
      <c r="D5242" s="1"/>
      <c r="E5242" s="1" t="s">
        <v>5481</v>
      </c>
      <c r="F5242" s="1" t="s">
        <v>5479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230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5483</v>
      </c>
      <c r="D5243" s="1"/>
      <c r="E5243" s="1" t="s">
        <v>5484</v>
      </c>
      <c r="F5243" s="1" t="s">
        <v>5485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230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5483</v>
      </c>
      <c r="D5244" s="1"/>
      <c r="E5244" s="1" t="s">
        <v>5484</v>
      </c>
      <c r="F5244" s="1" t="s">
        <v>5485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230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230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230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230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5486</v>
      </c>
      <c r="J5248" s="1">
        <v>32.4</v>
      </c>
      <c r="K5248" s="1">
        <v>97.199999999999989</v>
      </c>
      <c r="L5248" s="42">
        <v>1</v>
      </c>
      <c r="M5248" s="230">
        <v>46261</v>
      </c>
      <c r="N5248" s="1" t="str">
        <f>VLOOKUP(B5248,MICRO!E:L,8,0)</f>
        <v>P-205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24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5664.67875</v>
      </c>
      <c r="I357" s="113">
        <f>SUMIF(MICRO!AP:AP,O:O,MICRO!T:T)</f>
        <v>-1481.1</v>
      </c>
      <c r="J357" s="114">
        <f t="shared" si="130"/>
        <v>0.88119574855329497</v>
      </c>
      <c r="K357" s="113">
        <f>SUMIF(MICRO!AP:AP,O:O,MICRO!X:X)</f>
        <v>4672.1000000000004</v>
      </c>
      <c r="L357" s="114">
        <f t="shared" si="131"/>
        <v>0.72679049219090308</v>
      </c>
      <c r="M357" s="113">
        <f t="shared" si="132"/>
        <v>1756.2999999999984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274.60000000000002</v>
      </c>
      <c r="R357">
        <f>SUMIF(MICRO!AP:AP,O:O,MICRO!AU:AU)</f>
        <v>4672.7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2026-08-28T14:16:17Z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