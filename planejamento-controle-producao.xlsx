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1075" documentId="8_{FDD42E6F-94E1-48F3-8613-54A91AB43A68}" xr6:coauthVersionLast="47" xr6:coauthVersionMax="47" xr10:uidLastSave="{854F11AA-081D-4BE5-9B30-0C2CAC476A89}"/>
  <bookViews>
    <workbookView xWindow="-120" yWindow="-120" windowWidth="24240" windowHeight="13020" tabRatio="818" activeTab="1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EMBARQUE'!$A$1:$O$4970</definedName>
    <definedName name="_xlnm._FilterDatabase" localSheetId="1" hidden="1">MICRO!$A$1:$AN$1</definedName>
    <definedName name="_xlnm.Print_Area" localSheetId="1">MICRO!$A$1:$AI$624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774" i="1" l="1"/>
  <c r="V774" i="1"/>
  <c r="U774" i="1"/>
  <c r="Y774" i="1" s="1"/>
  <c r="Q774" i="1"/>
  <c r="H774" i="1"/>
  <c r="H773" i="1"/>
  <c r="S773" i="1" s="1"/>
  <c r="T773" i="1" s="1"/>
  <c r="Q773" i="1"/>
  <c r="U773" i="1"/>
  <c r="Y773" i="1" s="1"/>
  <c r="V773" i="1"/>
  <c r="W773" i="1"/>
  <c r="W772" i="1"/>
  <c r="V772" i="1"/>
  <c r="U772" i="1"/>
  <c r="Y772" i="1" s="1"/>
  <c r="Q772" i="1"/>
  <c r="H772" i="1"/>
  <c r="R772" i="1" s="1"/>
  <c r="S774" i="1" l="1"/>
  <c r="T774" i="1" s="1"/>
  <c r="R774" i="1"/>
  <c r="X774" i="1"/>
  <c r="Z774" i="1" s="1"/>
  <c r="R773" i="1"/>
  <c r="X773" i="1"/>
  <c r="Z773" i="1" s="1"/>
  <c r="S772" i="1"/>
  <c r="T772" i="1" s="1"/>
  <c r="X772" i="1"/>
  <c r="Z772" i="1" s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R768" i="1" s="1"/>
  <c r="Q768" i="1"/>
  <c r="U768" i="1"/>
  <c r="X768" i="1" s="1"/>
  <c r="V768" i="1"/>
  <c r="W768" i="1"/>
  <c r="H769" i="1"/>
  <c r="S769" i="1" s="1"/>
  <c r="T769" i="1" s="1"/>
  <c r="Q769" i="1"/>
  <c r="U769" i="1"/>
  <c r="Y769" i="1" s="1"/>
  <c r="V769" i="1"/>
  <c r="W769" i="1"/>
  <c r="H770" i="1"/>
  <c r="R770" i="1" s="1"/>
  <c r="Q770" i="1"/>
  <c r="U770" i="1"/>
  <c r="X770" i="1" s="1"/>
  <c r="V770" i="1"/>
  <c r="W770" i="1"/>
  <c r="H771" i="1"/>
  <c r="R771" i="1" s="1"/>
  <c r="Q771" i="1"/>
  <c r="U771" i="1"/>
  <c r="X771" i="1" s="1"/>
  <c r="V771" i="1"/>
  <c r="W771" i="1"/>
  <c r="W765" i="1"/>
  <c r="V765" i="1"/>
  <c r="U765" i="1"/>
  <c r="Y765" i="1" s="1"/>
  <c r="Q765" i="1"/>
  <c r="H765" i="1"/>
  <c r="W764" i="1"/>
  <c r="V764" i="1"/>
  <c r="U764" i="1"/>
  <c r="Y764" i="1" s="1"/>
  <c r="Q764" i="1"/>
  <c r="W763" i="1"/>
  <c r="V763" i="1"/>
  <c r="U763" i="1"/>
  <c r="Y763" i="1" s="1"/>
  <c r="Q763" i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S683" i="1"/>
  <c r="T683" i="1" s="1"/>
  <c r="S684" i="1"/>
  <c r="S685" i="1"/>
  <c r="T685" i="1" s="1"/>
  <c r="S686" i="1"/>
  <c r="T686" i="1" s="1"/>
  <c r="S687" i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S695" i="1"/>
  <c r="T695" i="1" s="1"/>
  <c r="S696" i="1"/>
  <c r="S697" i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S707" i="1"/>
  <c r="T707" i="1" s="1"/>
  <c r="S708" i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S719" i="1"/>
  <c r="T719" i="1" s="1"/>
  <c r="S720" i="1"/>
  <c r="S721" i="1"/>
  <c r="S722" i="1"/>
  <c r="T722" i="1" s="1"/>
  <c r="S723" i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S731" i="1"/>
  <c r="T731" i="1" s="1"/>
  <c r="S732" i="1"/>
  <c r="S733" i="1"/>
  <c r="T733" i="1" s="1"/>
  <c r="S734" i="1"/>
  <c r="T734" i="1" s="1"/>
  <c r="S735" i="1"/>
  <c r="T735" i="1" s="1"/>
  <c r="S736" i="1"/>
  <c r="T736" i="1" s="1"/>
  <c r="S737" i="1"/>
  <c r="S738" i="1"/>
  <c r="T738" i="1" s="1"/>
  <c r="S739" i="1"/>
  <c r="T739" i="1" s="1"/>
  <c r="S740" i="1"/>
  <c r="T740" i="1" s="1"/>
  <c r="S741" i="1"/>
  <c r="T741" i="1" s="1"/>
  <c r="S742" i="1"/>
  <c r="S743" i="1"/>
  <c r="T743" i="1" s="1"/>
  <c r="S744" i="1"/>
  <c r="S745" i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S755" i="1"/>
  <c r="T755" i="1" s="1"/>
  <c r="S756" i="1"/>
  <c r="S757" i="1"/>
  <c r="S758" i="1"/>
  <c r="T758" i="1" s="1"/>
  <c r="S759" i="1"/>
  <c r="S760" i="1"/>
  <c r="T760" i="1" s="1"/>
  <c r="S761" i="1"/>
  <c r="S762" i="1"/>
  <c r="T762" i="1" s="1"/>
  <c r="H764" i="1"/>
  <c r="H763" i="1"/>
  <c r="N4870" i="6"/>
  <c r="U761" i="1"/>
  <c r="U762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T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T682" i="1"/>
  <c r="U682" i="1"/>
  <c r="V682" i="1"/>
  <c r="W682" i="1"/>
  <c r="Q683" i="1"/>
  <c r="R683" i="1"/>
  <c r="U683" i="1"/>
  <c r="V683" i="1"/>
  <c r="W683" i="1"/>
  <c r="Q684" i="1"/>
  <c r="R684" i="1"/>
  <c r="T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T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T694" i="1"/>
  <c r="U694" i="1"/>
  <c r="V694" i="1"/>
  <c r="W694" i="1"/>
  <c r="Q695" i="1"/>
  <c r="R695" i="1"/>
  <c r="U695" i="1"/>
  <c r="V695" i="1"/>
  <c r="W695" i="1"/>
  <c r="Q696" i="1"/>
  <c r="R696" i="1"/>
  <c r="T696" i="1"/>
  <c r="U696" i="1"/>
  <c r="V696" i="1"/>
  <c r="W696" i="1"/>
  <c r="Q697" i="1"/>
  <c r="R697" i="1"/>
  <c r="T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T706" i="1"/>
  <c r="U706" i="1"/>
  <c r="V706" i="1"/>
  <c r="W706" i="1"/>
  <c r="Q707" i="1"/>
  <c r="R707" i="1"/>
  <c r="U707" i="1"/>
  <c r="V707" i="1"/>
  <c r="W707" i="1"/>
  <c r="Q708" i="1"/>
  <c r="R708" i="1"/>
  <c r="T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T718" i="1"/>
  <c r="U718" i="1"/>
  <c r="V718" i="1"/>
  <c r="W718" i="1"/>
  <c r="Q719" i="1"/>
  <c r="R719" i="1"/>
  <c r="U719" i="1"/>
  <c r="V719" i="1"/>
  <c r="W719" i="1"/>
  <c r="Q720" i="1"/>
  <c r="R720" i="1"/>
  <c r="T720" i="1"/>
  <c r="U720" i="1"/>
  <c r="V720" i="1"/>
  <c r="W720" i="1"/>
  <c r="Q721" i="1"/>
  <c r="R721" i="1"/>
  <c r="T721" i="1"/>
  <c r="U721" i="1"/>
  <c r="V721" i="1"/>
  <c r="W721" i="1"/>
  <c r="Q722" i="1"/>
  <c r="R722" i="1"/>
  <c r="U722" i="1"/>
  <c r="V722" i="1"/>
  <c r="W722" i="1"/>
  <c r="Q723" i="1"/>
  <c r="R723" i="1"/>
  <c r="T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T730" i="1"/>
  <c r="U730" i="1"/>
  <c r="V730" i="1"/>
  <c r="W730" i="1"/>
  <c r="Q731" i="1"/>
  <c r="R731" i="1"/>
  <c r="U731" i="1"/>
  <c r="V731" i="1"/>
  <c r="W731" i="1"/>
  <c r="Q732" i="1"/>
  <c r="R732" i="1"/>
  <c r="T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T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T742" i="1"/>
  <c r="U742" i="1"/>
  <c r="V742" i="1"/>
  <c r="W742" i="1"/>
  <c r="Q743" i="1"/>
  <c r="R743" i="1"/>
  <c r="U743" i="1"/>
  <c r="V743" i="1"/>
  <c r="W743" i="1"/>
  <c r="Q744" i="1"/>
  <c r="R744" i="1"/>
  <c r="T744" i="1"/>
  <c r="U744" i="1"/>
  <c r="V744" i="1"/>
  <c r="W744" i="1"/>
  <c r="Q745" i="1"/>
  <c r="R745" i="1"/>
  <c r="T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T754" i="1"/>
  <c r="U754" i="1"/>
  <c r="V754" i="1"/>
  <c r="W754" i="1"/>
  <c r="Q755" i="1"/>
  <c r="R755" i="1"/>
  <c r="U755" i="1"/>
  <c r="V755" i="1"/>
  <c r="W755" i="1"/>
  <c r="Q756" i="1"/>
  <c r="R756" i="1"/>
  <c r="T756" i="1"/>
  <c r="U756" i="1"/>
  <c r="V756" i="1"/>
  <c r="W756" i="1"/>
  <c r="Q757" i="1"/>
  <c r="R757" i="1"/>
  <c r="T757" i="1"/>
  <c r="U757" i="1"/>
  <c r="V757" i="1"/>
  <c r="W757" i="1"/>
  <c r="Q758" i="1"/>
  <c r="R758" i="1"/>
  <c r="U758" i="1"/>
  <c r="V758" i="1"/>
  <c r="W758" i="1"/>
  <c r="Q759" i="1"/>
  <c r="R759" i="1"/>
  <c r="T759" i="1"/>
  <c r="U759" i="1"/>
  <c r="V759" i="1"/>
  <c r="W759" i="1"/>
  <c r="Q760" i="1"/>
  <c r="R760" i="1"/>
  <c r="U760" i="1"/>
  <c r="V760" i="1"/>
  <c r="W760" i="1"/>
  <c r="Q761" i="1"/>
  <c r="R761" i="1"/>
  <c r="T761" i="1"/>
  <c r="V761" i="1"/>
  <c r="W761" i="1"/>
  <c r="Q762" i="1"/>
  <c r="R762" i="1"/>
  <c r="V762" i="1"/>
  <c r="W762" i="1"/>
  <c r="Q626" i="1"/>
  <c r="U626" i="1"/>
  <c r="V626" i="1"/>
  <c r="W626" i="1"/>
  <c r="Q627" i="1"/>
  <c r="U627" i="1"/>
  <c r="V627" i="1"/>
  <c r="W627" i="1"/>
  <c r="H626" i="1"/>
  <c r="S626" i="1" s="1"/>
  <c r="H627" i="1"/>
  <c r="S627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5" i="1"/>
  <c r="U625" i="1"/>
  <c r="V625" i="1"/>
  <c r="W625" i="1"/>
  <c r="H625" i="1"/>
  <c r="S625" i="1" s="1"/>
  <c r="Q624" i="1"/>
  <c r="U624" i="1"/>
  <c r="V624" i="1"/>
  <c r="W624" i="1"/>
  <c r="H624" i="1"/>
  <c r="S624" i="1" s="1"/>
  <c r="V153" i="1"/>
  <c r="U153" i="1"/>
  <c r="Q153" i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3" i="1"/>
  <c r="V623" i="1"/>
  <c r="U623" i="1"/>
  <c r="Q623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H623" i="1"/>
  <c r="S623" i="1" s="1"/>
  <c r="H618" i="1"/>
  <c r="S618" i="1" s="1"/>
  <c r="H619" i="1"/>
  <c r="S619" i="1" s="1"/>
  <c r="H620" i="1"/>
  <c r="S620" i="1" s="1"/>
  <c r="H621" i="1"/>
  <c r="S621" i="1" s="1"/>
  <c r="H622" i="1"/>
  <c r="S622" i="1" s="1"/>
  <c r="S766" i="1" l="1"/>
  <c r="T766" i="1" s="1"/>
  <c r="Y771" i="1"/>
  <c r="Z771" i="1"/>
  <c r="Y770" i="1"/>
  <c r="Z770" i="1"/>
  <c r="S770" i="1"/>
  <c r="T770" i="1" s="1"/>
  <c r="X769" i="1"/>
  <c r="Z769" i="1" s="1"/>
  <c r="R769" i="1"/>
  <c r="S768" i="1"/>
  <c r="T768" i="1" s="1"/>
  <c r="Z768" i="1"/>
  <c r="Z766" i="1"/>
  <c r="S771" i="1"/>
  <c r="T771" i="1" s="1"/>
  <c r="Z767" i="1"/>
  <c r="Y766" i="1"/>
  <c r="Y767" i="1"/>
  <c r="Y768" i="1"/>
  <c r="S767" i="1"/>
  <c r="T767" i="1" s="1"/>
  <c r="R765" i="1"/>
  <c r="S765" i="1"/>
  <c r="T765" i="1" s="1"/>
  <c r="X765" i="1"/>
  <c r="Z765" i="1" s="1"/>
  <c r="S764" i="1"/>
  <c r="T764" i="1" s="1"/>
  <c r="R764" i="1"/>
  <c r="S763" i="1"/>
  <c r="T763" i="1" s="1"/>
  <c r="R763" i="1"/>
  <c r="X764" i="1"/>
  <c r="Z764" i="1" s="1"/>
  <c r="X763" i="1"/>
  <c r="Z763" i="1" s="1"/>
  <c r="X675" i="1"/>
  <c r="Z675" i="1" s="1"/>
  <c r="Y675" i="1"/>
  <c r="X674" i="1"/>
  <c r="Z674" i="1" s="1"/>
  <c r="Y674" i="1"/>
  <c r="X676" i="1"/>
  <c r="Z676" i="1" s="1"/>
  <c r="Y676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746" i="1"/>
  <c r="Z746" i="1" s="1"/>
  <c r="Y746" i="1"/>
  <c r="X677" i="1"/>
  <c r="Z677" i="1" s="1"/>
  <c r="Y677" i="1"/>
  <c r="X671" i="1"/>
  <c r="Z671" i="1" s="1"/>
  <c r="Y671" i="1"/>
  <c r="X672" i="1"/>
  <c r="Z672" i="1" s="1"/>
  <c r="Y672" i="1"/>
  <c r="X673" i="1"/>
  <c r="Z673" i="1" s="1"/>
  <c r="Y673" i="1"/>
  <c r="X695" i="1"/>
  <c r="Z695" i="1" s="1"/>
  <c r="Y695" i="1"/>
  <c r="X702" i="1"/>
  <c r="Z702" i="1" s="1"/>
  <c r="Y702" i="1"/>
  <c r="X714" i="1"/>
  <c r="Z714" i="1" s="1"/>
  <c r="Y714" i="1"/>
  <c r="X715" i="1"/>
  <c r="Z715" i="1" s="1"/>
  <c r="Y715" i="1"/>
  <c r="X716" i="1"/>
  <c r="Z716" i="1" s="1"/>
  <c r="Y716" i="1"/>
  <c r="X718" i="1"/>
  <c r="Z718" i="1" s="1"/>
  <c r="Y718" i="1"/>
  <c r="X652" i="1"/>
  <c r="Z652" i="1" s="1"/>
  <c r="Y652" i="1"/>
  <c r="X693" i="1"/>
  <c r="Z693" i="1" s="1"/>
  <c r="Y693" i="1"/>
  <c r="X694" i="1"/>
  <c r="Z694" i="1" s="1"/>
  <c r="Y694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700" i="1"/>
  <c r="Z700" i="1" s="1"/>
  <c r="Y700" i="1"/>
  <c r="X651" i="1"/>
  <c r="Z651" i="1" s="1"/>
  <c r="Y651" i="1"/>
  <c r="X678" i="1"/>
  <c r="Z678" i="1" s="1"/>
  <c r="Y678" i="1"/>
  <c r="X717" i="1"/>
  <c r="Z717" i="1" s="1"/>
  <c r="Y717" i="1"/>
  <c r="X719" i="1"/>
  <c r="Z719" i="1" s="1"/>
  <c r="Y719" i="1"/>
  <c r="X720" i="1"/>
  <c r="Z720" i="1" s="1"/>
  <c r="Y720" i="1"/>
  <c r="X721" i="1"/>
  <c r="Z721" i="1" s="1"/>
  <c r="Y721" i="1"/>
  <c r="X722" i="1"/>
  <c r="Z722" i="1" s="1"/>
  <c r="Y722" i="1"/>
  <c r="X650" i="1"/>
  <c r="Z650" i="1" s="1"/>
  <c r="Y650" i="1"/>
  <c r="X653" i="1"/>
  <c r="Z653" i="1" s="1"/>
  <c r="Y653" i="1"/>
  <c r="X701" i="1"/>
  <c r="Z701" i="1" s="1"/>
  <c r="Y701" i="1"/>
  <c r="X747" i="1"/>
  <c r="Z747" i="1" s="1"/>
  <c r="Y747" i="1"/>
  <c r="Y758" i="1"/>
  <c r="X758" i="1"/>
  <c r="Z758" i="1" s="1"/>
  <c r="Y628" i="1"/>
  <c r="X628" i="1"/>
  <c r="Z628" i="1" s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X634" i="1"/>
  <c r="Z634" i="1" s="1"/>
  <c r="Y634" i="1"/>
  <c r="Y635" i="1"/>
  <c r="X635" i="1"/>
  <c r="Z635" i="1" s="1"/>
  <c r="Y636" i="1"/>
  <c r="X636" i="1"/>
  <c r="Z636" i="1" s="1"/>
  <c r="Y637" i="1"/>
  <c r="X637" i="1"/>
  <c r="Z637" i="1" s="1"/>
  <c r="Y638" i="1"/>
  <c r="X638" i="1"/>
  <c r="Z638" i="1" s="1"/>
  <c r="X639" i="1"/>
  <c r="Z639" i="1" s="1"/>
  <c r="Y639" i="1"/>
  <c r="Y640" i="1"/>
  <c r="X640" i="1"/>
  <c r="Z640" i="1" s="1"/>
  <c r="Y641" i="1"/>
  <c r="X641" i="1"/>
  <c r="Z641" i="1" s="1"/>
  <c r="X642" i="1"/>
  <c r="Z642" i="1" s="1"/>
  <c r="Y642" i="1"/>
  <c r="Y643" i="1"/>
  <c r="X643" i="1"/>
  <c r="Z643" i="1" s="1"/>
  <c r="X644" i="1"/>
  <c r="Z644" i="1" s="1"/>
  <c r="Y644" i="1"/>
  <c r="Y645" i="1"/>
  <c r="X645" i="1"/>
  <c r="Z645" i="1" s="1"/>
  <c r="X646" i="1"/>
  <c r="Z646" i="1" s="1"/>
  <c r="Y646" i="1"/>
  <c r="X647" i="1"/>
  <c r="Z647" i="1" s="1"/>
  <c r="Y647" i="1"/>
  <c r="X648" i="1"/>
  <c r="Z648" i="1" s="1"/>
  <c r="Y648" i="1"/>
  <c r="X649" i="1"/>
  <c r="Z649" i="1" s="1"/>
  <c r="Y649" i="1"/>
  <c r="X654" i="1"/>
  <c r="Z654" i="1" s="1"/>
  <c r="Y654" i="1"/>
  <c r="Y655" i="1"/>
  <c r="X655" i="1"/>
  <c r="Z655" i="1" s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X660" i="1"/>
  <c r="Z660" i="1" s="1"/>
  <c r="Y660" i="1"/>
  <c r="Y661" i="1"/>
  <c r="X661" i="1"/>
  <c r="Z661" i="1" s="1"/>
  <c r="X662" i="1"/>
  <c r="Z662" i="1" s="1"/>
  <c r="Y662" i="1"/>
  <c r="X663" i="1"/>
  <c r="Z663" i="1" s="1"/>
  <c r="Y663" i="1"/>
  <c r="Y664" i="1"/>
  <c r="X664" i="1"/>
  <c r="Z664" i="1" s="1"/>
  <c r="X665" i="1"/>
  <c r="Z665" i="1" s="1"/>
  <c r="Y665" i="1"/>
  <c r="Y666" i="1"/>
  <c r="X666" i="1"/>
  <c r="Z666" i="1" s="1"/>
  <c r="Y667" i="1"/>
  <c r="X667" i="1"/>
  <c r="Z667" i="1" s="1"/>
  <c r="X668" i="1"/>
  <c r="Z668" i="1" s="1"/>
  <c r="Y668" i="1"/>
  <c r="Y669" i="1"/>
  <c r="X669" i="1"/>
  <c r="Z669" i="1" s="1"/>
  <c r="Y670" i="1"/>
  <c r="X670" i="1"/>
  <c r="Z670" i="1" s="1"/>
  <c r="Y679" i="1"/>
  <c r="X679" i="1"/>
  <c r="Z679" i="1" s="1"/>
  <c r="X680" i="1"/>
  <c r="Z680" i="1" s="1"/>
  <c r="Y680" i="1"/>
  <c r="Y681" i="1"/>
  <c r="X681" i="1"/>
  <c r="Z681" i="1" s="1"/>
  <c r="Y682" i="1"/>
  <c r="X682" i="1"/>
  <c r="Z682" i="1" s="1"/>
  <c r="X683" i="1"/>
  <c r="Z683" i="1" s="1"/>
  <c r="Y683" i="1"/>
  <c r="X684" i="1"/>
  <c r="Z684" i="1" s="1"/>
  <c r="Y684" i="1"/>
  <c r="X685" i="1"/>
  <c r="Z685" i="1" s="1"/>
  <c r="Y685" i="1"/>
  <c r="X686" i="1"/>
  <c r="Z686" i="1" s="1"/>
  <c r="Y686" i="1"/>
  <c r="Y687" i="1"/>
  <c r="X687" i="1"/>
  <c r="Z687" i="1" s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X692" i="1"/>
  <c r="Z692" i="1" s="1"/>
  <c r="Y692" i="1"/>
  <c r="Y703" i="1"/>
  <c r="X703" i="1"/>
  <c r="Z703" i="1" s="1"/>
  <c r="Y704" i="1"/>
  <c r="X704" i="1"/>
  <c r="Z704" i="1" s="1"/>
  <c r="X705" i="1"/>
  <c r="Z705" i="1" s="1"/>
  <c r="Y705" i="1"/>
  <c r="Y706" i="1"/>
  <c r="X706" i="1"/>
  <c r="Z706" i="1" s="1"/>
  <c r="Y707" i="1"/>
  <c r="X707" i="1"/>
  <c r="Z707" i="1" s="1"/>
  <c r="X708" i="1"/>
  <c r="Z708" i="1" s="1"/>
  <c r="Y708" i="1"/>
  <c r="X709" i="1"/>
  <c r="Z709" i="1" s="1"/>
  <c r="Y709" i="1"/>
  <c r="X710" i="1"/>
  <c r="Z710" i="1" s="1"/>
  <c r="Y710" i="1"/>
  <c r="Y711" i="1"/>
  <c r="X711" i="1"/>
  <c r="Z711" i="1" s="1"/>
  <c r="Y712" i="1"/>
  <c r="X712" i="1"/>
  <c r="Z712" i="1" s="1"/>
  <c r="Y713" i="1"/>
  <c r="X713" i="1"/>
  <c r="Z713" i="1" s="1"/>
  <c r="Y723" i="1"/>
  <c r="X723" i="1"/>
  <c r="Z723" i="1" s="1"/>
  <c r="Y724" i="1"/>
  <c r="X724" i="1"/>
  <c r="Z724" i="1" s="1"/>
  <c r="X725" i="1"/>
  <c r="Z725" i="1" s="1"/>
  <c r="Y725" i="1"/>
  <c r="Y726" i="1"/>
  <c r="X726" i="1"/>
  <c r="Z726" i="1" s="1"/>
  <c r="X727" i="1"/>
  <c r="Z727" i="1" s="1"/>
  <c r="Y727" i="1"/>
  <c r="X728" i="1"/>
  <c r="Z728" i="1" s="1"/>
  <c r="Y728" i="1"/>
  <c r="X729" i="1"/>
  <c r="Z729" i="1" s="1"/>
  <c r="Y729" i="1"/>
  <c r="Y730" i="1"/>
  <c r="X730" i="1"/>
  <c r="Z730" i="1" s="1"/>
  <c r="X731" i="1"/>
  <c r="Z731" i="1" s="1"/>
  <c r="Y731" i="1"/>
  <c r="Y732" i="1"/>
  <c r="X732" i="1"/>
  <c r="Z732" i="1" s="1"/>
  <c r="X733" i="1"/>
  <c r="Z733" i="1" s="1"/>
  <c r="Y733" i="1"/>
  <c r="Y734" i="1"/>
  <c r="X734" i="1"/>
  <c r="Z734" i="1" s="1"/>
  <c r="X735" i="1"/>
  <c r="Z735" i="1" s="1"/>
  <c r="Y735" i="1"/>
  <c r="Y748" i="1"/>
  <c r="X748" i="1"/>
  <c r="Z748" i="1" s="1"/>
  <c r="X749" i="1"/>
  <c r="Z749" i="1" s="1"/>
  <c r="Y749" i="1"/>
  <c r="X750" i="1"/>
  <c r="Z750" i="1" s="1"/>
  <c r="Y750" i="1"/>
  <c r="Y751" i="1"/>
  <c r="X751" i="1"/>
  <c r="Z751" i="1" s="1"/>
  <c r="X752" i="1"/>
  <c r="Z752" i="1" s="1"/>
  <c r="Y752" i="1"/>
  <c r="X753" i="1"/>
  <c r="Z753" i="1" s="1"/>
  <c r="Y753" i="1"/>
  <c r="Y754" i="1"/>
  <c r="X754" i="1"/>
  <c r="Z754" i="1" s="1"/>
  <c r="X755" i="1"/>
  <c r="Z755" i="1" s="1"/>
  <c r="Y755" i="1"/>
  <c r="X756" i="1"/>
  <c r="Z756" i="1" s="1"/>
  <c r="Y756" i="1"/>
  <c r="Y757" i="1"/>
  <c r="X757" i="1"/>
  <c r="Z757" i="1" s="1"/>
  <c r="X759" i="1"/>
  <c r="Z759" i="1" s="1"/>
  <c r="Y759" i="1"/>
  <c r="X760" i="1"/>
  <c r="Z760" i="1" s="1"/>
  <c r="Y760" i="1"/>
  <c r="Y761" i="1"/>
  <c r="X761" i="1"/>
  <c r="Z761" i="1" s="1"/>
  <c r="Y762" i="1"/>
  <c r="X762" i="1"/>
  <c r="Z762" i="1" s="1"/>
  <c r="T626" i="1"/>
  <c r="R626" i="1"/>
  <c r="R627" i="1"/>
  <c r="T627" i="1"/>
  <c r="X626" i="1"/>
  <c r="Z626" i="1" s="1"/>
  <c r="Y626" i="1"/>
  <c r="X627" i="1"/>
  <c r="Z627" i="1" s="1"/>
  <c r="Y627" i="1"/>
  <c r="R625" i="1"/>
  <c r="T625" i="1"/>
  <c r="X625" i="1"/>
  <c r="Z625" i="1" s="1"/>
  <c r="Y625" i="1"/>
  <c r="Y624" i="1"/>
  <c r="X624" i="1"/>
  <c r="Z624" i="1" s="1"/>
  <c r="R624" i="1"/>
  <c r="T624" i="1"/>
  <c r="X98" i="1"/>
  <c r="Y98" i="1"/>
  <c r="T622" i="1"/>
  <c r="R622" i="1"/>
  <c r="Y122" i="1"/>
  <c r="X122" i="1"/>
  <c r="Y90" i="1"/>
  <c r="X90" i="1"/>
  <c r="Y82" i="1"/>
  <c r="X82" i="1"/>
  <c r="Y67" i="1"/>
  <c r="X67" i="1"/>
  <c r="Y48" i="1"/>
  <c r="X48" i="1"/>
  <c r="Y153" i="1"/>
  <c r="X153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9" i="1"/>
  <c r="X609" i="1"/>
  <c r="T623" i="1"/>
  <c r="R623" i="1"/>
  <c r="T618" i="1"/>
  <c r="R618" i="1"/>
  <c r="T619" i="1"/>
  <c r="R619" i="1"/>
  <c r="T620" i="1"/>
  <c r="R620" i="1"/>
  <c r="T621" i="1"/>
  <c r="R621" i="1"/>
  <c r="X623" i="1"/>
  <c r="Z623" i="1" s="1"/>
  <c r="Y623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Y618" i="1"/>
  <c r="X618" i="1"/>
  <c r="Z618" i="1" s="1"/>
  <c r="Y617" i="1"/>
  <c r="X617" i="1"/>
  <c r="X616" i="1"/>
  <c r="Y616" i="1"/>
  <c r="Y615" i="1"/>
  <c r="X615" i="1"/>
  <c r="Y614" i="1"/>
  <c r="X614" i="1"/>
  <c r="Y613" i="1"/>
  <c r="X613" i="1"/>
  <c r="X612" i="1"/>
  <c r="Y612" i="1"/>
  <c r="X611" i="1"/>
  <c r="Y611" i="1"/>
  <c r="X610" i="1"/>
  <c r="Y610" i="1"/>
  <c r="Y608" i="1"/>
  <c r="X608" i="1"/>
  <c r="Y607" i="1"/>
  <c r="X607" i="1"/>
  <c r="H616" i="1" l="1"/>
  <c r="S616" i="1" s="1"/>
  <c r="H612" i="1"/>
  <c r="S612" i="1" s="1"/>
  <c r="H613" i="1"/>
  <c r="S613" i="1" s="1"/>
  <c r="H614" i="1"/>
  <c r="S614" i="1" s="1"/>
  <c r="H615" i="1"/>
  <c r="S615" i="1" s="1"/>
  <c r="H617" i="1"/>
  <c r="S617" i="1" s="1"/>
  <c r="H611" i="1"/>
  <c r="S611" i="1" s="1"/>
  <c r="H607" i="1"/>
  <c r="S607" i="1" s="1"/>
  <c r="H608" i="1"/>
  <c r="S608" i="1" s="1"/>
  <c r="H609" i="1"/>
  <c r="S609" i="1" s="1"/>
  <c r="H610" i="1"/>
  <c r="S610" i="1" s="1"/>
  <c r="U453" i="1"/>
  <c r="U454" i="1"/>
  <c r="U455" i="1"/>
  <c r="Y455" i="1" s="1"/>
  <c r="U456" i="1"/>
  <c r="U457" i="1"/>
  <c r="U458" i="1"/>
  <c r="U459" i="1"/>
  <c r="Y459" i="1" s="1"/>
  <c r="U451" i="1"/>
  <c r="Y451" i="1" s="1"/>
  <c r="U452" i="1"/>
  <c r="X452" i="1" s="1"/>
  <c r="V459" i="1"/>
  <c r="V458" i="1"/>
  <c r="V457" i="1"/>
  <c r="V456" i="1"/>
  <c r="V455" i="1"/>
  <c r="V454" i="1"/>
  <c r="V453" i="1"/>
  <c r="V452" i="1"/>
  <c r="V451" i="1"/>
  <c r="U604" i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H605" i="1"/>
  <c r="S605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6" i="1" l="1"/>
  <c r="T616" i="1"/>
  <c r="R616" i="1"/>
  <c r="Z612" i="1"/>
  <c r="R612" i="1"/>
  <c r="T612" i="1"/>
  <c r="T613" i="1"/>
  <c r="R613" i="1"/>
  <c r="Z613" i="1"/>
  <c r="T614" i="1"/>
  <c r="R614" i="1"/>
  <c r="Z614" i="1"/>
  <c r="R615" i="1"/>
  <c r="Z615" i="1"/>
  <c r="T615" i="1"/>
  <c r="R617" i="1"/>
  <c r="T617" i="1"/>
  <c r="Z617" i="1"/>
  <c r="R611" i="1"/>
  <c r="Z611" i="1"/>
  <c r="T611" i="1"/>
  <c r="T607" i="1"/>
  <c r="R607" i="1"/>
  <c r="Z607" i="1"/>
  <c r="R608" i="1"/>
  <c r="T608" i="1"/>
  <c r="Z608" i="1"/>
  <c r="Z609" i="1"/>
  <c r="R609" i="1"/>
  <c r="T609" i="1"/>
  <c r="T610" i="1"/>
  <c r="R610" i="1"/>
  <c r="Z610" i="1"/>
  <c r="Y454" i="1"/>
  <c r="X454" i="1"/>
  <c r="Y453" i="1"/>
  <c r="X453" i="1"/>
  <c r="X456" i="1"/>
  <c r="Y456" i="1"/>
  <c r="Y457" i="1"/>
  <c r="X457" i="1"/>
  <c r="X458" i="1"/>
  <c r="Y458" i="1"/>
  <c r="X455" i="1"/>
  <c r="X459" i="1"/>
  <c r="Y452" i="1"/>
  <c r="X451" i="1"/>
  <c r="H448" i="1"/>
  <c r="H449" i="1"/>
  <c r="H450" i="1"/>
  <c r="S450" i="1" s="1"/>
  <c r="H451" i="1"/>
  <c r="S451" i="1" s="1"/>
  <c r="H452" i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H459" i="1"/>
  <c r="S459" i="1" s="1"/>
  <c r="Q456" i="1"/>
  <c r="Q457" i="1"/>
  <c r="Q458" i="1"/>
  <c r="Q459" i="1"/>
  <c r="Q451" i="1"/>
  <c r="Q452" i="1"/>
  <c r="Q453" i="1"/>
  <c r="Q454" i="1"/>
  <c r="Q455" i="1"/>
  <c r="H556" i="1"/>
  <c r="H555" i="1"/>
  <c r="S555" i="1" s="1"/>
  <c r="H554" i="1"/>
  <c r="S554" i="1" s="1"/>
  <c r="H553" i="1"/>
  <c r="S553" i="1" s="1"/>
  <c r="H552" i="1"/>
  <c r="H551" i="1"/>
  <c r="S551" i="1" s="1"/>
  <c r="T551" i="1" s="1"/>
  <c r="H550" i="1"/>
  <c r="S550" i="1" s="1"/>
  <c r="H549" i="1"/>
  <c r="S549" i="1" s="1"/>
  <c r="T549" i="1" s="1"/>
  <c r="H548" i="1"/>
  <c r="S548" i="1" s="1"/>
  <c r="T548" i="1" s="1"/>
  <c r="H547" i="1"/>
  <c r="H546" i="1"/>
  <c r="H545" i="1"/>
  <c r="H544" i="1"/>
  <c r="H543" i="1"/>
  <c r="S543" i="1" s="1"/>
  <c r="H542" i="1"/>
  <c r="H541" i="1"/>
  <c r="S541" i="1" s="1"/>
  <c r="H540" i="1"/>
  <c r="S540" i="1" s="1"/>
  <c r="H539" i="1"/>
  <c r="S539" i="1" s="1"/>
  <c r="T539" i="1" s="1"/>
  <c r="H538" i="1"/>
  <c r="S538" i="1" s="1"/>
  <c r="H537" i="1"/>
  <c r="H536" i="1"/>
  <c r="S536" i="1" s="1"/>
  <c r="H535" i="1"/>
  <c r="H534" i="1"/>
  <c r="H533" i="1"/>
  <c r="S533" i="1" s="1"/>
  <c r="H532" i="1"/>
  <c r="S532" i="1" s="1"/>
  <c r="T532" i="1" s="1"/>
  <c r="H531" i="1"/>
  <c r="S531" i="1" s="1"/>
  <c r="H530" i="1"/>
  <c r="S530" i="1" s="1"/>
  <c r="H529" i="1"/>
  <c r="H528" i="1"/>
  <c r="S528" i="1" s="1"/>
  <c r="H527" i="1"/>
  <c r="S527" i="1" s="1"/>
  <c r="H526" i="1"/>
  <c r="H525" i="1"/>
  <c r="S525" i="1" s="1"/>
  <c r="H524" i="1"/>
  <c r="S524" i="1" s="1"/>
  <c r="H523" i="1"/>
  <c r="S523" i="1" s="1"/>
  <c r="H522" i="1"/>
  <c r="S522" i="1" s="1"/>
  <c r="H521" i="1"/>
  <c r="H520" i="1"/>
  <c r="H519" i="1"/>
  <c r="H518" i="1"/>
  <c r="H517" i="1"/>
  <c r="S517" i="1" s="1"/>
  <c r="H516" i="1"/>
  <c r="H515" i="1"/>
  <c r="H514" i="1"/>
  <c r="H513" i="1"/>
  <c r="H512" i="1"/>
  <c r="H511" i="1"/>
  <c r="H510" i="1"/>
  <c r="H509" i="1"/>
  <c r="H508" i="1"/>
  <c r="S508" i="1" s="1"/>
  <c r="T508" i="1" s="1"/>
  <c r="H507" i="1"/>
  <c r="H506" i="1"/>
  <c r="S506" i="1" s="1"/>
  <c r="H505" i="1"/>
  <c r="S505" i="1" s="1"/>
  <c r="H504" i="1"/>
  <c r="S504" i="1" s="1"/>
  <c r="H503" i="1"/>
  <c r="S503" i="1" s="1"/>
  <c r="H502" i="1"/>
  <c r="H501" i="1"/>
  <c r="H500" i="1"/>
  <c r="S500" i="1" s="1"/>
  <c r="H499" i="1"/>
  <c r="S499" i="1" s="1"/>
  <c r="H498" i="1"/>
  <c r="S498" i="1" s="1"/>
  <c r="H497" i="1"/>
  <c r="H496" i="1"/>
  <c r="H495" i="1"/>
  <c r="H494" i="1"/>
  <c r="S494" i="1" s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H484" i="1"/>
  <c r="H483" i="1"/>
  <c r="H482" i="1"/>
  <c r="S482" i="1" s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S465" i="1" s="1"/>
  <c r="H464" i="1"/>
  <c r="H463" i="1"/>
  <c r="H462" i="1"/>
  <c r="H461" i="1"/>
  <c r="H460" i="1"/>
  <c r="H439" i="1"/>
  <c r="S439" i="1" s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6" i="1"/>
  <c r="V606" i="1"/>
  <c r="Q606" i="1"/>
  <c r="Q556" i="1"/>
  <c r="H606" i="1"/>
  <c r="S606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1" i="1"/>
  <c r="AO441" i="1"/>
  <c r="W441" i="1" s="1"/>
  <c r="AP441" i="1"/>
  <c r="AQ441" i="1"/>
  <c r="AR441" i="1"/>
  <c r="AU441" i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0" i="1"/>
  <c r="AO450" i="1"/>
  <c r="W450" i="1" s="1"/>
  <c r="AP450" i="1"/>
  <c r="AQ450" i="1"/>
  <c r="AR450" i="1"/>
  <c r="AU450" i="1"/>
  <c r="AT450" i="1" s="1"/>
  <c r="AV450" i="1"/>
  <c r="AS450" i="1" s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AK605" i="1"/>
  <c r="AO605" i="1"/>
  <c r="W605" i="1" s="1"/>
  <c r="AP605" i="1"/>
  <c r="AQ605" i="1"/>
  <c r="AR605" i="1"/>
  <c r="AU605" i="1"/>
  <c r="AT605" i="1" s="1"/>
  <c r="AV605" i="1"/>
  <c r="AS605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H447" i="1"/>
  <c r="S447" i="1" s="1"/>
  <c r="T558" i="1"/>
  <c r="T559" i="1"/>
  <c r="T560" i="1"/>
  <c r="T561" i="1"/>
  <c r="T563" i="1"/>
  <c r="T564" i="1"/>
  <c r="T566" i="1"/>
  <c r="T567" i="1"/>
  <c r="T568" i="1"/>
  <c r="T569" i="1"/>
  <c r="T571" i="1"/>
  <c r="T572" i="1"/>
  <c r="T574" i="1"/>
  <c r="T575" i="1"/>
  <c r="T576" i="1"/>
  <c r="T577" i="1"/>
  <c r="T579" i="1"/>
  <c r="T580" i="1"/>
  <c r="T582" i="1"/>
  <c r="T583" i="1"/>
  <c r="T584" i="1"/>
  <c r="T585" i="1"/>
  <c r="T587" i="1"/>
  <c r="T588" i="1"/>
  <c r="T590" i="1"/>
  <c r="T591" i="1"/>
  <c r="T592" i="1"/>
  <c r="T593" i="1"/>
  <c r="T595" i="1"/>
  <c r="T596" i="1"/>
  <c r="T598" i="1"/>
  <c r="T599" i="1"/>
  <c r="T600" i="1"/>
  <c r="T601" i="1"/>
  <c r="T603" i="1"/>
  <c r="T604" i="1"/>
  <c r="T605" i="1"/>
  <c r="AK440" i="1"/>
  <c r="AO440" i="1"/>
  <c r="W440" i="1" s="1"/>
  <c r="AP440" i="1"/>
  <c r="AQ440" i="1"/>
  <c r="AR440" i="1"/>
  <c r="AU440" i="1"/>
  <c r="U441" i="1"/>
  <c r="X441" i="1" s="1"/>
  <c r="V441" i="1"/>
  <c r="U442" i="1"/>
  <c r="V442" i="1"/>
  <c r="U443" i="1"/>
  <c r="X443" i="1" s="1"/>
  <c r="V443" i="1"/>
  <c r="U444" i="1"/>
  <c r="X444" i="1" s="1"/>
  <c r="V444" i="1"/>
  <c r="U445" i="1"/>
  <c r="V445" i="1"/>
  <c r="U446" i="1"/>
  <c r="V446" i="1"/>
  <c r="U447" i="1"/>
  <c r="V447" i="1"/>
  <c r="U448" i="1"/>
  <c r="V448" i="1"/>
  <c r="U449" i="1"/>
  <c r="V449" i="1"/>
  <c r="U450" i="1"/>
  <c r="X450" i="1" s="1"/>
  <c r="V450" i="1"/>
  <c r="V460" i="1"/>
  <c r="U461" i="1"/>
  <c r="V461" i="1"/>
  <c r="U462" i="1"/>
  <c r="V462" i="1"/>
  <c r="V463" i="1"/>
  <c r="V464" i="1"/>
  <c r="V465" i="1"/>
  <c r="U466" i="1"/>
  <c r="X466" i="1" s="1"/>
  <c r="V466" i="1"/>
  <c r="U467" i="1"/>
  <c r="X467" i="1" s="1"/>
  <c r="V467" i="1"/>
  <c r="U468" i="1"/>
  <c r="V468" i="1"/>
  <c r="U469" i="1"/>
  <c r="V469" i="1"/>
  <c r="U470" i="1"/>
  <c r="V470" i="1"/>
  <c r="U471" i="1"/>
  <c r="X471" i="1" s="1"/>
  <c r="V471" i="1"/>
  <c r="V472" i="1"/>
  <c r="V473" i="1"/>
  <c r="X474" i="1"/>
  <c r="V474" i="1"/>
  <c r="U475" i="1"/>
  <c r="X475" i="1" s="1"/>
  <c r="V475" i="1"/>
  <c r="V476" i="1"/>
  <c r="U477" i="1"/>
  <c r="V477" i="1"/>
  <c r="U478" i="1"/>
  <c r="V478" i="1"/>
  <c r="U479" i="1"/>
  <c r="V479" i="1"/>
  <c r="U480" i="1"/>
  <c r="V480" i="1"/>
  <c r="U481" i="1"/>
  <c r="V481" i="1"/>
  <c r="U482" i="1"/>
  <c r="X482" i="1" s="1"/>
  <c r="V482" i="1"/>
  <c r="X483" i="1"/>
  <c r="V483" i="1"/>
  <c r="V484" i="1"/>
  <c r="V485" i="1"/>
  <c r="V486" i="1"/>
  <c r="V487" i="1"/>
  <c r="V488" i="1"/>
  <c r="V489" i="1"/>
  <c r="X490" i="1"/>
  <c r="V490" i="1"/>
  <c r="X491" i="1"/>
  <c r="V491" i="1"/>
  <c r="V492" i="1"/>
  <c r="V493" i="1"/>
  <c r="V494" i="1"/>
  <c r="V495" i="1"/>
  <c r="V496" i="1"/>
  <c r="V497" i="1"/>
  <c r="X498" i="1"/>
  <c r="V498" i="1"/>
  <c r="X499" i="1"/>
  <c r="V499" i="1"/>
  <c r="V500" i="1"/>
  <c r="U501" i="1"/>
  <c r="V501" i="1"/>
  <c r="U502" i="1"/>
  <c r="V502" i="1"/>
  <c r="V503" i="1"/>
  <c r="V504" i="1"/>
  <c r="X505" i="1"/>
  <c r="V505" i="1"/>
  <c r="X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V512" i="1"/>
  <c r="U513" i="1"/>
  <c r="X513" i="1" s="1"/>
  <c r="V513" i="1"/>
  <c r="U514" i="1"/>
  <c r="X514" i="1" s="1"/>
  <c r="V514" i="1"/>
  <c r="U515" i="1"/>
  <c r="V515" i="1"/>
  <c r="U516" i="1"/>
  <c r="V516" i="1"/>
  <c r="V517" i="1"/>
  <c r="U518" i="1"/>
  <c r="V518" i="1"/>
  <c r="U519" i="1"/>
  <c r="V519" i="1"/>
  <c r="V520" i="1"/>
  <c r="X521" i="1"/>
  <c r="V521" i="1"/>
  <c r="X522" i="1"/>
  <c r="V522" i="1"/>
  <c r="V523" i="1"/>
  <c r="V524" i="1"/>
  <c r="V525" i="1"/>
  <c r="V526" i="1"/>
  <c r="V527" i="1"/>
  <c r="U528" i="1"/>
  <c r="V528" i="1"/>
  <c r="X529" i="1"/>
  <c r="V529" i="1"/>
  <c r="X530" i="1"/>
  <c r="V530" i="1"/>
  <c r="V531" i="1"/>
  <c r="V532" i="1"/>
  <c r="V533" i="1"/>
  <c r="V534" i="1"/>
  <c r="V535" i="1"/>
  <c r="V536" i="1"/>
  <c r="X537" i="1"/>
  <c r="V537" i="1"/>
  <c r="X538" i="1"/>
  <c r="V538" i="1"/>
  <c r="V539" i="1"/>
  <c r="U540" i="1"/>
  <c r="V540" i="1"/>
  <c r="U541" i="1"/>
  <c r="V541" i="1"/>
  <c r="V542" i="1"/>
  <c r="V543" i="1"/>
  <c r="V544" i="1"/>
  <c r="X545" i="1"/>
  <c r="V545" i="1"/>
  <c r="U546" i="1"/>
  <c r="X546" i="1" s="1"/>
  <c r="V546" i="1"/>
  <c r="V547" i="1"/>
  <c r="V548" i="1"/>
  <c r="V549" i="1"/>
  <c r="U550" i="1"/>
  <c r="V550" i="1"/>
  <c r="V551" i="1"/>
  <c r="V552" i="1"/>
  <c r="X553" i="1"/>
  <c r="V553" i="1"/>
  <c r="X554" i="1"/>
  <c r="V554" i="1"/>
  <c r="V555" i="1"/>
  <c r="V556" i="1"/>
  <c r="U557" i="1"/>
  <c r="V557" i="1"/>
  <c r="U558" i="1"/>
  <c r="V558" i="1"/>
  <c r="U559" i="1"/>
  <c r="V559" i="1"/>
  <c r="U560" i="1"/>
  <c r="V560" i="1"/>
  <c r="U561" i="1"/>
  <c r="X561" i="1" s="1"/>
  <c r="Z561" i="1" s="1"/>
  <c r="V561" i="1"/>
  <c r="U562" i="1"/>
  <c r="X562" i="1" s="1"/>
  <c r="Z562" i="1" s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V569" i="1"/>
  <c r="U570" i="1"/>
  <c r="X570" i="1" s="1"/>
  <c r="Z570" i="1" s="1"/>
  <c r="V570" i="1"/>
  <c r="U571" i="1"/>
  <c r="V571" i="1"/>
  <c r="U572" i="1"/>
  <c r="V572" i="1"/>
  <c r="U573" i="1"/>
  <c r="V573" i="1"/>
  <c r="U574" i="1"/>
  <c r="V574" i="1"/>
  <c r="U575" i="1"/>
  <c r="X575" i="1" s="1"/>
  <c r="Z575" i="1" s="1"/>
  <c r="V575" i="1"/>
  <c r="U576" i="1"/>
  <c r="Y576" i="1" s="1"/>
  <c r="V576" i="1"/>
  <c r="U577" i="1"/>
  <c r="X577" i="1" s="1"/>
  <c r="Z577" i="1" s="1"/>
  <c r="V577" i="1"/>
  <c r="U578" i="1"/>
  <c r="V578" i="1"/>
  <c r="U579" i="1"/>
  <c r="V579" i="1"/>
  <c r="U580" i="1"/>
  <c r="V580" i="1"/>
  <c r="U581" i="1"/>
  <c r="X581" i="1" s="1"/>
  <c r="Z581" i="1" s="1"/>
  <c r="V581" i="1"/>
  <c r="U582" i="1"/>
  <c r="V582" i="1"/>
  <c r="U583" i="1"/>
  <c r="X583" i="1" s="1"/>
  <c r="Z583" i="1" s="1"/>
  <c r="V583" i="1"/>
  <c r="U584" i="1"/>
  <c r="V584" i="1"/>
  <c r="U585" i="1"/>
  <c r="V585" i="1"/>
  <c r="U586" i="1"/>
  <c r="V586" i="1"/>
  <c r="U587" i="1"/>
  <c r="X587" i="1" s="1"/>
  <c r="Z587" i="1" s="1"/>
  <c r="V587" i="1"/>
  <c r="U588" i="1"/>
  <c r="V588" i="1"/>
  <c r="U589" i="1"/>
  <c r="V589" i="1"/>
  <c r="U590" i="1"/>
  <c r="V590" i="1"/>
  <c r="U591" i="1"/>
  <c r="X591" i="1" s="1"/>
  <c r="Z591" i="1" s="1"/>
  <c r="V591" i="1"/>
  <c r="U592" i="1"/>
  <c r="Y592" i="1" s="1"/>
  <c r="V592" i="1"/>
  <c r="U593" i="1"/>
  <c r="X593" i="1" s="1"/>
  <c r="Z593" i="1" s="1"/>
  <c r="V593" i="1"/>
  <c r="U594" i="1"/>
  <c r="X594" i="1" s="1"/>
  <c r="Z594" i="1" s="1"/>
  <c r="V594" i="1"/>
  <c r="U595" i="1"/>
  <c r="X595" i="1" s="1"/>
  <c r="Z595" i="1" s="1"/>
  <c r="V595" i="1"/>
  <c r="U596" i="1"/>
  <c r="V596" i="1"/>
  <c r="U597" i="1"/>
  <c r="X597" i="1" s="1"/>
  <c r="Z597" i="1" s="1"/>
  <c r="V597" i="1"/>
  <c r="U598" i="1"/>
  <c r="V598" i="1"/>
  <c r="U599" i="1"/>
  <c r="V599" i="1"/>
  <c r="R600" i="1"/>
  <c r="U600" i="1"/>
  <c r="V600" i="1"/>
  <c r="U601" i="1"/>
  <c r="V601" i="1"/>
  <c r="U602" i="1"/>
  <c r="V602" i="1"/>
  <c r="U603" i="1"/>
  <c r="V603" i="1"/>
  <c r="V604" i="1"/>
  <c r="U605" i="1"/>
  <c r="X605" i="1" s="1"/>
  <c r="V605" i="1"/>
  <c r="Q441" i="1"/>
  <c r="Q442" i="1"/>
  <c r="Q443" i="1"/>
  <c r="Q444" i="1"/>
  <c r="Q445" i="1"/>
  <c r="Q446" i="1"/>
  <c r="Q447" i="1"/>
  <c r="Q448" i="1"/>
  <c r="Q449" i="1"/>
  <c r="Q450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H440" i="1"/>
  <c r="V440" i="1"/>
  <c r="U440" i="1"/>
  <c r="Y440" i="1" s="1"/>
  <c r="Q440" i="1"/>
  <c r="U356" i="1"/>
  <c r="V356" i="1"/>
  <c r="W356" i="1"/>
  <c r="U357" i="1"/>
  <c r="V357" i="1"/>
  <c r="W357" i="1"/>
  <c r="V358" i="1"/>
  <c r="V359" i="1"/>
  <c r="U360" i="1"/>
  <c r="V360" i="1"/>
  <c r="W360" i="1"/>
  <c r="U361" i="1"/>
  <c r="V361" i="1"/>
  <c r="W361" i="1"/>
  <c r="U362" i="1"/>
  <c r="V362" i="1"/>
  <c r="W362" i="1"/>
  <c r="U363" i="1"/>
  <c r="V363" i="1"/>
  <c r="W363" i="1"/>
  <c r="U364" i="1"/>
  <c r="V364" i="1"/>
  <c r="W364" i="1"/>
  <c r="U365" i="1"/>
  <c r="V365" i="1"/>
  <c r="W365" i="1"/>
  <c r="U366" i="1"/>
  <c r="V366" i="1"/>
  <c r="W366" i="1"/>
  <c r="U367" i="1"/>
  <c r="V367" i="1"/>
  <c r="W367" i="1"/>
  <c r="U368" i="1"/>
  <c r="V368" i="1"/>
  <c r="W368" i="1"/>
  <c r="U369" i="1"/>
  <c r="V369" i="1"/>
  <c r="W369" i="1"/>
  <c r="U370" i="1"/>
  <c r="V370" i="1"/>
  <c r="W370" i="1"/>
  <c r="U371" i="1"/>
  <c r="V371" i="1"/>
  <c r="W371" i="1"/>
  <c r="U372" i="1"/>
  <c r="V372" i="1"/>
  <c r="W372" i="1"/>
  <c r="U373" i="1"/>
  <c r="V373" i="1"/>
  <c r="W373" i="1"/>
  <c r="U374" i="1"/>
  <c r="V374" i="1"/>
  <c r="W374" i="1"/>
  <c r="U375" i="1"/>
  <c r="V375" i="1"/>
  <c r="W375" i="1"/>
  <c r="U376" i="1"/>
  <c r="V376" i="1"/>
  <c r="W376" i="1"/>
  <c r="U377" i="1"/>
  <c r="V377" i="1"/>
  <c r="W377" i="1"/>
  <c r="U378" i="1"/>
  <c r="V378" i="1"/>
  <c r="W378" i="1"/>
  <c r="U379" i="1"/>
  <c r="V379" i="1"/>
  <c r="W379" i="1"/>
  <c r="U380" i="1"/>
  <c r="V380" i="1"/>
  <c r="W380" i="1"/>
  <c r="U381" i="1"/>
  <c r="V381" i="1"/>
  <c r="W381" i="1"/>
  <c r="U382" i="1"/>
  <c r="V382" i="1"/>
  <c r="W382" i="1"/>
  <c r="U383" i="1"/>
  <c r="V383" i="1"/>
  <c r="W383" i="1"/>
  <c r="U384" i="1"/>
  <c r="V384" i="1"/>
  <c r="W384" i="1"/>
  <c r="U385" i="1"/>
  <c r="V385" i="1"/>
  <c r="W385" i="1"/>
  <c r="U386" i="1"/>
  <c r="V386" i="1"/>
  <c r="W386" i="1"/>
  <c r="U387" i="1"/>
  <c r="V387" i="1"/>
  <c r="W387" i="1"/>
  <c r="U388" i="1"/>
  <c r="V388" i="1"/>
  <c r="W388" i="1"/>
  <c r="U389" i="1"/>
  <c r="V389" i="1"/>
  <c r="W389" i="1"/>
  <c r="U390" i="1"/>
  <c r="V390" i="1"/>
  <c r="W390" i="1"/>
  <c r="U391" i="1"/>
  <c r="V391" i="1"/>
  <c r="W391" i="1"/>
  <c r="U392" i="1"/>
  <c r="V392" i="1"/>
  <c r="W392" i="1"/>
  <c r="U393" i="1"/>
  <c r="V393" i="1"/>
  <c r="W393" i="1"/>
  <c r="U394" i="1"/>
  <c r="V394" i="1"/>
  <c r="W394" i="1"/>
  <c r="U395" i="1"/>
  <c r="V395" i="1"/>
  <c r="W395" i="1"/>
  <c r="U396" i="1"/>
  <c r="V396" i="1"/>
  <c r="W396" i="1"/>
  <c r="U397" i="1"/>
  <c r="V397" i="1"/>
  <c r="W397" i="1"/>
  <c r="U398" i="1"/>
  <c r="V398" i="1"/>
  <c r="W398" i="1"/>
  <c r="U399" i="1"/>
  <c r="V399" i="1"/>
  <c r="W399" i="1"/>
  <c r="V400" i="1"/>
  <c r="V401" i="1"/>
  <c r="V402" i="1"/>
  <c r="V403" i="1"/>
  <c r="U404" i="1"/>
  <c r="V404" i="1"/>
  <c r="W404" i="1"/>
  <c r="U405" i="1"/>
  <c r="V405" i="1"/>
  <c r="W405" i="1"/>
  <c r="U406" i="1"/>
  <c r="V406" i="1"/>
  <c r="W406" i="1"/>
  <c r="U407" i="1"/>
  <c r="V407" i="1"/>
  <c r="W407" i="1"/>
  <c r="U408" i="1"/>
  <c r="V408" i="1"/>
  <c r="W408" i="1"/>
  <c r="U409" i="1"/>
  <c r="V409" i="1"/>
  <c r="W409" i="1"/>
  <c r="U410" i="1"/>
  <c r="V410" i="1"/>
  <c r="W410" i="1"/>
  <c r="U411" i="1"/>
  <c r="V411" i="1"/>
  <c r="W411" i="1"/>
  <c r="U412" i="1"/>
  <c r="V412" i="1"/>
  <c r="W412" i="1"/>
  <c r="U413" i="1"/>
  <c r="V413" i="1"/>
  <c r="W413" i="1"/>
  <c r="U414" i="1"/>
  <c r="V414" i="1"/>
  <c r="W414" i="1"/>
  <c r="U415" i="1"/>
  <c r="V415" i="1"/>
  <c r="W415" i="1"/>
  <c r="U416" i="1"/>
  <c r="V416" i="1"/>
  <c r="W416" i="1"/>
  <c r="U417" i="1"/>
  <c r="V417" i="1"/>
  <c r="W417" i="1"/>
  <c r="U418" i="1"/>
  <c r="V418" i="1"/>
  <c r="W418" i="1"/>
  <c r="U419" i="1"/>
  <c r="V419" i="1"/>
  <c r="W419" i="1"/>
  <c r="U420" i="1"/>
  <c r="V420" i="1"/>
  <c r="W420" i="1"/>
  <c r="U421" i="1"/>
  <c r="V421" i="1"/>
  <c r="W421" i="1"/>
  <c r="U422" i="1"/>
  <c r="V422" i="1"/>
  <c r="W422" i="1"/>
  <c r="U423" i="1"/>
  <c r="V423" i="1"/>
  <c r="W423" i="1"/>
  <c r="U424" i="1"/>
  <c r="V424" i="1"/>
  <c r="W424" i="1"/>
  <c r="U425" i="1"/>
  <c r="V425" i="1"/>
  <c r="W425" i="1"/>
  <c r="U426" i="1"/>
  <c r="V426" i="1"/>
  <c r="W426" i="1"/>
  <c r="U427" i="1"/>
  <c r="V427" i="1"/>
  <c r="W427" i="1"/>
  <c r="U428" i="1"/>
  <c r="V428" i="1"/>
  <c r="W428" i="1"/>
  <c r="U429" i="1"/>
  <c r="V429" i="1"/>
  <c r="W429" i="1"/>
  <c r="U430" i="1"/>
  <c r="V430" i="1"/>
  <c r="W430" i="1"/>
  <c r="U431" i="1"/>
  <c r="V431" i="1"/>
  <c r="W431" i="1"/>
  <c r="U432" i="1"/>
  <c r="V432" i="1"/>
  <c r="W432" i="1"/>
  <c r="U433" i="1"/>
  <c r="V433" i="1"/>
  <c r="W433" i="1"/>
  <c r="U434" i="1"/>
  <c r="V434" i="1"/>
  <c r="W434" i="1"/>
  <c r="U435" i="1"/>
  <c r="V435" i="1"/>
  <c r="W435" i="1"/>
  <c r="U436" i="1"/>
  <c r="V436" i="1"/>
  <c r="W436" i="1"/>
  <c r="U437" i="1"/>
  <c r="V437" i="1"/>
  <c r="W437" i="1"/>
  <c r="U438" i="1"/>
  <c r="V438" i="1"/>
  <c r="W438" i="1"/>
  <c r="U439" i="1"/>
  <c r="V439" i="1"/>
  <c r="W439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8" i="1" l="1"/>
  <c r="S448" i="1"/>
  <c r="T448" i="1" s="1"/>
  <c r="R449" i="1"/>
  <c r="S449" i="1"/>
  <c r="T449" i="1" s="1"/>
  <c r="Z452" i="1"/>
  <c r="AI452" i="1" s="1"/>
  <c r="S452" i="1"/>
  <c r="T452" i="1" s="1"/>
  <c r="R556" i="1"/>
  <c r="S556" i="1"/>
  <c r="T556" i="1" s="1"/>
  <c r="R552" i="1"/>
  <c r="S552" i="1"/>
  <c r="T552" i="1" s="1"/>
  <c r="AV547" i="1"/>
  <c r="AS547" i="1" s="1"/>
  <c r="S547" i="1"/>
  <c r="T547" i="1" s="1"/>
  <c r="AU546" i="1"/>
  <c r="AT546" i="1" s="1"/>
  <c r="S546" i="1"/>
  <c r="T546" i="1" s="1"/>
  <c r="AV545" i="1"/>
  <c r="AS545" i="1" s="1"/>
  <c r="S545" i="1"/>
  <c r="T545" i="1" s="1"/>
  <c r="AV544" i="1"/>
  <c r="AS544" i="1" s="1"/>
  <c r="S544" i="1"/>
  <c r="T544" i="1" s="1"/>
  <c r="R542" i="1"/>
  <c r="S542" i="1"/>
  <c r="T542" i="1" s="1"/>
  <c r="R537" i="1"/>
  <c r="S537" i="1"/>
  <c r="T537" i="1" s="1"/>
  <c r="R535" i="1"/>
  <c r="S535" i="1"/>
  <c r="T535" i="1" s="1"/>
  <c r="R534" i="1"/>
  <c r="S534" i="1"/>
  <c r="T534" i="1" s="1"/>
  <c r="R529" i="1"/>
  <c r="S529" i="1"/>
  <c r="T529" i="1" s="1"/>
  <c r="R526" i="1"/>
  <c r="S526" i="1"/>
  <c r="T526" i="1" s="1"/>
  <c r="R521" i="1"/>
  <c r="S521" i="1"/>
  <c r="T521" i="1" s="1"/>
  <c r="R520" i="1"/>
  <c r="S520" i="1"/>
  <c r="T520" i="1" s="1"/>
  <c r="AU519" i="1"/>
  <c r="AT519" i="1" s="1"/>
  <c r="S519" i="1"/>
  <c r="T519" i="1" s="1"/>
  <c r="AU518" i="1"/>
  <c r="AT518" i="1" s="1"/>
  <c r="S518" i="1"/>
  <c r="T518" i="1" s="1"/>
  <c r="AU516" i="1"/>
  <c r="AT516" i="1" s="1"/>
  <c r="S516" i="1"/>
  <c r="T516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7" i="1"/>
  <c r="AT507" i="1" s="1"/>
  <c r="S507" i="1"/>
  <c r="T507" i="1" s="1"/>
  <c r="AU502" i="1"/>
  <c r="AT502" i="1" s="1"/>
  <c r="S502" i="1"/>
  <c r="T502" i="1" s="1"/>
  <c r="AU501" i="1"/>
  <c r="AT501" i="1" s="1"/>
  <c r="S501" i="1"/>
  <c r="T501" i="1" s="1"/>
  <c r="R497" i="1"/>
  <c r="S497" i="1"/>
  <c r="T497" i="1" s="1"/>
  <c r="R496" i="1"/>
  <c r="S496" i="1"/>
  <c r="T496" i="1" s="1"/>
  <c r="R495" i="1"/>
  <c r="S495" i="1"/>
  <c r="T495" i="1" s="1"/>
  <c r="AV485" i="1"/>
  <c r="AS485" i="1" s="1"/>
  <c r="S485" i="1"/>
  <c r="T485" i="1" s="1"/>
  <c r="AV484" i="1"/>
  <c r="AS484" i="1" s="1"/>
  <c r="S484" i="1"/>
  <c r="T484" i="1" s="1"/>
  <c r="AV483" i="1"/>
  <c r="AS483" i="1" s="1"/>
  <c r="S483" i="1"/>
  <c r="T483" i="1" s="1"/>
  <c r="AU481" i="1"/>
  <c r="AT481" i="1" s="1"/>
  <c r="S481" i="1"/>
  <c r="T481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V474" i="1"/>
  <c r="AS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U471" i="1"/>
  <c r="AT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4" i="1"/>
  <c r="AT464" i="1" s="1"/>
  <c r="S464" i="1"/>
  <c r="T464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V440" i="1"/>
  <c r="AS440" i="1" s="1"/>
  <c r="S440" i="1"/>
  <c r="T440" i="1" s="1"/>
  <c r="Z453" i="1"/>
  <c r="AI453" i="1" s="1"/>
  <c r="Z529" i="1"/>
  <c r="Z553" i="1"/>
  <c r="T555" i="1"/>
  <c r="R555" i="1"/>
  <c r="T553" i="1"/>
  <c r="R553" i="1"/>
  <c r="AU550" i="1"/>
  <c r="AT550" i="1" s="1"/>
  <c r="R550" i="1"/>
  <c r="T543" i="1"/>
  <c r="R543" i="1"/>
  <c r="AU541" i="1"/>
  <c r="AT541" i="1" s="1"/>
  <c r="R541" i="1"/>
  <c r="AU540" i="1"/>
  <c r="AT540" i="1" s="1"/>
  <c r="R540" i="1"/>
  <c r="T531" i="1"/>
  <c r="R531" i="1"/>
  <c r="AT441" i="1"/>
  <c r="T441" i="1"/>
  <c r="AV441" i="1"/>
  <c r="AS441" i="1" s="1"/>
  <c r="AT440" i="1"/>
  <c r="Z451" i="1"/>
  <c r="AI451" i="1" s="1"/>
  <c r="AU528" i="1"/>
  <c r="AT528" i="1" s="1"/>
  <c r="R528" i="1"/>
  <c r="R532" i="1"/>
  <c r="R544" i="1"/>
  <c r="AU556" i="1"/>
  <c r="AT556" i="1" s="1"/>
  <c r="AU554" i="1"/>
  <c r="AT554" i="1" s="1"/>
  <c r="AV554" i="1"/>
  <c r="AS554" i="1" s="1"/>
  <c r="AU552" i="1"/>
  <c r="AT552" i="1" s="1"/>
  <c r="AU542" i="1"/>
  <c r="AT542" i="1" s="1"/>
  <c r="T517" i="1"/>
  <c r="AU517" i="1"/>
  <c r="AT517" i="1" s="1"/>
  <c r="Z456" i="1"/>
  <c r="AI456" i="1" s="1"/>
  <c r="R548" i="1"/>
  <c r="Z455" i="1"/>
  <c r="AI455" i="1" s="1"/>
  <c r="AU539" i="1"/>
  <c r="AT539" i="1" s="1"/>
  <c r="Z454" i="1"/>
  <c r="AI454" i="1" s="1"/>
  <c r="R551" i="1"/>
  <c r="R539" i="1"/>
  <c r="AU551" i="1"/>
  <c r="AT551" i="1" s="1"/>
  <c r="AU553" i="1"/>
  <c r="AT553" i="1" s="1"/>
  <c r="AU548" i="1"/>
  <c r="AT548" i="1" s="1"/>
  <c r="Z537" i="1"/>
  <c r="AU549" i="1"/>
  <c r="AT549" i="1" s="1"/>
  <c r="AU547" i="1"/>
  <c r="AT547" i="1" s="1"/>
  <c r="AU545" i="1"/>
  <c r="AT545" i="1" s="1"/>
  <c r="AU474" i="1"/>
  <c r="AT474" i="1" s="1"/>
  <c r="Z545" i="1"/>
  <c r="R545" i="1"/>
  <c r="Z458" i="1"/>
  <c r="AI458" i="1" s="1"/>
  <c r="Z457" i="1"/>
  <c r="AI457" i="1" s="1"/>
  <c r="T538" i="1"/>
  <c r="AU538" i="1"/>
  <c r="AT538" i="1" s="1"/>
  <c r="T506" i="1"/>
  <c r="AU506" i="1"/>
  <c r="AT506" i="1" s="1"/>
  <c r="AV506" i="1"/>
  <c r="AS506" i="1" s="1"/>
  <c r="R505" i="1"/>
  <c r="AU505" i="1"/>
  <c r="AT505" i="1" s="1"/>
  <c r="R504" i="1"/>
  <c r="AU504" i="1"/>
  <c r="AT504" i="1" s="1"/>
  <c r="R503" i="1"/>
  <c r="AU503" i="1"/>
  <c r="AT503" i="1" s="1"/>
  <c r="AV465" i="1"/>
  <c r="AS465" i="1" s="1"/>
  <c r="AU465" i="1"/>
  <c r="AT465" i="1" s="1"/>
  <c r="R500" i="1"/>
  <c r="AU500" i="1"/>
  <c r="AT500" i="1" s="1"/>
  <c r="AU537" i="1"/>
  <c r="AT537" i="1" s="1"/>
  <c r="T536" i="1"/>
  <c r="AU536" i="1"/>
  <c r="AT536" i="1" s="1"/>
  <c r="AV535" i="1"/>
  <c r="AS535" i="1" s="1"/>
  <c r="AU535" i="1"/>
  <c r="AT535" i="1" s="1"/>
  <c r="AU534" i="1"/>
  <c r="AT534" i="1" s="1"/>
  <c r="T530" i="1"/>
  <c r="AU530" i="1"/>
  <c r="AT530" i="1" s="1"/>
  <c r="AU529" i="1"/>
  <c r="AT529" i="1" s="1"/>
  <c r="AV527" i="1"/>
  <c r="AS527" i="1" s="1"/>
  <c r="AU527" i="1"/>
  <c r="AT527" i="1" s="1"/>
  <c r="AU526" i="1"/>
  <c r="AT526" i="1" s="1"/>
  <c r="T525" i="1"/>
  <c r="AU525" i="1"/>
  <c r="AT525" i="1" s="1"/>
  <c r="AV524" i="1"/>
  <c r="AS524" i="1" s="1"/>
  <c r="AU524" i="1"/>
  <c r="AT524" i="1" s="1"/>
  <c r="R523" i="1"/>
  <c r="AU523" i="1"/>
  <c r="AT523" i="1" s="1"/>
  <c r="AV522" i="1"/>
  <c r="AS522" i="1" s="1"/>
  <c r="AU522" i="1"/>
  <c r="AT522" i="1" s="1"/>
  <c r="AV499" i="1"/>
  <c r="AS499" i="1" s="1"/>
  <c r="AU499" i="1"/>
  <c r="AT499" i="1" s="1"/>
  <c r="R498" i="1"/>
  <c r="AU498" i="1"/>
  <c r="AT498" i="1" s="1"/>
  <c r="AV494" i="1"/>
  <c r="AS494" i="1" s="1"/>
  <c r="AU494" i="1"/>
  <c r="AT494" i="1" s="1"/>
  <c r="R493" i="1"/>
  <c r="AU493" i="1"/>
  <c r="AT493" i="1" s="1"/>
  <c r="R492" i="1"/>
  <c r="AU492" i="1"/>
  <c r="AT492" i="1" s="1"/>
  <c r="AV491" i="1"/>
  <c r="AS491" i="1" s="1"/>
  <c r="AU491" i="1"/>
  <c r="AT491" i="1" s="1"/>
  <c r="R490" i="1"/>
  <c r="AU490" i="1"/>
  <c r="AT490" i="1" s="1"/>
  <c r="AV489" i="1"/>
  <c r="AS489" i="1" s="1"/>
  <c r="AU489" i="1"/>
  <c r="AT489" i="1" s="1"/>
  <c r="AV488" i="1"/>
  <c r="AS488" i="1" s="1"/>
  <c r="AU488" i="1"/>
  <c r="AT488" i="1" s="1"/>
  <c r="AV487" i="1"/>
  <c r="AS487" i="1" s="1"/>
  <c r="AU487" i="1"/>
  <c r="AT487" i="1" s="1"/>
  <c r="T486" i="1"/>
  <c r="AU486" i="1"/>
  <c r="AT486" i="1" s="1"/>
  <c r="AV482" i="1"/>
  <c r="AS482" i="1" s="1"/>
  <c r="AU482" i="1"/>
  <c r="AT482" i="1" s="1"/>
  <c r="R450" i="1"/>
  <c r="T450" i="1"/>
  <c r="Z459" i="1"/>
  <c r="AI459" i="1" s="1"/>
  <c r="AV507" i="1"/>
  <c r="AS507" i="1" s="1"/>
  <c r="AU531" i="1"/>
  <c r="AT531" i="1" s="1"/>
  <c r="AU533" i="1"/>
  <c r="AT533" i="1" s="1"/>
  <c r="AU473" i="1"/>
  <c r="AT473" i="1" s="1"/>
  <c r="AU485" i="1"/>
  <c r="AT485" i="1" s="1"/>
  <c r="AU497" i="1"/>
  <c r="AT497" i="1" s="1"/>
  <c r="AU521" i="1"/>
  <c r="AT521" i="1" s="1"/>
  <c r="AU495" i="1"/>
  <c r="AT495" i="1" s="1"/>
  <c r="AU483" i="1"/>
  <c r="AT483" i="1" s="1"/>
  <c r="AU544" i="1"/>
  <c r="AT544" i="1" s="1"/>
  <c r="AV532" i="1"/>
  <c r="AS532" i="1" s="1"/>
  <c r="AU532" i="1"/>
  <c r="AT532" i="1" s="1"/>
  <c r="AU520" i="1"/>
  <c r="AT520" i="1" s="1"/>
  <c r="AU508" i="1"/>
  <c r="AT508" i="1" s="1"/>
  <c r="AU496" i="1"/>
  <c r="AT496" i="1" s="1"/>
  <c r="AU484" i="1"/>
  <c r="AT484" i="1" s="1"/>
  <c r="AU472" i="1"/>
  <c r="AT472" i="1" s="1"/>
  <c r="AU555" i="1"/>
  <c r="AT555" i="1" s="1"/>
  <c r="AU543" i="1"/>
  <c r="AT543" i="1" s="1"/>
  <c r="AV555" i="1"/>
  <c r="AS555" i="1" s="1"/>
  <c r="AV530" i="1"/>
  <c r="AS530" i="1" s="1"/>
  <c r="AV477" i="1"/>
  <c r="AS477" i="1" s="1"/>
  <c r="R501" i="1"/>
  <c r="R513" i="1"/>
  <c r="Z513" i="1"/>
  <c r="AV466" i="1"/>
  <c r="AS466" i="1" s="1"/>
  <c r="Z466" i="1"/>
  <c r="AV478" i="1"/>
  <c r="AS478" i="1" s="1"/>
  <c r="R502" i="1"/>
  <c r="Z514" i="1"/>
  <c r="T550" i="1"/>
  <c r="Z467" i="1"/>
  <c r="AV479" i="1"/>
  <c r="AS479" i="1" s="1"/>
  <c r="R515" i="1"/>
  <c r="AV468" i="1"/>
  <c r="AS468" i="1" s="1"/>
  <c r="AV480" i="1"/>
  <c r="AS480" i="1" s="1"/>
  <c r="R516" i="1"/>
  <c r="T528" i="1"/>
  <c r="T540" i="1"/>
  <c r="AV469" i="1"/>
  <c r="AS469" i="1" s="1"/>
  <c r="AV481" i="1"/>
  <c r="AS481" i="1" s="1"/>
  <c r="T541" i="1"/>
  <c r="Z482" i="1"/>
  <c r="Z506" i="1"/>
  <c r="R518" i="1"/>
  <c r="R606" i="1"/>
  <c r="R471" i="1"/>
  <c r="Z471" i="1"/>
  <c r="R507" i="1"/>
  <c r="R519" i="1"/>
  <c r="AV460" i="1"/>
  <c r="AS460" i="1" s="1"/>
  <c r="R508" i="1"/>
  <c r="AV461" i="1"/>
  <c r="AS461" i="1" s="1"/>
  <c r="AV462" i="1"/>
  <c r="AS462" i="1" s="1"/>
  <c r="R510" i="1"/>
  <c r="Z546" i="1"/>
  <c r="AV463" i="1"/>
  <c r="AS463" i="1" s="1"/>
  <c r="AV475" i="1"/>
  <c r="AS475" i="1" s="1"/>
  <c r="Z475" i="1"/>
  <c r="R511" i="1"/>
  <c r="AV464" i="1"/>
  <c r="AS464" i="1" s="1"/>
  <c r="AV476" i="1"/>
  <c r="AS476" i="1" s="1"/>
  <c r="R512" i="1"/>
  <c r="T458" i="1"/>
  <c r="R458" i="1"/>
  <c r="T457" i="1"/>
  <c r="R457" i="1"/>
  <c r="T456" i="1"/>
  <c r="R456" i="1"/>
  <c r="T455" i="1"/>
  <c r="R455" i="1"/>
  <c r="T454" i="1"/>
  <c r="R454" i="1"/>
  <c r="T453" i="1"/>
  <c r="R453" i="1"/>
  <c r="R452" i="1"/>
  <c r="T451" i="1"/>
  <c r="R451" i="1"/>
  <c r="T459" i="1"/>
  <c r="R459" i="1"/>
  <c r="R443" i="1"/>
  <c r="AV512" i="1"/>
  <c r="AS512" i="1" s="1"/>
  <c r="R536" i="1"/>
  <c r="AV548" i="1"/>
  <c r="AS548" i="1" s="1"/>
  <c r="R524" i="1"/>
  <c r="AV536" i="1"/>
  <c r="AS536" i="1" s="1"/>
  <c r="AV556" i="1"/>
  <c r="AS556" i="1" s="1"/>
  <c r="AV531" i="1"/>
  <c r="AS531" i="1" s="1"/>
  <c r="AV508" i="1"/>
  <c r="AS508" i="1" s="1"/>
  <c r="AV513" i="1"/>
  <c r="AS513" i="1" s="1"/>
  <c r="AV537" i="1"/>
  <c r="AS537" i="1" s="1"/>
  <c r="AV514" i="1"/>
  <c r="AS514" i="1" s="1"/>
  <c r="T492" i="1"/>
  <c r="AV538" i="1"/>
  <c r="AS538" i="1" s="1"/>
  <c r="AV504" i="1"/>
  <c r="AS504" i="1" s="1"/>
  <c r="AV490" i="1"/>
  <c r="AS490" i="1" s="1"/>
  <c r="T490" i="1"/>
  <c r="R593" i="1"/>
  <c r="R569" i="1"/>
  <c r="R601" i="1"/>
  <c r="R577" i="1"/>
  <c r="AV529" i="1"/>
  <c r="AS529" i="1" s="1"/>
  <c r="AV553" i="1"/>
  <c r="AS553" i="1" s="1"/>
  <c r="AV505" i="1"/>
  <c r="AS505" i="1" s="1"/>
  <c r="T505" i="1"/>
  <c r="R584" i="1"/>
  <c r="AV492" i="1"/>
  <c r="AS492" i="1" s="1"/>
  <c r="R571" i="1"/>
  <c r="R560" i="1"/>
  <c r="AV528" i="1"/>
  <c r="AS528" i="1" s="1"/>
  <c r="AV467" i="1"/>
  <c r="AS467" i="1" s="1"/>
  <c r="AV516" i="1"/>
  <c r="AS516" i="1" s="1"/>
  <c r="AV552" i="1"/>
  <c r="AS552" i="1" s="1"/>
  <c r="AV540" i="1"/>
  <c r="AS540" i="1" s="1"/>
  <c r="R527" i="1"/>
  <c r="T504" i="1"/>
  <c r="R561" i="1"/>
  <c r="Z605" i="1"/>
  <c r="AI605" i="1" s="1"/>
  <c r="R605" i="1"/>
  <c r="R585" i="1"/>
  <c r="AV515" i="1"/>
  <c r="AS515" i="1" s="1"/>
  <c r="T491" i="1"/>
  <c r="AV539" i="1"/>
  <c r="AS539" i="1" s="1"/>
  <c r="R442" i="1"/>
  <c r="T500" i="1"/>
  <c r="T524" i="1"/>
  <c r="AV500" i="1"/>
  <c r="AS500" i="1" s="1"/>
  <c r="R594" i="1"/>
  <c r="T523" i="1"/>
  <c r="T499" i="1"/>
  <c r="AV523" i="1"/>
  <c r="AS523" i="1" s="1"/>
  <c r="T522" i="1"/>
  <c r="AV498" i="1"/>
  <c r="AS498" i="1" s="1"/>
  <c r="T498" i="1"/>
  <c r="AV521" i="1"/>
  <c r="AS521" i="1" s="1"/>
  <c r="R568" i="1"/>
  <c r="AV497" i="1"/>
  <c r="AS497" i="1" s="1"/>
  <c r="AV546" i="1"/>
  <c r="AS546" i="1" s="1"/>
  <c r="R592" i="1"/>
  <c r="R576" i="1"/>
  <c r="AV511" i="1"/>
  <c r="AS511" i="1" s="1"/>
  <c r="AV543" i="1"/>
  <c r="AS543" i="1" s="1"/>
  <c r="T503" i="1"/>
  <c r="R583" i="1"/>
  <c r="R559" i="1"/>
  <c r="R587" i="1"/>
  <c r="AV520" i="1"/>
  <c r="AS520" i="1" s="1"/>
  <c r="AV496" i="1"/>
  <c r="AS496" i="1" s="1"/>
  <c r="R598" i="1"/>
  <c r="R574" i="1"/>
  <c r="AV503" i="1"/>
  <c r="AS503" i="1" s="1"/>
  <c r="AV471" i="1"/>
  <c r="AS471" i="1" s="1"/>
  <c r="T527" i="1"/>
  <c r="AV551" i="1"/>
  <c r="AS551" i="1" s="1"/>
  <c r="AV519" i="1"/>
  <c r="AS519" i="1" s="1"/>
  <c r="AV495" i="1"/>
  <c r="AS495" i="1" s="1"/>
  <c r="R603" i="1"/>
  <c r="AV518" i="1"/>
  <c r="AS518" i="1" s="1"/>
  <c r="AV526" i="1"/>
  <c r="AS526" i="1" s="1"/>
  <c r="R563" i="1"/>
  <c r="R595" i="1"/>
  <c r="R579" i="1"/>
  <c r="T494" i="1"/>
  <c r="AV534" i="1"/>
  <c r="AS534" i="1" s="1"/>
  <c r="AV470" i="1"/>
  <c r="AS470" i="1" s="1"/>
  <c r="AV542" i="1"/>
  <c r="AS542" i="1" s="1"/>
  <c r="AV550" i="1"/>
  <c r="AS550" i="1" s="1"/>
  <c r="AV486" i="1"/>
  <c r="AS486" i="1" s="1"/>
  <c r="AV502" i="1"/>
  <c r="AS502" i="1" s="1"/>
  <c r="AV510" i="1"/>
  <c r="AS510" i="1" s="1"/>
  <c r="R604" i="1"/>
  <c r="R567" i="1"/>
  <c r="R558" i="1"/>
  <c r="R591" i="1"/>
  <c r="R582" i="1"/>
  <c r="AV549" i="1"/>
  <c r="AS549" i="1" s="1"/>
  <c r="AV541" i="1"/>
  <c r="AS541" i="1" s="1"/>
  <c r="AV533" i="1"/>
  <c r="AS533" i="1" s="1"/>
  <c r="AV525" i="1"/>
  <c r="AS525" i="1" s="1"/>
  <c r="AV517" i="1"/>
  <c r="AS517" i="1" s="1"/>
  <c r="AV509" i="1"/>
  <c r="AS509" i="1" s="1"/>
  <c r="AV501" i="1"/>
  <c r="AS501" i="1" s="1"/>
  <c r="AV493" i="1"/>
  <c r="AS493" i="1" s="1"/>
  <c r="R599" i="1"/>
  <c r="R575" i="1"/>
  <c r="R566" i="1"/>
  <c r="R590" i="1"/>
  <c r="R564" i="1"/>
  <c r="R572" i="1"/>
  <c r="R580" i="1"/>
  <c r="T606" i="1"/>
  <c r="R588" i="1"/>
  <c r="R596" i="1"/>
  <c r="T493" i="1"/>
  <c r="Z474" i="1"/>
  <c r="Z490" i="1"/>
  <c r="Z498" i="1"/>
  <c r="Z505" i="1"/>
  <c r="Z521" i="1"/>
  <c r="T489" i="1"/>
  <c r="R489" i="1"/>
  <c r="R488" i="1"/>
  <c r="T488" i="1"/>
  <c r="T487" i="1"/>
  <c r="R487" i="1"/>
  <c r="R485" i="1"/>
  <c r="R484" i="1"/>
  <c r="R483" i="1"/>
  <c r="T482" i="1"/>
  <c r="R482" i="1"/>
  <c r="R481" i="1"/>
  <c r="R480" i="1"/>
  <c r="R479" i="1"/>
  <c r="R478" i="1"/>
  <c r="R477" i="1"/>
  <c r="R476" i="1"/>
  <c r="R475" i="1"/>
  <c r="R474" i="1"/>
  <c r="R473" i="1"/>
  <c r="R472" i="1"/>
  <c r="Y606" i="1"/>
  <c r="X606" i="1"/>
  <c r="R469" i="1"/>
  <c r="R468" i="1"/>
  <c r="R466" i="1"/>
  <c r="T465" i="1"/>
  <c r="R465" i="1"/>
  <c r="T447" i="1"/>
  <c r="R447" i="1"/>
  <c r="R460" i="1"/>
  <c r="R461" i="1"/>
  <c r="R462" i="1"/>
  <c r="R463" i="1"/>
  <c r="R464" i="1"/>
  <c r="R445" i="1"/>
  <c r="T445" i="1"/>
  <c r="R446" i="1"/>
  <c r="T446" i="1"/>
  <c r="X556" i="1"/>
  <c r="Z556" i="1" s="1"/>
  <c r="Y556" i="1"/>
  <c r="X557" i="1"/>
  <c r="Y557" i="1"/>
  <c r="X558" i="1"/>
  <c r="Y558" i="1"/>
  <c r="X564" i="1"/>
  <c r="Y564" i="1"/>
  <c r="Y568" i="1"/>
  <c r="X568" i="1"/>
  <c r="X559" i="1"/>
  <c r="Y559" i="1"/>
  <c r="Y560" i="1"/>
  <c r="X560" i="1"/>
  <c r="Y565" i="1"/>
  <c r="X565" i="1"/>
  <c r="X566" i="1"/>
  <c r="Y566" i="1"/>
  <c r="X567" i="1"/>
  <c r="Y567" i="1"/>
  <c r="X572" i="1"/>
  <c r="Y572" i="1"/>
  <c r="Y573" i="1"/>
  <c r="X573" i="1"/>
  <c r="Y574" i="1"/>
  <c r="X574" i="1"/>
  <c r="Y578" i="1"/>
  <c r="X578" i="1"/>
  <c r="X582" i="1"/>
  <c r="Y582" i="1"/>
  <c r="X463" i="1"/>
  <c r="Z463" i="1" s="1"/>
  <c r="Y463" i="1"/>
  <c r="Y465" i="1"/>
  <c r="X465" i="1"/>
  <c r="Z465" i="1" s="1"/>
  <c r="X472" i="1"/>
  <c r="Z472" i="1" s="1"/>
  <c r="Y472" i="1"/>
  <c r="X519" i="1"/>
  <c r="Y519" i="1"/>
  <c r="Y520" i="1"/>
  <c r="X520" i="1"/>
  <c r="Z520" i="1" s="1"/>
  <c r="Y524" i="1"/>
  <c r="X524" i="1"/>
  <c r="Z524" i="1" s="1"/>
  <c r="X525" i="1"/>
  <c r="Z525" i="1" s="1"/>
  <c r="Y525" i="1"/>
  <c r="Y526" i="1"/>
  <c r="X526" i="1"/>
  <c r="Z526" i="1" s="1"/>
  <c r="X527" i="1"/>
  <c r="Z527" i="1" s="1"/>
  <c r="Y527" i="1"/>
  <c r="Y528" i="1"/>
  <c r="X528" i="1"/>
  <c r="Y532" i="1"/>
  <c r="X532" i="1"/>
  <c r="Z532" i="1" s="1"/>
  <c r="X533" i="1"/>
  <c r="Z533" i="1" s="1"/>
  <c r="Y533" i="1"/>
  <c r="X534" i="1"/>
  <c r="Z534" i="1" s="1"/>
  <c r="Y534" i="1"/>
  <c r="X535" i="1"/>
  <c r="Z535" i="1" s="1"/>
  <c r="Y535" i="1"/>
  <c r="Y536" i="1"/>
  <c r="X536" i="1"/>
  <c r="Z536" i="1" s="1"/>
  <c r="X540" i="1"/>
  <c r="Y540" i="1"/>
  <c r="X541" i="1"/>
  <c r="Y541" i="1"/>
  <c r="X542" i="1"/>
  <c r="Z542" i="1" s="1"/>
  <c r="Y542" i="1"/>
  <c r="X548" i="1"/>
  <c r="Z548" i="1" s="1"/>
  <c r="Y548" i="1"/>
  <c r="Y549" i="1"/>
  <c r="X549" i="1"/>
  <c r="Z549" i="1" s="1"/>
  <c r="X550" i="1"/>
  <c r="Y550" i="1"/>
  <c r="X551" i="1"/>
  <c r="Z551" i="1" s="1"/>
  <c r="Y551" i="1"/>
  <c r="Y552" i="1"/>
  <c r="X552" i="1"/>
  <c r="Z552" i="1" s="1"/>
  <c r="X579" i="1"/>
  <c r="Y579" i="1"/>
  <c r="X580" i="1"/>
  <c r="Y580" i="1"/>
  <c r="Y586" i="1"/>
  <c r="X586" i="1"/>
  <c r="X588" i="1"/>
  <c r="Y588" i="1"/>
  <c r="X589" i="1"/>
  <c r="Y589" i="1"/>
  <c r="X590" i="1"/>
  <c r="Y590" i="1"/>
  <c r="Y596" i="1"/>
  <c r="X596" i="1"/>
  <c r="X598" i="1"/>
  <c r="Y598" i="1"/>
  <c r="Y599" i="1"/>
  <c r="X599" i="1"/>
  <c r="Y600" i="1"/>
  <c r="X600" i="1"/>
  <c r="X601" i="1"/>
  <c r="Y601" i="1"/>
  <c r="X602" i="1"/>
  <c r="Y602" i="1"/>
  <c r="Y603" i="1"/>
  <c r="X603" i="1"/>
  <c r="X604" i="1"/>
  <c r="Y604" i="1"/>
  <c r="R547" i="1"/>
  <c r="Y442" i="1"/>
  <c r="X442" i="1"/>
  <c r="Z442" i="1" s="1"/>
  <c r="AI442" i="1" s="1"/>
  <c r="X446" i="1"/>
  <c r="Z446" i="1" s="1"/>
  <c r="AI446" i="1" s="1"/>
  <c r="Y446" i="1"/>
  <c r="Y447" i="1"/>
  <c r="X447" i="1"/>
  <c r="Z447" i="1" s="1"/>
  <c r="AI447" i="1" s="1"/>
  <c r="X448" i="1"/>
  <c r="Z448" i="1" s="1"/>
  <c r="AI448" i="1" s="1"/>
  <c r="Y448" i="1"/>
  <c r="Y449" i="1"/>
  <c r="X449" i="1"/>
  <c r="Z449" i="1" s="1"/>
  <c r="AI449" i="1" s="1"/>
  <c r="X461" i="1"/>
  <c r="Y461" i="1"/>
  <c r="X462" i="1"/>
  <c r="Z462" i="1" s="1"/>
  <c r="Y462" i="1"/>
  <c r="X464" i="1"/>
  <c r="Y464" i="1"/>
  <c r="X469" i="1"/>
  <c r="Z469" i="1" s="1"/>
  <c r="Y469" i="1"/>
  <c r="X470" i="1"/>
  <c r="Y470" i="1"/>
  <c r="Y473" i="1"/>
  <c r="X473" i="1"/>
  <c r="Z473" i="1" s="1"/>
  <c r="Y477" i="1"/>
  <c r="X477" i="1"/>
  <c r="Y478" i="1"/>
  <c r="X478" i="1"/>
  <c r="Z478" i="1" s="1"/>
  <c r="Y479" i="1"/>
  <c r="X479" i="1"/>
  <c r="Z479" i="1" s="1"/>
  <c r="X480" i="1"/>
  <c r="Y480" i="1"/>
  <c r="Y481" i="1"/>
  <c r="X481" i="1"/>
  <c r="Z481" i="1" s="1"/>
  <c r="X485" i="1"/>
  <c r="Z485" i="1" s="1"/>
  <c r="Y485" i="1"/>
  <c r="Y486" i="1"/>
  <c r="X486" i="1"/>
  <c r="Z486" i="1" s="1"/>
  <c r="X487" i="1"/>
  <c r="Z487" i="1" s="1"/>
  <c r="Y487" i="1"/>
  <c r="X488" i="1"/>
  <c r="Z488" i="1" s="1"/>
  <c r="Y488" i="1"/>
  <c r="Y489" i="1"/>
  <c r="X489" i="1"/>
  <c r="Z489" i="1" s="1"/>
  <c r="X493" i="1"/>
  <c r="Z493" i="1" s="1"/>
  <c r="Y493" i="1"/>
  <c r="Y494" i="1"/>
  <c r="X494" i="1"/>
  <c r="Z494" i="1" s="1"/>
  <c r="X495" i="1"/>
  <c r="Z495" i="1" s="1"/>
  <c r="Y495" i="1"/>
  <c r="X496" i="1"/>
  <c r="Z496" i="1" s="1"/>
  <c r="Y496" i="1"/>
  <c r="Y497" i="1"/>
  <c r="X497" i="1"/>
  <c r="Z497" i="1" s="1"/>
  <c r="X501" i="1"/>
  <c r="Y501" i="1"/>
  <c r="X502" i="1"/>
  <c r="Z502" i="1" s="1"/>
  <c r="Y502" i="1"/>
  <c r="X503" i="1"/>
  <c r="Z503" i="1" s="1"/>
  <c r="Y503" i="1"/>
  <c r="Y504" i="1"/>
  <c r="X504" i="1"/>
  <c r="Z504" i="1" s="1"/>
  <c r="Y508" i="1"/>
  <c r="X508" i="1"/>
  <c r="Z508" i="1" s="1"/>
  <c r="Y509" i="1"/>
  <c r="X509" i="1"/>
  <c r="Z509" i="1" s="1"/>
  <c r="X510" i="1"/>
  <c r="Y510" i="1"/>
  <c r="X511" i="1"/>
  <c r="Z511" i="1" s="1"/>
  <c r="Y511" i="1"/>
  <c r="Y512" i="1"/>
  <c r="X512" i="1"/>
  <c r="Y516" i="1"/>
  <c r="X516" i="1"/>
  <c r="X517" i="1"/>
  <c r="Z517" i="1" s="1"/>
  <c r="Y517" i="1"/>
  <c r="X518" i="1"/>
  <c r="Z518" i="1" s="1"/>
  <c r="Y518" i="1"/>
  <c r="X543" i="1"/>
  <c r="Z543" i="1" s="1"/>
  <c r="Y543" i="1"/>
  <c r="Y544" i="1"/>
  <c r="X544" i="1"/>
  <c r="Z544" i="1" s="1"/>
  <c r="S75" i="8"/>
  <c r="S69" i="8"/>
  <c r="T562" i="1"/>
  <c r="R522" i="1"/>
  <c r="T570" i="1"/>
  <c r="R562" i="1"/>
  <c r="Z554" i="1"/>
  <c r="R514" i="1"/>
  <c r="R570" i="1"/>
  <c r="T554" i="1"/>
  <c r="R506" i="1"/>
  <c r="Z499" i="1"/>
  <c r="T586" i="1"/>
  <c r="R554" i="1"/>
  <c r="Z538" i="1"/>
  <c r="R586" i="1"/>
  <c r="T578" i="1"/>
  <c r="R546" i="1"/>
  <c r="Z530" i="1"/>
  <c r="R499" i="1"/>
  <c r="Z491" i="1"/>
  <c r="R549" i="1"/>
  <c r="R525" i="1"/>
  <c r="T602" i="1"/>
  <c r="R578" i="1"/>
  <c r="R538" i="1"/>
  <c r="Z483" i="1"/>
  <c r="T444" i="1"/>
  <c r="R602" i="1"/>
  <c r="T594" i="1"/>
  <c r="R530" i="1"/>
  <c r="Z522" i="1"/>
  <c r="R491" i="1"/>
  <c r="R467" i="1"/>
  <c r="Z450" i="1"/>
  <c r="AI450" i="1" s="1"/>
  <c r="R444" i="1"/>
  <c r="R597" i="1"/>
  <c r="T597" i="1"/>
  <c r="R589" i="1"/>
  <c r="T589" i="1"/>
  <c r="R581" i="1"/>
  <c r="T581" i="1"/>
  <c r="R573" i="1"/>
  <c r="T573" i="1"/>
  <c r="R565" i="1"/>
  <c r="T565" i="1"/>
  <c r="R557" i="1"/>
  <c r="T557" i="1"/>
  <c r="R533" i="1"/>
  <c r="T533" i="1"/>
  <c r="R517" i="1"/>
  <c r="R509" i="1"/>
  <c r="R494" i="1"/>
  <c r="R486" i="1"/>
  <c r="R470" i="1"/>
  <c r="Z443" i="1"/>
  <c r="AI443" i="1" s="1"/>
  <c r="T443" i="1"/>
  <c r="Z444" i="1"/>
  <c r="AI444" i="1" s="1"/>
  <c r="Y441" i="1"/>
  <c r="T442" i="1"/>
  <c r="R441" i="1"/>
  <c r="Z441" i="1"/>
  <c r="AI441" i="1" s="1"/>
  <c r="X585" i="1"/>
  <c r="Y585" i="1"/>
  <c r="X563" i="1"/>
  <c r="Y563" i="1"/>
  <c r="X515" i="1"/>
  <c r="Y515" i="1"/>
  <c r="Y584" i="1"/>
  <c r="X584" i="1"/>
  <c r="Y597" i="1"/>
  <c r="Y575" i="1"/>
  <c r="X539" i="1"/>
  <c r="Z539" i="1" s="1"/>
  <c r="Y539" i="1"/>
  <c r="X476" i="1"/>
  <c r="Z476" i="1" s="1"/>
  <c r="Y476" i="1"/>
  <c r="Y595" i="1"/>
  <c r="Y577" i="1"/>
  <c r="X576" i="1"/>
  <c r="X571" i="1"/>
  <c r="Y571" i="1"/>
  <c r="X500" i="1"/>
  <c r="Z500" i="1" s="1"/>
  <c r="Y500" i="1"/>
  <c r="X460" i="1"/>
  <c r="Y460" i="1"/>
  <c r="Y594" i="1"/>
  <c r="Y591" i="1"/>
  <c r="Y581" i="1"/>
  <c r="X547" i="1"/>
  <c r="Z547" i="1" s="1"/>
  <c r="Y547" i="1"/>
  <c r="X523" i="1"/>
  <c r="Z523" i="1" s="1"/>
  <c r="Y523" i="1"/>
  <c r="Y605" i="1"/>
  <c r="Y593" i="1"/>
  <c r="X592" i="1"/>
  <c r="Y583" i="1"/>
  <c r="X569" i="1"/>
  <c r="Y569" i="1"/>
  <c r="X507" i="1"/>
  <c r="Z507" i="1" s="1"/>
  <c r="Y507" i="1"/>
  <c r="X484" i="1"/>
  <c r="Z484" i="1" s="1"/>
  <c r="Y484" i="1"/>
  <c r="X468" i="1"/>
  <c r="Z468" i="1" s="1"/>
  <c r="Y468" i="1"/>
  <c r="X445" i="1"/>
  <c r="Z445" i="1" s="1"/>
  <c r="AI445" i="1" s="1"/>
  <c r="Y445" i="1"/>
  <c r="Y587" i="1"/>
  <c r="X555" i="1"/>
  <c r="Z555" i="1" s="1"/>
  <c r="Y555" i="1"/>
  <c r="X531" i="1"/>
  <c r="Z531" i="1" s="1"/>
  <c r="Y531" i="1"/>
  <c r="X492" i="1"/>
  <c r="Z492" i="1" s="1"/>
  <c r="Y492" i="1"/>
  <c r="Y471" i="1"/>
  <c r="Y570" i="1"/>
  <c r="Y562" i="1"/>
  <c r="Y554" i="1"/>
  <c r="Y546" i="1"/>
  <c r="Y538" i="1"/>
  <c r="Y530" i="1"/>
  <c r="Y522" i="1"/>
  <c r="Y514" i="1"/>
  <c r="Y506" i="1"/>
  <c r="Y499" i="1"/>
  <c r="Y491" i="1"/>
  <c r="Y483" i="1"/>
  <c r="Y475" i="1"/>
  <c r="Y467" i="1"/>
  <c r="Y450" i="1"/>
  <c r="Y444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3" i="1"/>
  <c r="R440" i="1"/>
  <c r="X440" i="1"/>
  <c r="Z440" i="1" s="1"/>
  <c r="AI440" i="1" s="1"/>
  <c r="Y359" i="1"/>
  <c r="X359" i="1"/>
  <c r="Z359" i="1" s="1"/>
  <c r="AI359" i="1" s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22" i="1"/>
  <c r="Z422" i="1" s="1"/>
  <c r="AI422" i="1" s="1"/>
  <c r="Y422" i="1"/>
  <c r="X438" i="1"/>
  <c r="Z438" i="1" s="1"/>
  <c r="AI438" i="1" s="1"/>
  <c r="Y438" i="1"/>
  <c r="Y356" i="1"/>
  <c r="X356" i="1"/>
  <c r="Z356" i="1" s="1"/>
  <c r="AI356" i="1" s="1"/>
  <c r="X357" i="1"/>
  <c r="Z357" i="1" s="1"/>
  <c r="AI357" i="1" s="1"/>
  <c r="Y357" i="1"/>
  <c r="X358" i="1"/>
  <c r="Z358" i="1" s="1"/>
  <c r="AI358" i="1" s="1"/>
  <c r="Y358" i="1"/>
  <c r="X360" i="1"/>
  <c r="Z360" i="1" s="1"/>
  <c r="AI360" i="1" s="1"/>
  <c r="Y360" i="1"/>
  <c r="Y361" i="1"/>
  <c r="X361" i="1"/>
  <c r="Z361" i="1" s="1"/>
  <c r="AI361" i="1" s="1"/>
  <c r="Y362" i="1"/>
  <c r="X362" i="1"/>
  <c r="Z362" i="1" s="1"/>
  <c r="AI362" i="1" s="1"/>
  <c r="X363" i="1"/>
  <c r="Z363" i="1" s="1"/>
  <c r="AI363" i="1" s="1"/>
  <c r="Y363" i="1"/>
  <c r="X364" i="1"/>
  <c r="Z364" i="1" s="1"/>
  <c r="AI364" i="1" s="1"/>
  <c r="Y364" i="1"/>
  <c r="X365" i="1"/>
  <c r="Z365" i="1" s="1"/>
  <c r="AI365" i="1" s="1"/>
  <c r="Y365" i="1"/>
  <c r="Y366" i="1"/>
  <c r="X366" i="1"/>
  <c r="Z366" i="1" s="1"/>
  <c r="AI366" i="1" s="1"/>
  <c r="X367" i="1"/>
  <c r="Z367" i="1" s="1"/>
  <c r="AI367" i="1" s="1"/>
  <c r="Y367" i="1"/>
  <c r="Y368" i="1"/>
  <c r="X368" i="1"/>
  <c r="Z368" i="1" s="1"/>
  <c r="AI368" i="1" s="1"/>
  <c r="X369" i="1"/>
  <c r="Z369" i="1" s="1"/>
  <c r="AI369" i="1" s="1"/>
  <c r="Y369" i="1"/>
  <c r="Y370" i="1"/>
  <c r="X370" i="1"/>
  <c r="Z370" i="1" s="1"/>
  <c r="AI370" i="1" s="1"/>
  <c r="X371" i="1"/>
  <c r="Z371" i="1" s="1"/>
  <c r="AI371" i="1" s="1"/>
  <c r="Y371" i="1"/>
  <c r="Y372" i="1"/>
  <c r="X372" i="1"/>
  <c r="Z372" i="1" s="1"/>
  <c r="AI372" i="1" s="1"/>
  <c r="Y373" i="1"/>
  <c r="X373" i="1"/>
  <c r="Z373" i="1" s="1"/>
  <c r="AI373" i="1" s="1"/>
  <c r="X374" i="1"/>
  <c r="Z374" i="1" s="1"/>
  <c r="AI374" i="1" s="1"/>
  <c r="Y374" i="1"/>
  <c r="Y375" i="1"/>
  <c r="X375" i="1"/>
  <c r="Z375" i="1" s="1"/>
  <c r="AI375" i="1" s="1"/>
  <c r="Y376" i="1"/>
  <c r="X376" i="1"/>
  <c r="Z376" i="1" s="1"/>
  <c r="AI376" i="1" s="1"/>
  <c r="X377" i="1"/>
  <c r="Z377" i="1" s="1"/>
  <c r="AI377" i="1" s="1"/>
  <c r="Y377" i="1"/>
  <c r="Y378" i="1"/>
  <c r="X378" i="1"/>
  <c r="Z378" i="1" s="1"/>
  <c r="AI378" i="1" s="1"/>
  <c r="X379" i="1"/>
  <c r="Z379" i="1" s="1"/>
  <c r="AI379" i="1" s="1"/>
  <c r="Y379" i="1"/>
  <c r="Y380" i="1"/>
  <c r="X380" i="1"/>
  <c r="Z380" i="1" s="1"/>
  <c r="AI380" i="1" s="1"/>
  <c r="Y381" i="1"/>
  <c r="X381" i="1"/>
  <c r="Z381" i="1" s="1"/>
  <c r="AI381" i="1" s="1"/>
  <c r="Y382" i="1"/>
  <c r="X382" i="1"/>
  <c r="Z382" i="1" s="1"/>
  <c r="AI382" i="1" s="1"/>
  <c r="X383" i="1"/>
  <c r="Z383" i="1" s="1"/>
  <c r="AI383" i="1" s="1"/>
  <c r="Y383" i="1"/>
  <c r="Y384" i="1"/>
  <c r="X384" i="1"/>
  <c r="Z384" i="1" s="1"/>
  <c r="AI384" i="1" s="1"/>
  <c r="X385" i="1"/>
  <c r="Z385" i="1" s="1"/>
  <c r="AI385" i="1" s="1"/>
  <c r="Y385" i="1"/>
  <c r="X386" i="1"/>
  <c r="Z386" i="1" s="1"/>
  <c r="AI386" i="1" s="1"/>
  <c r="Y386" i="1"/>
  <c r="Y387" i="1"/>
  <c r="X387" i="1"/>
  <c r="Z387" i="1" s="1"/>
  <c r="AI387" i="1" s="1"/>
  <c r="X388" i="1"/>
  <c r="Z388" i="1" s="1"/>
  <c r="AI388" i="1" s="1"/>
  <c r="Y388" i="1"/>
  <c r="X389" i="1"/>
  <c r="Z389" i="1" s="1"/>
  <c r="AI389" i="1" s="1"/>
  <c r="Y389" i="1"/>
  <c r="Y390" i="1"/>
  <c r="X390" i="1"/>
  <c r="Z390" i="1" s="1"/>
  <c r="AI390" i="1" s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X394" i="1"/>
  <c r="Z394" i="1" s="1"/>
  <c r="AI394" i="1" s="1"/>
  <c r="Y394" i="1"/>
  <c r="Y395" i="1"/>
  <c r="X395" i="1"/>
  <c r="Z395" i="1" s="1"/>
  <c r="AI395" i="1" s="1"/>
  <c r="X396" i="1"/>
  <c r="Z396" i="1" s="1"/>
  <c r="AI396" i="1" s="1"/>
  <c r="Y396" i="1"/>
  <c r="X397" i="1"/>
  <c r="Z397" i="1" s="1"/>
  <c r="AI397" i="1" s="1"/>
  <c r="Y397" i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Y403" i="1"/>
  <c r="X403" i="1"/>
  <c r="Z403" i="1" s="1"/>
  <c r="AI403" i="1" s="1"/>
  <c r="X404" i="1"/>
  <c r="Z404" i="1" s="1"/>
  <c r="AI404" i="1" s="1"/>
  <c r="Y404" i="1"/>
  <c r="X405" i="1"/>
  <c r="Z405" i="1" s="1"/>
  <c r="AI405" i="1" s="1"/>
  <c r="Y405" i="1"/>
  <c r="Y406" i="1"/>
  <c r="X406" i="1"/>
  <c r="Z406" i="1" s="1"/>
  <c r="AI406" i="1" s="1"/>
  <c r="X407" i="1"/>
  <c r="Z407" i="1" s="1"/>
  <c r="AI407" i="1" s="1"/>
  <c r="Y407" i="1"/>
  <c r="Y408" i="1"/>
  <c r="X408" i="1"/>
  <c r="Z408" i="1" s="1"/>
  <c r="AI408" i="1" s="1"/>
  <c r="X409" i="1"/>
  <c r="Z409" i="1" s="1"/>
  <c r="AI409" i="1" s="1"/>
  <c r="Y409" i="1"/>
  <c r="Y410" i="1"/>
  <c r="X410" i="1"/>
  <c r="Z410" i="1" s="1"/>
  <c r="AI410" i="1" s="1"/>
  <c r="X411" i="1"/>
  <c r="Z411" i="1" s="1"/>
  <c r="AI411" i="1" s="1"/>
  <c r="Y411" i="1"/>
  <c r="X412" i="1"/>
  <c r="Z412" i="1" s="1"/>
  <c r="AI412" i="1" s="1"/>
  <c r="Y412" i="1"/>
  <c r="X413" i="1"/>
  <c r="Z413" i="1" s="1"/>
  <c r="AI413" i="1" s="1"/>
  <c r="Y413" i="1"/>
  <c r="Y414" i="1"/>
  <c r="X414" i="1"/>
  <c r="Z414" i="1" s="1"/>
  <c r="AI414" i="1" s="1"/>
  <c r="Y415" i="1"/>
  <c r="X415" i="1"/>
  <c r="Z415" i="1" s="1"/>
  <c r="AI415" i="1" s="1"/>
  <c r="X416" i="1"/>
  <c r="Z416" i="1" s="1"/>
  <c r="AI416" i="1" s="1"/>
  <c r="Y416" i="1"/>
  <c r="X423" i="1"/>
  <c r="Z423" i="1" s="1"/>
  <c r="AI423" i="1" s="1"/>
  <c r="Y423" i="1"/>
  <c r="X424" i="1"/>
  <c r="Z424" i="1" s="1"/>
  <c r="AI424" i="1" s="1"/>
  <c r="Y424" i="1"/>
  <c r="X425" i="1"/>
  <c r="Z425" i="1" s="1"/>
  <c r="AI425" i="1" s="1"/>
  <c r="Y425" i="1"/>
  <c r="X426" i="1"/>
  <c r="Z426" i="1" s="1"/>
  <c r="AI426" i="1" s="1"/>
  <c r="Y426" i="1"/>
  <c r="X427" i="1"/>
  <c r="Z427" i="1" s="1"/>
  <c r="AI427" i="1" s="1"/>
  <c r="Y427" i="1"/>
  <c r="Y428" i="1"/>
  <c r="X428" i="1"/>
  <c r="Z428" i="1" s="1"/>
  <c r="AI428" i="1" s="1"/>
  <c r="Y429" i="1"/>
  <c r="X429" i="1"/>
  <c r="Z429" i="1" s="1"/>
  <c r="AI429" i="1" s="1"/>
  <c r="Y430" i="1"/>
  <c r="X430" i="1"/>
  <c r="Z430" i="1" s="1"/>
  <c r="AI430" i="1" s="1"/>
  <c r="X431" i="1"/>
  <c r="Z431" i="1" s="1"/>
  <c r="AI431" i="1" s="1"/>
  <c r="Y431" i="1"/>
  <c r="Y432" i="1"/>
  <c r="X432" i="1"/>
  <c r="Z432" i="1" s="1"/>
  <c r="AI432" i="1" s="1"/>
  <c r="X433" i="1"/>
  <c r="Z433" i="1" s="1"/>
  <c r="AI433" i="1" s="1"/>
  <c r="Y433" i="1"/>
  <c r="X434" i="1"/>
  <c r="Z434" i="1" s="1"/>
  <c r="AI434" i="1" s="1"/>
  <c r="Y434" i="1"/>
  <c r="X435" i="1"/>
  <c r="Z435" i="1" s="1"/>
  <c r="AI435" i="1" s="1"/>
  <c r="Y435" i="1"/>
  <c r="Y436" i="1"/>
  <c r="X436" i="1"/>
  <c r="Z436" i="1" s="1"/>
  <c r="AI436" i="1" s="1"/>
  <c r="X437" i="1"/>
  <c r="Z437" i="1" s="1"/>
  <c r="AI437" i="1" s="1"/>
  <c r="Y437" i="1"/>
  <c r="X439" i="1"/>
  <c r="Z439" i="1" s="1"/>
  <c r="AI439" i="1" s="1"/>
  <c r="Y439" i="1"/>
  <c r="N4383" i="6"/>
  <c r="N4384" i="6"/>
  <c r="N4385" i="6"/>
  <c r="N4386" i="6"/>
  <c r="N4387" i="6"/>
  <c r="Z585" i="1" l="1"/>
  <c r="Z592" i="1"/>
  <c r="Z564" i="1"/>
  <c r="Z584" i="1"/>
  <c r="Z563" i="1"/>
  <c r="Z602" i="1"/>
  <c r="Z590" i="1"/>
  <c r="Z574" i="1"/>
  <c r="Z560" i="1"/>
  <c r="Z558" i="1"/>
  <c r="Z461" i="1"/>
  <c r="Z606" i="1"/>
  <c r="Z515" i="1"/>
  <c r="Z601" i="1"/>
  <c r="Z589" i="1"/>
  <c r="Z573" i="1"/>
  <c r="Z600" i="1"/>
  <c r="Z559" i="1"/>
  <c r="Z557" i="1"/>
  <c r="Z540" i="1"/>
  <c r="Z588" i="1"/>
  <c r="Z571" i="1"/>
  <c r="Z599" i="1"/>
  <c r="Z586" i="1"/>
  <c r="Z572" i="1"/>
  <c r="Z512" i="1"/>
  <c r="Z460" i="1"/>
  <c r="Z528" i="1"/>
  <c r="Z576" i="1"/>
  <c r="Z567" i="1"/>
  <c r="Z510" i="1"/>
  <c r="Z519" i="1"/>
  <c r="Z470" i="1"/>
  <c r="Z516" i="1"/>
  <c r="Z550" i="1"/>
  <c r="Z501" i="1"/>
  <c r="Z604" i="1"/>
  <c r="Z598" i="1"/>
  <c r="Z580" i="1"/>
  <c r="Z568" i="1"/>
  <c r="Z603" i="1"/>
  <c r="Z596" i="1"/>
  <c r="Z582" i="1"/>
  <c r="Z566" i="1"/>
  <c r="Z464" i="1"/>
  <c r="Z541" i="1"/>
  <c r="Z480" i="1"/>
  <c r="Z477" i="1"/>
  <c r="Z569" i="1"/>
  <c r="Z579" i="1"/>
  <c r="Z578" i="1"/>
  <c r="Z565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H153" i="1"/>
  <c r="S153" i="1" s="1"/>
  <c r="R153" i="1" l="1"/>
  <c r="T153" i="1"/>
  <c r="Z153" i="1"/>
  <c r="N3603" i="6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354" i="1"/>
  <c r="V355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28" i="1"/>
  <c r="V29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H129" i="1"/>
  <c r="S129" i="1" s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K153" i="1"/>
  <c r="AO153" i="1"/>
  <c r="W153" i="1" s="1"/>
  <c r="AP153" i="1"/>
  <c r="AQ153" i="1"/>
  <c r="AR153" i="1"/>
  <c r="AU153" i="1"/>
  <c r="AT153" i="1" s="1"/>
  <c r="AV153" i="1"/>
  <c r="AS153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U354" i="1"/>
  <c r="Y354" i="1" s="1"/>
  <c r="U355" i="1"/>
  <c r="X355" i="1" s="1"/>
  <c r="X154" i="1"/>
  <c r="X155" i="1"/>
  <c r="Y156" i="1"/>
  <c r="Y157" i="1"/>
  <c r="X158" i="1"/>
  <c r="X159" i="1"/>
  <c r="Y160" i="1"/>
  <c r="U161" i="1"/>
  <c r="Y161" i="1" s="1"/>
  <c r="U162" i="1"/>
  <c r="X162" i="1" s="1"/>
  <c r="Y163" i="1"/>
  <c r="Y164" i="1"/>
  <c r="X165" i="1"/>
  <c r="U166" i="1"/>
  <c r="X166" i="1" s="1"/>
  <c r="U167" i="1"/>
  <c r="X167" i="1" s="1"/>
  <c r="Y168" i="1"/>
  <c r="X169" i="1"/>
  <c r="X170" i="1"/>
  <c r="Y171" i="1"/>
  <c r="U172" i="1"/>
  <c r="Y172" i="1" s="1"/>
  <c r="U173" i="1"/>
  <c r="X173" i="1" s="1"/>
  <c r="X174" i="1"/>
  <c r="X175" i="1"/>
  <c r="Y176" i="1"/>
  <c r="Y177" i="1"/>
  <c r="U178" i="1"/>
  <c r="X178" i="1" s="1"/>
  <c r="U179" i="1"/>
  <c r="X179" i="1" s="1"/>
  <c r="U180" i="1"/>
  <c r="Y180" i="1" s="1"/>
  <c r="U181" i="1"/>
  <c r="Y181" i="1" s="1"/>
  <c r="U182" i="1"/>
  <c r="Y182" i="1" s="1"/>
  <c r="U183" i="1"/>
  <c r="X183" i="1" s="1"/>
  <c r="U184" i="1"/>
  <c r="Y184" i="1" s="1"/>
  <c r="U185" i="1"/>
  <c r="X185" i="1" s="1"/>
  <c r="U186" i="1"/>
  <c r="X186" i="1" s="1"/>
  <c r="U187" i="1"/>
  <c r="Y187" i="1" s="1"/>
  <c r="Y188" i="1"/>
  <c r="Y189" i="1"/>
  <c r="Y190" i="1"/>
  <c r="X191" i="1"/>
  <c r="Y192" i="1"/>
  <c r="X193" i="1"/>
  <c r="X194" i="1"/>
  <c r="Y195" i="1"/>
  <c r="Y196" i="1"/>
  <c r="U197" i="1"/>
  <c r="X197" i="1" s="1"/>
  <c r="X198" i="1"/>
  <c r="X199" i="1"/>
  <c r="X200" i="1"/>
  <c r="X201" i="1"/>
  <c r="X202" i="1"/>
  <c r="X203" i="1"/>
  <c r="X204" i="1"/>
  <c r="X205" i="1"/>
  <c r="U206" i="1"/>
  <c r="Y206" i="1" s="1"/>
  <c r="X207" i="1"/>
  <c r="Y208" i="1"/>
  <c r="X209" i="1"/>
  <c r="X210" i="1"/>
  <c r="Y211" i="1"/>
  <c r="Y212" i="1"/>
  <c r="Y213" i="1"/>
  <c r="Y214" i="1"/>
  <c r="Y215" i="1"/>
  <c r="X216" i="1"/>
  <c r="X217" i="1"/>
  <c r="X218" i="1"/>
  <c r="X219" i="1"/>
  <c r="Y220" i="1"/>
  <c r="Y221" i="1"/>
  <c r="X222" i="1"/>
  <c r="U223" i="1"/>
  <c r="X223" i="1" s="1"/>
  <c r="X224" i="1"/>
  <c r="X225" i="1"/>
  <c r="X226" i="1"/>
  <c r="Y227" i="1"/>
  <c r="X228" i="1"/>
  <c r="X229" i="1"/>
  <c r="X230" i="1"/>
  <c r="X231" i="1"/>
  <c r="X232" i="1"/>
  <c r="X233" i="1"/>
  <c r="X234" i="1"/>
  <c r="X235" i="1"/>
  <c r="Y236" i="1"/>
  <c r="X237" i="1"/>
  <c r="X238" i="1"/>
  <c r="X239" i="1"/>
  <c r="X240" i="1"/>
  <c r="Y241" i="1"/>
  <c r="X242" i="1"/>
  <c r="X243" i="1"/>
  <c r="X244" i="1"/>
  <c r="Y245" i="1"/>
  <c r="Y246" i="1"/>
  <c r="X247" i="1"/>
  <c r="Y248" i="1"/>
  <c r="X249" i="1"/>
  <c r="U250" i="1"/>
  <c r="X250" i="1" s="1"/>
  <c r="U251" i="1"/>
  <c r="X251" i="1" s="1"/>
  <c r="U252" i="1"/>
  <c r="Y252" i="1" s="1"/>
  <c r="U253" i="1"/>
  <c r="Y253" i="1" s="1"/>
  <c r="U254" i="1"/>
  <c r="X254" i="1" s="1"/>
  <c r="U255" i="1"/>
  <c r="X255" i="1" s="1"/>
  <c r="U256" i="1"/>
  <c r="X256" i="1" s="1"/>
  <c r="U257" i="1"/>
  <c r="X257" i="1" s="1"/>
  <c r="U258" i="1"/>
  <c r="X258" i="1" s="1"/>
  <c r="U259" i="1"/>
  <c r="X259" i="1" s="1"/>
  <c r="U260" i="1"/>
  <c r="X260" i="1" s="1"/>
  <c r="U261" i="1"/>
  <c r="X261" i="1" s="1"/>
  <c r="U262" i="1"/>
  <c r="X262" i="1" s="1"/>
  <c r="U263" i="1"/>
  <c r="X263" i="1" s="1"/>
  <c r="Y264" i="1"/>
  <c r="Y265" i="1"/>
  <c r="X266" i="1"/>
  <c r="X267" i="1"/>
  <c r="U268" i="1"/>
  <c r="Y268" i="1" s="1"/>
  <c r="X269" i="1"/>
  <c r="X270" i="1"/>
  <c r="X271" i="1"/>
  <c r="X272" i="1"/>
  <c r="Y273" i="1"/>
  <c r="X274" i="1"/>
  <c r="X275" i="1"/>
  <c r="X276" i="1"/>
  <c r="Y277" i="1"/>
  <c r="X278" i="1"/>
  <c r="X279" i="1"/>
  <c r="X280" i="1"/>
  <c r="X281" i="1"/>
  <c r="X282" i="1"/>
  <c r="X283" i="1"/>
  <c r="X284" i="1"/>
  <c r="Y285" i="1"/>
  <c r="X286" i="1"/>
  <c r="X287" i="1"/>
  <c r="Y288" i="1"/>
  <c r="Y289" i="1"/>
  <c r="X290" i="1"/>
  <c r="X291" i="1"/>
  <c r="Y292" i="1"/>
  <c r="U293" i="1"/>
  <c r="Y293" i="1" s="1"/>
  <c r="Y294" i="1"/>
  <c r="X295" i="1"/>
  <c r="X296" i="1"/>
  <c r="Y297" i="1"/>
  <c r="X298" i="1"/>
  <c r="Y299" i="1"/>
  <c r="X300" i="1"/>
  <c r="U301" i="1"/>
  <c r="X301" i="1" s="1"/>
  <c r="X302" i="1"/>
  <c r="X303" i="1"/>
  <c r="U304" i="1"/>
  <c r="X304" i="1" s="1"/>
  <c r="U305" i="1"/>
  <c r="Y305" i="1" s="1"/>
  <c r="U306" i="1"/>
  <c r="X306" i="1" s="1"/>
  <c r="U307" i="1"/>
  <c r="X307" i="1" s="1"/>
  <c r="U308" i="1"/>
  <c r="Y308" i="1" s="1"/>
  <c r="U309" i="1"/>
  <c r="X309" i="1" s="1"/>
  <c r="U310" i="1"/>
  <c r="Y310" i="1" s="1"/>
  <c r="U311" i="1"/>
  <c r="X311" i="1" s="1"/>
  <c r="U312" i="1"/>
  <c r="Y312" i="1" s="1"/>
  <c r="U313" i="1"/>
  <c r="X313" i="1" s="1"/>
  <c r="U314" i="1"/>
  <c r="X314" i="1" s="1"/>
  <c r="U315" i="1"/>
  <c r="X315" i="1" s="1"/>
  <c r="U316" i="1"/>
  <c r="X316" i="1" s="1"/>
  <c r="U317" i="1"/>
  <c r="Y317" i="1" s="1"/>
  <c r="U318" i="1"/>
  <c r="Y318" i="1" s="1"/>
  <c r="U319" i="1"/>
  <c r="X319" i="1" s="1"/>
  <c r="U320" i="1"/>
  <c r="Y320" i="1" s="1"/>
  <c r="U321" i="1"/>
  <c r="Y321" i="1" s="1"/>
  <c r="U322" i="1"/>
  <c r="X322" i="1" s="1"/>
  <c r="U323" i="1"/>
  <c r="X323" i="1" s="1"/>
  <c r="U324" i="1"/>
  <c r="Y324" i="1" s="1"/>
  <c r="U325" i="1"/>
  <c r="Y325" i="1" s="1"/>
  <c r="U326" i="1"/>
  <c r="X326" i="1" s="1"/>
  <c r="U327" i="1"/>
  <c r="X327" i="1" s="1"/>
  <c r="Y328" i="1"/>
  <c r="Y329" i="1"/>
  <c r="X330" i="1"/>
  <c r="X331" i="1"/>
  <c r="Y332" i="1"/>
  <c r="X333" i="1"/>
  <c r="Y334" i="1"/>
  <c r="X335" i="1"/>
  <c r="X336" i="1"/>
  <c r="X337" i="1"/>
  <c r="U338" i="1"/>
  <c r="X338" i="1" s="1"/>
  <c r="U339" i="1"/>
  <c r="X339" i="1" s="1"/>
  <c r="U340" i="1"/>
  <c r="Y340" i="1" s="1"/>
  <c r="U341" i="1"/>
  <c r="X341" i="1" s="1"/>
  <c r="U342" i="1"/>
  <c r="X342" i="1" s="1"/>
  <c r="U343" i="1"/>
  <c r="Y343" i="1" s="1"/>
  <c r="U344" i="1"/>
  <c r="X344" i="1" s="1"/>
  <c r="U345" i="1"/>
  <c r="X345" i="1" s="1"/>
  <c r="U346" i="1"/>
  <c r="X346" i="1" s="1"/>
  <c r="U347" i="1"/>
  <c r="X347" i="1" s="1"/>
  <c r="U348" i="1"/>
  <c r="X348" i="1" s="1"/>
  <c r="U349" i="1"/>
  <c r="Y349" i="1" s="1"/>
  <c r="U350" i="1"/>
  <c r="Y350" i="1" s="1"/>
  <c r="U351" i="1"/>
  <c r="X351" i="1" s="1"/>
  <c r="U352" i="1"/>
  <c r="Y352" i="1" s="1"/>
  <c r="U353" i="1"/>
  <c r="X353" i="1" s="1"/>
  <c r="U28" i="1"/>
  <c r="X28" i="1" s="1"/>
  <c r="U29" i="1"/>
  <c r="X29" i="1" s="1"/>
  <c r="U30" i="1"/>
  <c r="X30" i="1" s="1"/>
  <c r="U31" i="1"/>
  <c r="Y31" i="1" s="1"/>
  <c r="U32" i="1"/>
  <c r="X32" i="1" s="1"/>
  <c r="U33" i="1"/>
  <c r="X33" i="1" s="1"/>
  <c r="U34" i="1"/>
  <c r="Y34" i="1" s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4" i="1"/>
  <c r="W355" i="1"/>
  <c r="W161" i="1"/>
  <c r="W162" i="1"/>
  <c r="W166" i="1"/>
  <c r="W167" i="1"/>
  <c r="W178" i="1"/>
  <c r="W179" i="1"/>
  <c r="W180" i="1"/>
  <c r="W181" i="1"/>
  <c r="W182" i="1"/>
  <c r="W183" i="1"/>
  <c r="W184" i="1"/>
  <c r="W185" i="1"/>
  <c r="W186" i="1"/>
  <c r="W187" i="1"/>
  <c r="W197" i="1"/>
  <c r="W206" i="1"/>
  <c r="W223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8" i="1"/>
  <c r="W293" i="1"/>
  <c r="W301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3" i="1"/>
  <c r="Y11" i="1"/>
  <c r="X19" i="1"/>
  <c r="Y237" i="1"/>
  <c r="X329" i="1"/>
  <c r="X317" i="1"/>
  <c r="Y7" i="1"/>
  <c r="X305" i="1"/>
  <c r="Y193" i="1"/>
  <c r="X208" i="1"/>
  <c r="Y201" i="1"/>
  <c r="Y313" i="1"/>
  <c r="Y269" i="1"/>
  <c r="X15" i="1"/>
  <c r="Y225" i="1"/>
  <c r="X264" i="1"/>
  <c r="Y240" i="1"/>
  <c r="Y217" i="1"/>
  <c r="Y296" i="1"/>
  <c r="X320" i="1"/>
  <c r="Y232" i="1"/>
  <c r="Y14" i="1"/>
  <c r="X312" i="1"/>
  <c r="X192" i="1"/>
  <c r="X248" i="1"/>
  <c r="Y272" i="1"/>
  <c r="Y224" i="1"/>
  <c r="X176" i="1"/>
  <c r="Y280" i="1"/>
  <c r="X184" i="1"/>
  <c r="Y344" i="1"/>
  <c r="Y6" i="1"/>
  <c r="X288" i="1"/>
  <c r="X168" i="1"/>
  <c r="Y216" i="1"/>
  <c r="Y256" i="1"/>
  <c r="X352" i="1"/>
  <c r="X160" i="1"/>
  <c r="Y304" i="1"/>
  <c r="Y200" i="1"/>
  <c r="Y22" i="1"/>
  <c r="Y336" i="1"/>
  <c r="X182" i="1"/>
  <c r="X354" i="1"/>
  <c r="X206" i="1"/>
  <c r="Y262" i="1"/>
  <c r="Y174" i="1"/>
  <c r="X246" i="1"/>
  <c r="Y20" i="1"/>
  <c r="Y238" i="1"/>
  <c r="X34" i="1"/>
  <c r="X190" i="1"/>
  <c r="X328" i="1"/>
  <c r="Y337" i="1"/>
  <c r="Y281" i="1"/>
  <c r="Y222" i="1"/>
  <c r="Y198" i="1"/>
  <c r="Y4" i="1"/>
  <c r="X321" i="1"/>
  <c r="X297" i="1"/>
  <c r="X273" i="1"/>
  <c r="X161" i="1"/>
  <c r="X12" i="1"/>
  <c r="Y302" i="1"/>
  <c r="Y278" i="1"/>
  <c r="Y257" i="1"/>
  <c r="Y169" i="1"/>
  <c r="X318" i="1"/>
  <c r="X294" i="1"/>
  <c r="X265" i="1"/>
  <c r="X241" i="1"/>
  <c r="X177" i="1"/>
  <c r="X23" i="1"/>
  <c r="Y326" i="1"/>
  <c r="Y233" i="1"/>
  <c r="Y209" i="1"/>
  <c r="X289" i="1"/>
  <c r="Y32" i="1"/>
  <c r="Y254" i="1"/>
  <c r="Y185" i="1"/>
  <c r="Y166" i="1"/>
  <c r="Y345" i="1"/>
  <c r="Y270" i="1"/>
  <c r="Y249" i="1"/>
  <c r="Y230" i="1"/>
  <c r="X334" i="1"/>
  <c r="X214" i="1"/>
  <c r="Y342" i="1"/>
  <c r="Y286" i="1"/>
  <c r="Y158" i="1"/>
  <c r="X299" i="1"/>
  <c r="X171" i="1"/>
  <c r="Y347" i="1"/>
  <c r="Y179" i="1"/>
  <c r="Y251" i="1"/>
  <c r="X227" i="1"/>
  <c r="X25" i="1"/>
  <c r="Y323" i="1"/>
  <c r="Y275" i="1"/>
  <c r="X195" i="1"/>
  <c r="Y155" i="1"/>
  <c r="Y300" i="1"/>
  <c r="X215" i="1"/>
  <c r="Y279" i="1"/>
  <c r="X350" i="1"/>
  <c r="X310" i="1"/>
  <c r="X188" i="1"/>
  <c r="Y35" i="1"/>
  <c r="Y353" i="1"/>
  <c r="Y260" i="1"/>
  <c r="X343" i="1"/>
  <c r="X221" i="1"/>
  <c r="Y173" i="1"/>
  <c r="X253" i="1"/>
  <c r="X31" i="1"/>
  <c r="Y309" i="1"/>
  <c r="Y341" i="1"/>
  <c r="Y205" i="1"/>
  <c r="X285" i="1"/>
  <c r="X181" i="1"/>
  <c r="Y284" i="1"/>
  <c r="Y244" i="1"/>
  <c r="Y204" i="1"/>
  <c r="X340" i="1"/>
  <c r="X324" i="1"/>
  <c r="X172" i="1"/>
  <c r="X10" i="1"/>
  <c r="Y228" i="1"/>
  <c r="Y18" i="1"/>
  <c r="X268" i="1"/>
  <c r="X156" i="1"/>
  <c r="Y348" i="1"/>
  <c r="Y2" i="1"/>
  <c r="X308" i="1"/>
  <c r="X252" i="1"/>
  <c r="X236" i="1"/>
  <c r="X212" i="1"/>
  <c r="X196" i="1"/>
  <c r="X292" i="1"/>
  <c r="X220" i="1"/>
  <c r="X180" i="1"/>
  <c r="AI153" i="1"/>
  <c r="X332" i="1"/>
  <c r="Y276" i="1"/>
  <c r="Y26" i="1"/>
  <c r="X164" i="1"/>
  <c r="Y30" i="1"/>
  <c r="Y316" i="1"/>
  <c r="X187" i="1"/>
  <c r="X163" i="1"/>
  <c r="Y315" i="1"/>
  <c r="Y291" i="1"/>
  <c r="Y243" i="1"/>
  <c r="Y219" i="1"/>
  <c r="X211" i="1"/>
  <c r="X17" i="1"/>
  <c r="Y339" i="1"/>
  <c r="Y267" i="1"/>
  <c r="Y203" i="1"/>
  <c r="Y9" i="1"/>
  <c r="Y29" i="1"/>
  <c r="Y283" i="1"/>
  <c r="Y331" i="1"/>
  <c r="Y307" i="1"/>
  <c r="Y259" i="1"/>
  <c r="Y235" i="1"/>
  <c r="Y261" i="1"/>
  <c r="Y229" i="1"/>
  <c r="Y333" i="1"/>
  <c r="Y301" i="1"/>
  <c r="Y197" i="1"/>
  <c r="Y165" i="1"/>
  <c r="Y3" i="1"/>
  <c r="X349" i="1"/>
  <c r="X277" i="1"/>
  <c r="X245" i="1"/>
  <c r="X325" i="1"/>
  <c r="X293" i="1"/>
  <c r="X189" i="1"/>
  <c r="X157" i="1"/>
  <c r="X27" i="1"/>
  <c r="Y115" i="1"/>
  <c r="Y80" i="1"/>
  <c r="Y351" i="1"/>
  <c r="Y287" i="1"/>
  <c r="Y223" i="1"/>
  <c r="Y159" i="1"/>
  <c r="Y5" i="1"/>
  <c r="Y33" i="1"/>
  <c r="Y295" i="1"/>
  <c r="Y231" i="1"/>
  <c r="Y167" i="1"/>
  <c r="Y13" i="1"/>
  <c r="Y303" i="1"/>
  <c r="Y239" i="1"/>
  <c r="Y175" i="1"/>
  <c r="Y21" i="1"/>
  <c r="Y311" i="1"/>
  <c r="Y247" i="1"/>
  <c r="Y183" i="1"/>
  <c r="Y355" i="1"/>
  <c r="Y319" i="1"/>
  <c r="Y255" i="1"/>
  <c r="Y191" i="1"/>
  <c r="Y327" i="1"/>
  <c r="Y263" i="1"/>
  <c r="Y199" i="1"/>
  <c r="Y335" i="1"/>
  <c r="Y271" i="1"/>
  <c r="Y207" i="1"/>
  <c r="Y28" i="1"/>
  <c r="Y346" i="1"/>
  <c r="Y338" i="1"/>
  <c r="Y330" i="1"/>
  <c r="Y322" i="1"/>
  <c r="Y314" i="1"/>
  <c r="Y306" i="1"/>
  <c r="Y298" i="1"/>
  <c r="Y290" i="1"/>
  <c r="Y282" i="1"/>
  <c r="Y274" i="1"/>
  <c r="Y266" i="1"/>
  <c r="Y258" i="1"/>
  <c r="Y250" i="1"/>
  <c r="Y242" i="1"/>
  <c r="Y234" i="1"/>
  <c r="Y226" i="1"/>
  <c r="Y218" i="1"/>
  <c r="Y210" i="1"/>
  <c r="Y202" i="1"/>
  <c r="Y194" i="1"/>
  <c r="Y186" i="1"/>
  <c r="Y178" i="1"/>
  <c r="Y170" i="1"/>
  <c r="Y162" i="1"/>
  <c r="Y154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3" i="1"/>
  <c r="AS353" i="1" s="1"/>
  <c r="AU353" i="1"/>
  <c r="AT353" i="1" s="1"/>
  <c r="AR353" i="1"/>
  <c r="AQ353" i="1"/>
  <c r="AP353" i="1"/>
  <c r="AO353" i="1"/>
  <c r="AK353" i="1"/>
  <c r="Q353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U299" i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V171" i="1"/>
  <c r="AS171" i="1" s="1"/>
  <c r="AU171" i="1"/>
  <c r="AT171" i="1" s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R169" i="1"/>
  <c r="AQ169" i="1"/>
  <c r="AP169" i="1"/>
  <c r="AO169" i="1"/>
  <c r="AK169" i="1"/>
  <c r="Q169" i="1"/>
  <c r="AV168" i="1"/>
  <c r="AS168" i="1" s="1"/>
  <c r="AU168" i="1"/>
  <c r="AT168" i="1" s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R166" i="1"/>
  <c r="AQ166" i="1"/>
  <c r="AP166" i="1"/>
  <c r="AO166" i="1"/>
  <c r="AK166" i="1"/>
  <c r="Q166" i="1"/>
  <c r="AU165" i="1"/>
  <c r="AR165" i="1"/>
  <c r="AQ165" i="1"/>
  <c r="AP165" i="1"/>
  <c r="AO165" i="1"/>
  <c r="AK165" i="1"/>
  <c r="Q165" i="1"/>
  <c r="AR164" i="1"/>
  <c r="AQ164" i="1"/>
  <c r="AP164" i="1"/>
  <c r="AO164" i="1"/>
  <c r="AK164" i="1"/>
  <c r="Q164" i="1"/>
  <c r="AU163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R160" i="1"/>
  <c r="AQ160" i="1"/>
  <c r="AP160" i="1"/>
  <c r="AO160" i="1"/>
  <c r="AK160" i="1"/>
  <c r="Q160" i="1"/>
  <c r="AU159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R155" i="1"/>
  <c r="AQ155" i="1"/>
  <c r="AP155" i="1"/>
  <c r="AO155" i="1"/>
  <c r="AK155" i="1"/>
  <c r="Q155" i="1"/>
  <c r="Q154" i="1"/>
  <c r="AU439" i="1"/>
  <c r="AR439" i="1"/>
  <c r="AQ439" i="1"/>
  <c r="AP439" i="1"/>
  <c r="AO439" i="1"/>
  <c r="AK439" i="1"/>
  <c r="Q439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AU34" i="1"/>
  <c r="S33" i="1"/>
  <c r="AU33" i="1"/>
  <c r="S32" i="1"/>
  <c r="AU32" i="1"/>
  <c r="S31" i="1"/>
  <c r="AU31" i="1"/>
  <c r="S30" i="1"/>
  <c r="AU30" i="1"/>
  <c r="S29" i="1"/>
  <c r="AU29" i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T34" i="1"/>
  <c r="AT33" i="1"/>
  <c r="AT32" i="1"/>
  <c r="AT31" i="1"/>
  <c r="AT30" i="1"/>
  <c r="T34" i="1"/>
  <c r="AV34" i="1"/>
  <c r="AS34" i="1" s="1"/>
  <c r="T33" i="1"/>
  <c r="AV33" i="1"/>
  <c r="AS33" i="1" s="1"/>
  <c r="T32" i="1"/>
  <c r="AV32" i="1"/>
  <c r="AS32" i="1" s="1"/>
  <c r="T31" i="1"/>
  <c r="AV31" i="1"/>
  <c r="AS31" i="1" s="1"/>
  <c r="T30" i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T29" i="1"/>
  <c r="T29" i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1" i="1"/>
  <c r="T161" i="1"/>
  <c r="Z161" i="1"/>
  <c r="AI161" i="1" s="1"/>
  <c r="R162" i="1"/>
  <c r="T162" i="1"/>
  <c r="Z162" i="1"/>
  <c r="AI162" i="1" s="1"/>
  <c r="T163" i="1"/>
  <c r="R163" i="1"/>
  <c r="Z163" i="1"/>
  <c r="AI163" i="1" s="1"/>
  <c r="AV164" i="1"/>
  <c r="AS164" i="1" s="1"/>
  <c r="R164" i="1"/>
  <c r="T164" i="1"/>
  <c r="Z164" i="1"/>
  <c r="AI164" i="1" s="1"/>
  <c r="AV169" i="1"/>
  <c r="AS169" i="1" s="1"/>
  <c r="R169" i="1"/>
  <c r="T169" i="1"/>
  <c r="Z169" i="1"/>
  <c r="AI169" i="1" s="1"/>
  <c r="R171" i="1"/>
  <c r="T171" i="1"/>
  <c r="Z171" i="1"/>
  <c r="AI171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T346" i="1"/>
  <c r="R346" i="1"/>
  <c r="Z346" i="1"/>
  <c r="AI346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6" i="1"/>
  <c r="T156" i="1"/>
  <c r="Z156" i="1"/>
  <c r="AI156" i="1" s="1"/>
  <c r="R157" i="1"/>
  <c r="T157" i="1"/>
  <c r="Z157" i="1"/>
  <c r="AI157" i="1" s="1"/>
  <c r="AV158" i="1"/>
  <c r="AS158" i="1" s="1"/>
  <c r="T158" i="1"/>
  <c r="R158" i="1"/>
  <c r="Z158" i="1"/>
  <c r="AI158" i="1" s="1"/>
  <c r="R159" i="1"/>
  <c r="T159" i="1"/>
  <c r="Z159" i="1"/>
  <c r="AI159" i="1" s="1"/>
  <c r="AV160" i="1"/>
  <c r="AS160" i="1" s="1"/>
  <c r="T160" i="1"/>
  <c r="R160" i="1"/>
  <c r="Z160" i="1"/>
  <c r="AI160" i="1" s="1"/>
  <c r="AV172" i="1"/>
  <c r="AS172" i="1" s="1"/>
  <c r="T172" i="1"/>
  <c r="R172" i="1"/>
  <c r="Z172" i="1"/>
  <c r="AI172" i="1" s="1"/>
  <c r="AV173" i="1"/>
  <c r="AS173" i="1" s="1"/>
  <c r="T173" i="1"/>
  <c r="R173" i="1"/>
  <c r="Z173" i="1"/>
  <c r="AI173" i="1" s="1"/>
  <c r="R174" i="1"/>
  <c r="T174" i="1"/>
  <c r="Z174" i="1"/>
  <c r="AI174" i="1" s="1"/>
  <c r="R175" i="1"/>
  <c r="T175" i="1"/>
  <c r="Z175" i="1"/>
  <c r="AI175" i="1" s="1"/>
  <c r="T176" i="1"/>
  <c r="R176" i="1"/>
  <c r="Z176" i="1"/>
  <c r="AI176" i="1" s="1"/>
  <c r="R177" i="1"/>
  <c r="T177" i="1"/>
  <c r="Z177" i="1"/>
  <c r="AI177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29" i="1"/>
  <c r="Z29" i="1"/>
  <c r="AI29" i="1" s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5" i="1"/>
  <c r="T155" i="1"/>
  <c r="Z155" i="1"/>
  <c r="AI155" i="1" s="1"/>
  <c r="R178" i="1"/>
  <c r="T178" i="1"/>
  <c r="Z178" i="1"/>
  <c r="AI178" i="1" s="1"/>
  <c r="R179" i="1"/>
  <c r="T179" i="1"/>
  <c r="Z179" i="1"/>
  <c r="AI179" i="1" s="1"/>
  <c r="R180" i="1"/>
  <c r="T180" i="1"/>
  <c r="Z180" i="1"/>
  <c r="AI180" i="1" s="1"/>
  <c r="AV181" i="1"/>
  <c r="AS181" i="1" s="1"/>
  <c r="T181" i="1"/>
  <c r="R181" i="1"/>
  <c r="Z181" i="1"/>
  <c r="AI181" i="1" s="1"/>
  <c r="R182" i="1"/>
  <c r="T182" i="1"/>
  <c r="Z182" i="1"/>
  <c r="AI182" i="1" s="1"/>
  <c r="AV183" i="1"/>
  <c r="AS183" i="1" s="1"/>
  <c r="R183" i="1"/>
  <c r="T183" i="1"/>
  <c r="Z183" i="1"/>
  <c r="AI183" i="1" s="1"/>
  <c r="T184" i="1"/>
  <c r="R184" i="1"/>
  <c r="Z184" i="1"/>
  <c r="AI184" i="1" s="1"/>
  <c r="AV185" i="1"/>
  <c r="AS185" i="1" s="1"/>
  <c r="R185" i="1"/>
  <c r="T185" i="1"/>
  <c r="Z185" i="1"/>
  <c r="AI185" i="1" s="1"/>
  <c r="R186" i="1"/>
  <c r="T186" i="1"/>
  <c r="Z186" i="1"/>
  <c r="AI186" i="1" s="1"/>
  <c r="R187" i="1"/>
  <c r="T187" i="1"/>
  <c r="Z187" i="1"/>
  <c r="AI187" i="1" s="1"/>
  <c r="T188" i="1"/>
  <c r="R188" i="1"/>
  <c r="Z188" i="1"/>
  <c r="AI188" i="1" s="1"/>
  <c r="AV189" i="1"/>
  <c r="AS189" i="1" s="1"/>
  <c r="R189" i="1"/>
  <c r="T189" i="1"/>
  <c r="Z189" i="1"/>
  <c r="AI189" i="1" s="1"/>
  <c r="R190" i="1"/>
  <c r="T190" i="1"/>
  <c r="Z190" i="1"/>
  <c r="AI190" i="1" s="1"/>
  <c r="AV191" i="1"/>
  <c r="AS191" i="1" s="1"/>
  <c r="R191" i="1"/>
  <c r="T191" i="1"/>
  <c r="Z191" i="1"/>
  <c r="AI191" i="1" s="1"/>
  <c r="T192" i="1"/>
  <c r="R192" i="1"/>
  <c r="Z192" i="1"/>
  <c r="AI192" i="1" s="1"/>
  <c r="AV193" i="1"/>
  <c r="AS193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R196" i="1"/>
  <c r="T196" i="1"/>
  <c r="Z196" i="1"/>
  <c r="AI196" i="1" s="1"/>
  <c r="AV197" i="1"/>
  <c r="AS197" i="1" s="1"/>
  <c r="T197" i="1"/>
  <c r="R197" i="1"/>
  <c r="Z197" i="1"/>
  <c r="AI197" i="1" s="1"/>
  <c r="R198" i="1"/>
  <c r="T198" i="1"/>
  <c r="Z198" i="1"/>
  <c r="AI198" i="1" s="1"/>
  <c r="AV199" i="1"/>
  <c r="AS199" i="1" s="1"/>
  <c r="R199" i="1"/>
  <c r="T199" i="1"/>
  <c r="Z199" i="1"/>
  <c r="AI199" i="1" s="1"/>
  <c r="T200" i="1"/>
  <c r="R200" i="1"/>
  <c r="Z200" i="1"/>
  <c r="AI200" i="1" s="1"/>
  <c r="AV201" i="1"/>
  <c r="AS201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R204" i="1"/>
  <c r="T204" i="1"/>
  <c r="Z204" i="1"/>
  <c r="AI204" i="1" s="1"/>
  <c r="AV205" i="1"/>
  <c r="AS205" i="1" s="1"/>
  <c r="R205" i="1"/>
  <c r="T205" i="1"/>
  <c r="Z205" i="1"/>
  <c r="AI205" i="1" s="1"/>
  <c r="T206" i="1"/>
  <c r="R206" i="1"/>
  <c r="Z206" i="1"/>
  <c r="AI206" i="1" s="1"/>
  <c r="AV207" i="1"/>
  <c r="AS207" i="1" s="1"/>
  <c r="T207" i="1"/>
  <c r="R207" i="1"/>
  <c r="Z207" i="1"/>
  <c r="AI207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AV211" i="1"/>
  <c r="AS211" i="1" s="1"/>
  <c r="R211" i="1"/>
  <c r="T211" i="1"/>
  <c r="Z211" i="1"/>
  <c r="AI211" i="1" s="1"/>
  <c r="R212" i="1"/>
  <c r="T212" i="1"/>
  <c r="Z212" i="1"/>
  <c r="AI212" i="1" s="1"/>
  <c r="T213" i="1"/>
  <c r="R213" i="1"/>
  <c r="Z213" i="1"/>
  <c r="AI213" i="1" s="1"/>
  <c r="R214" i="1"/>
  <c r="T214" i="1"/>
  <c r="Z214" i="1"/>
  <c r="AI214" i="1" s="1"/>
  <c r="R215" i="1"/>
  <c r="T215" i="1"/>
  <c r="Z215" i="1"/>
  <c r="AI215" i="1" s="1"/>
  <c r="AV216" i="1"/>
  <c r="AS216" i="1" s="1"/>
  <c r="T216" i="1"/>
  <c r="R216" i="1"/>
  <c r="Z216" i="1"/>
  <c r="AI216" i="1" s="1"/>
  <c r="R217" i="1"/>
  <c r="T217" i="1"/>
  <c r="Z217" i="1"/>
  <c r="AI217" i="1" s="1"/>
  <c r="AV218" i="1"/>
  <c r="AS218" i="1" s="1"/>
  <c r="R218" i="1"/>
  <c r="T218" i="1"/>
  <c r="Z218" i="1"/>
  <c r="AI218" i="1" s="1"/>
  <c r="R219" i="1"/>
  <c r="T219" i="1"/>
  <c r="Z219" i="1"/>
  <c r="AI219" i="1" s="1"/>
  <c r="AV220" i="1"/>
  <c r="AS220" i="1" s="1"/>
  <c r="T220" i="1"/>
  <c r="R220" i="1"/>
  <c r="Z220" i="1"/>
  <c r="AI220" i="1" s="1"/>
  <c r="T221" i="1"/>
  <c r="R221" i="1"/>
  <c r="Z221" i="1"/>
  <c r="AI221" i="1" s="1"/>
  <c r="AV222" i="1"/>
  <c r="AS222" i="1" s="1"/>
  <c r="R222" i="1"/>
  <c r="T222" i="1"/>
  <c r="Z222" i="1"/>
  <c r="AI222" i="1" s="1"/>
  <c r="R223" i="1"/>
  <c r="T223" i="1"/>
  <c r="Z223" i="1"/>
  <c r="AI223" i="1" s="1"/>
  <c r="T224" i="1"/>
  <c r="R224" i="1"/>
  <c r="Z224" i="1"/>
  <c r="AI224" i="1" s="1"/>
  <c r="R225" i="1"/>
  <c r="T225" i="1"/>
  <c r="Z225" i="1"/>
  <c r="AI225" i="1" s="1"/>
  <c r="AV226" i="1"/>
  <c r="AS226" i="1" s="1"/>
  <c r="R226" i="1"/>
  <c r="T226" i="1"/>
  <c r="Z226" i="1"/>
  <c r="AI226" i="1" s="1"/>
  <c r="R227" i="1"/>
  <c r="T227" i="1"/>
  <c r="Z227" i="1"/>
  <c r="AI227" i="1" s="1"/>
  <c r="AV228" i="1"/>
  <c r="AS228" i="1" s="1"/>
  <c r="R228" i="1"/>
  <c r="T228" i="1"/>
  <c r="Z228" i="1"/>
  <c r="AI228" i="1" s="1"/>
  <c r="T229" i="1"/>
  <c r="R229" i="1"/>
  <c r="Z229" i="1"/>
  <c r="AI229" i="1" s="1"/>
  <c r="AV230" i="1"/>
  <c r="AS230" i="1" s="1"/>
  <c r="R230" i="1"/>
  <c r="T230" i="1"/>
  <c r="Z230" i="1"/>
  <c r="AI230" i="1" s="1"/>
  <c r="R231" i="1"/>
  <c r="T231" i="1"/>
  <c r="Z231" i="1"/>
  <c r="AI231" i="1" s="1"/>
  <c r="AV232" i="1"/>
  <c r="AS232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R235" i="1"/>
  <c r="T235" i="1"/>
  <c r="Z235" i="1"/>
  <c r="AI235" i="1" s="1"/>
  <c r="AV236" i="1"/>
  <c r="AS236" i="1" s="1"/>
  <c r="R236" i="1"/>
  <c r="T236" i="1"/>
  <c r="Z236" i="1"/>
  <c r="AI236" i="1" s="1"/>
  <c r="T237" i="1"/>
  <c r="R237" i="1"/>
  <c r="Z237" i="1"/>
  <c r="AI237" i="1" s="1"/>
  <c r="R238" i="1"/>
  <c r="T238" i="1"/>
  <c r="Z238" i="1"/>
  <c r="AI238" i="1" s="1"/>
  <c r="R239" i="1"/>
  <c r="T239" i="1"/>
  <c r="Z239" i="1"/>
  <c r="AI239" i="1" s="1"/>
  <c r="T240" i="1"/>
  <c r="R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R244" i="1"/>
  <c r="T244" i="1"/>
  <c r="Z244" i="1"/>
  <c r="AI244" i="1" s="1"/>
  <c r="T245" i="1"/>
  <c r="R245" i="1"/>
  <c r="Z245" i="1"/>
  <c r="AI245" i="1" s="1"/>
  <c r="R246" i="1"/>
  <c r="T246" i="1"/>
  <c r="Z246" i="1"/>
  <c r="AI246" i="1" s="1"/>
  <c r="T247" i="1"/>
  <c r="R247" i="1"/>
  <c r="Z247" i="1"/>
  <c r="AI247" i="1" s="1"/>
  <c r="T248" i="1"/>
  <c r="R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R252" i="1"/>
  <c r="T252" i="1"/>
  <c r="Z252" i="1"/>
  <c r="AI252" i="1" s="1"/>
  <c r="T253" i="1"/>
  <c r="R253" i="1"/>
  <c r="Z253" i="1"/>
  <c r="AI253" i="1" s="1"/>
  <c r="AV254" i="1"/>
  <c r="AS254" i="1" s="1"/>
  <c r="R254" i="1"/>
  <c r="T254" i="1"/>
  <c r="Z254" i="1"/>
  <c r="AI254" i="1" s="1"/>
  <c r="R255" i="1"/>
  <c r="T255" i="1"/>
  <c r="Z255" i="1"/>
  <c r="AI255" i="1" s="1"/>
  <c r="AV256" i="1"/>
  <c r="AS256" i="1" s="1"/>
  <c r="R256" i="1"/>
  <c r="T256" i="1"/>
  <c r="Z256" i="1"/>
  <c r="AI256" i="1" s="1"/>
  <c r="T257" i="1"/>
  <c r="R257" i="1"/>
  <c r="Z257" i="1"/>
  <c r="AI257" i="1" s="1"/>
  <c r="R258" i="1"/>
  <c r="T258" i="1"/>
  <c r="Z258" i="1"/>
  <c r="AI258" i="1" s="1"/>
  <c r="R259" i="1"/>
  <c r="T259" i="1"/>
  <c r="Z259" i="1"/>
  <c r="AI259" i="1" s="1"/>
  <c r="R260" i="1"/>
  <c r="T260" i="1"/>
  <c r="Z260" i="1"/>
  <c r="AI260" i="1" s="1"/>
  <c r="T261" i="1"/>
  <c r="R261" i="1"/>
  <c r="Z261" i="1"/>
  <c r="AI261" i="1" s="1"/>
  <c r="R262" i="1"/>
  <c r="T262" i="1"/>
  <c r="Z262" i="1"/>
  <c r="AI262" i="1" s="1"/>
  <c r="AV263" i="1"/>
  <c r="AS263" i="1" s="1"/>
  <c r="T263" i="1"/>
  <c r="R263" i="1"/>
  <c r="Z263" i="1"/>
  <c r="AI263" i="1" s="1"/>
  <c r="AV264" i="1"/>
  <c r="AS264" i="1" s="1"/>
  <c r="R264" i="1"/>
  <c r="T264" i="1"/>
  <c r="Z264" i="1"/>
  <c r="AI264" i="1" s="1"/>
  <c r="R265" i="1"/>
  <c r="T265" i="1"/>
  <c r="Z265" i="1"/>
  <c r="AI265" i="1" s="1"/>
  <c r="AV266" i="1"/>
  <c r="AS266" i="1" s="1"/>
  <c r="R266" i="1"/>
  <c r="T266" i="1"/>
  <c r="Z266" i="1"/>
  <c r="AI266" i="1" s="1"/>
  <c r="R267" i="1"/>
  <c r="T267" i="1"/>
  <c r="Z267" i="1"/>
  <c r="AI267" i="1" s="1"/>
  <c r="T268" i="1"/>
  <c r="R268" i="1"/>
  <c r="Z268" i="1"/>
  <c r="AI268" i="1" s="1"/>
  <c r="R269" i="1"/>
  <c r="T269" i="1"/>
  <c r="Z269" i="1"/>
  <c r="AI269" i="1" s="1"/>
  <c r="AV270" i="1"/>
  <c r="AS270" i="1" s="1"/>
  <c r="T270" i="1"/>
  <c r="R270" i="1"/>
  <c r="Z270" i="1"/>
  <c r="AI270" i="1" s="1"/>
  <c r="AV271" i="1"/>
  <c r="AS271" i="1" s="1"/>
  <c r="R271" i="1"/>
  <c r="T271" i="1"/>
  <c r="Z271" i="1"/>
  <c r="AI271" i="1" s="1"/>
  <c r="T272" i="1"/>
  <c r="R272" i="1"/>
  <c r="Z272" i="1"/>
  <c r="AI272" i="1" s="1"/>
  <c r="T273" i="1"/>
  <c r="R273" i="1"/>
  <c r="Z273" i="1"/>
  <c r="AI273" i="1" s="1"/>
  <c r="AV274" i="1"/>
  <c r="AS274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AV280" i="1"/>
  <c r="AS280" i="1" s="1"/>
  <c r="R280" i="1"/>
  <c r="T280" i="1"/>
  <c r="Z280" i="1"/>
  <c r="AI280" i="1" s="1"/>
  <c r="R281" i="1"/>
  <c r="T281" i="1"/>
  <c r="Z281" i="1"/>
  <c r="AI281" i="1" s="1"/>
  <c r="R282" i="1"/>
  <c r="T282" i="1"/>
  <c r="Z282" i="1"/>
  <c r="AI282" i="1" s="1"/>
  <c r="AV283" i="1"/>
  <c r="AS283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R286" i="1"/>
  <c r="T286" i="1"/>
  <c r="Z286" i="1"/>
  <c r="AI286" i="1" s="1"/>
  <c r="AV287" i="1"/>
  <c r="AS287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R290" i="1"/>
  <c r="T290" i="1"/>
  <c r="Z290" i="1"/>
  <c r="AI290" i="1" s="1"/>
  <c r="AV291" i="1"/>
  <c r="AS291" i="1" s="1"/>
  <c r="R291" i="1"/>
  <c r="T291" i="1"/>
  <c r="Z291" i="1"/>
  <c r="AI291" i="1" s="1"/>
  <c r="R292" i="1"/>
  <c r="T292" i="1"/>
  <c r="Z292" i="1"/>
  <c r="AI292" i="1" s="1"/>
  <c r="T293" i="1"/>
  <c r="R293" i="1"/>
  <c r="Z293" i="1"/>
  <c r="AI293" i="1" s="1"/>
  <c r="R294" i="1"/>
  <c r="T294" i="1"/>
  <c r="Z294" i="1"/>
  <c r="AI294" i="1" s="1"/>
  <c r="R295" i="1"/>
  <c r="T295" i="1"/>
  <c r="Z295" i="1"/>
  <c r="AI295" i="1" s="1"/>
  <c r="AV296" i="1"/>
  <c r="AS296" i="1" s="1"/>
  <c r="R296" i="1"/>
  <c r="T296" i="1"/>
  <c r="Z296" i="1"/>
  <c r="AI296" i="1" s="1"/>
  <c r="T297" i="1"/>
  <c r="R297" i="1"/>
  <c r="Z297" i="1"/>
  <c r="AI297" i="1" s="1"/>
  <c r="R298" i="1"/>
  <c r="T298" i="1"/>
  <c r="Z298" i="1"/>
  <c r="AI298" i="1" s="1"/>
  <c r="T299" i="1"/>
  <c r="R299" i="1"/>
  <c r="Z299" i="1"/>
  <c r="AI299" i="1" s="1"/>
  <c r="R300" i="1"/>
  <c r="T300" i="1"/>
  <c r="Z300" i="1"/>
  <c r="AI300" i="1" s="1"/>
  <c r="R308" i="1"/>
  <c r="T308" i="1"/>
  <c r="Z308" i="1"/>
  <c r="AI308" i="1" s="1"/>
  <c r="R316" i="1"/>
  <c r="T316" i="1"/>
  <c r="Z316" i="1"/>
  <c r="AI316" i="1" s="1"/>
  <c r="R324" i="1"/>
  <c r="T324" i="1"/>
  <c r="Z324" i="1"/>
  <c r="AI324" i="1" s="1"/>
  <c r="R332" i="1"/>
  <c r="T332" i="1"/>
  <c r="Z332" i="1"/>
  <c r="AI332" i="1" s="1"/>
  <c r="R340" i="1"/>
  <c r="T340" i="1"/>
  <c r="Z340" i="1"/>
  <c r="AI340" i="1" s="1"/>
  <c r="R348" i="1"/>
  <c r="T348" i="1"/>
  <c r="Z348" i="1"/>
  <c r="AI348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4" i="1"/>
  <c r="T354" i="1"/>
  <c r="Z354" i="1"/>
  <c r="AI354" i="1" s="1"/>
  <c r="R355" i="1"/>
  <c r="T355" i="1"/>
  <c r="Z355" i="1"/>
  <c r="AI355" i="1" s="1"/>
  <c r="R356" i="1"/>
  <c r="T356" i="1"/>
  <c r="R357" i="1"/>
  <c r="T357" i="1"/>
  <c r="R358" i="1"/>
  <c r="T358" i="1"/>
  <c r="AV359" i="1"/>
  <c r="AS359" i="1" s="1"/>
  <c r="R359" i="1"/>
  <c r="T359" i="1"/>
  <c r="R360" i="1"/>
  <c r="T360" i="1"/>
  <c r="R361" i="1"/>
  <c r="T361" i="1"/>
  <c r="T362" i="1"/>
  <c r="R362" i="1"/>
  <c r="T363" i="1"/>
  <c r="R363" i="1"/>
  <c r="R364" i="1"/>
  <c r="T364" i="1"/>
  <c r="T365" i="1"/>
  <c r="R365" i="1"/>
  <c r="AV366" i="1"/>
  <c r="AS366" i="1" s="1"/>
  <c r="R366" i="1"/>
  <c r="T366" i="1"/>
  <c r="AV367" i="1"/>
  <c r="AS367" i="1" s="1"/>
  <c r="T367" i="1"/>
  <c r="R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R374" i="1"/>
  <c r="T374" i="1"/>
  <c r="T375" i="1"/>
  <c r="R375" i="1"/>
  <c r="R376" i="1"/>
  <c r="T376" i="1"/>
  <c r="R377" i="1"/>
  <c r="T377" i="1"/>
  <c r="R378" i="1"/>
  <c r="T378" i="1"/>
  <c r="R379" i="1"/>
  <c r="T379" i="1"/>
  <c r="T380" i="1"/>
  <c r="R380" i="1"/>
  <c r="R381" i="1"/>
  <c r="T381" i="1"/>
  <c r="R382" i="1"/>
  <c r="T382" i="1"/>
  <c r="AV383" i="1"/>
  <c r="AS383" i="1" s="1"/>
  <c r="T383" i="1"/>
  <c r="R383" i="1"/>
  <c r="AV384" i="1"/>
  <c r="AS384" i="1" s="1"/>
  <c r="R384" i="1"/>
  <c r="T384" i="1"/>
  <c r="T385" i="1"/>
  <c r="R385" i="1"/>
  <c r="R386" i="1"/>
  <c r="T386" i="1"/>
  <c r="R387" i="1"/>
  <c r="T387" i="1"/>
  <c r="R388" i="1"/>
  <c r="T388" i="1"/>
  <c r="R389" i="1"/>
  <c r="T389" i="1"/>
  <c r="AV390" i="1"/>
  <c r="AS390" i="1" s="1"/>
  <c r="R390" i="1"/>
  <c r="T390" i="1"/>
  <c r="AV391" i="1"/>
  <c r="AS391" i="1" s="1"/>
  <c r="T391" i="1"/>
  <c r="R391" i="1"/>
  <c r="AV392" i="1"/>
  <c r="AS392" i="1" s="1"/>
  <c r="T392" i="1"/>
  <c r="R392" i="1"/>
  <c r="R393" i="1"/>
  <c r="T393" i="1"/>
  <c r="R394" i="1"/>
  <c r="T394" i="1"/>
  <c r="R395" i="1"/>
  <c r="T395" i="1"/>
  <c r="R396" i="1"/>
  <c r="T396" i="1"/>
  <c r="AV397" i="1"/>
  <c r="AS397" i="1" s="1"/>
  <c r="R397" i="1"/>
  <c r="T397" i="1"/>
  <c r="T398" i="1"/>
  <c r="R398" i="1"/>
  <c r="AV399" i="1"/>
  <c r="AS399" i="1" s="1"/>
  <c r="R399" i="1"/>
  <c r="T399" i="1"/>
  <c r="T400" i="1"/>
  <c r="R400" i="1"/>
  <c r="T401" i="1"/>
  <c r="R401" i="1"/>
  <c r="T402" i="1"/>
  <c r="R402" i="1"/>
  <c r="R403" i="1"/>
  <c r="T403" i="1"/>
  <c r="R404" i="1"/>
  <c r="T404" i="1"/>
  <c r="R405" i="1"/>
  <c r="T405" i="1"/>
  <c r="R406" i="1"/>
  <c r="T406" i="1"/>
  <c r="T407" i="1"/>
  <c r="R407" i="1"/>
  <c r="AV408" i="1"/>
  <c r="AS408" i="1" s="1"/>
  <c r="R408" i="1"/>
  <c r="T408" i="1"/>
  <c r="R409" i="1"/>
  <c r="T409" i="1"/>
  <c r="R410" i="1"/>
  <c r="T410" i="1"/>
  <c r="R411" i="1"/>
  <c r="T411" i="1"/>
  <c r="AV412" i="1"/>
  <c r="AS412" i="1" s="1"/>
  <c r="R412" i="1"/>
  <c r="T412" i="1"/>
  <c r="R413" i="1"/>
  <c r="T413" i="1"/>
  <c r="T414" i="1"/>
  <c r="R414" i="1"/>
  <c r="AV415" i="1"/>
  <c r="AS415" i="1" s="1"/>
  <c r="R415" i="1"/>
  <c r="T415" i="1"/>
  <c r="AV416" i="1"/>
  <c r="AS416" i="1" s="1"/>
  <c r="T416" i="1"/>
  <c r="R416" i="1"/>
  <c r="AV417" i="1"/>
  <c r="AS417" i="1" s="1"/>
  <c r="R417" i="1"/>
  <c r="T417" i="1"/>
  <c r="R418" i="1"/>
  <c r="T418" i="1"/>
  <c r="AV419" i="1"/>
  <c r="AS419" i="1" s="1"/>
  <c r="R419" i="1"/>
  <c r="T419" i="1"/>
  <c r="T420" i="1"/>
  <c r="R420" i="1"/>
  <c r="R421" i="1"/>
  <c r="T421" i="1"/>
  <c r="R422" i="1"/>
  <c r="T422" i="1"/>
  <c r="R423" i="1"/>
  <c r="T423" i="1"/>
  <c r="AV424" i="1"/>
  <c r="AS424" i="1" s="1"/>
  <c r="R424" i="1"/>
  <c r="T424" i="1"/>
  <c r="AV425" i="1"/>
  <c r="AS425" i="1" s="1"/>
  <c r="R425" i="1"/>
  <c r="T425" i="1"/>
  <c r="T426" i="1"/>
  <c r="R426" i="1"/>
  <c r="T427" i="1"/>
  <c r="R427" i="1"/>
  <c r="AV428" i="1"/>
  <c r="AS428" i="1" s="1"/>
  <c r="R428" i="1"/>
  <c r="T428" i="1"/>
  <c r="R429" i="1"/>
  <c r="T429" i="1"/>
  <c r="T430" i="1"/>
  <c r="R430" i="1"/>
  <c r="R431" i="1"/>
  <c r="T431" i="1"/>
  <c r="AV432" i="1"/>
  <c r="AS432" i="1" s="1"/>
  <c r="R432" i="1"/>
  <c r="T432" i="1"/>
  <c r="R433" i="1"/>
  <c r="T433" i="1"/>
  <c r="AV434" i="1"/>
  <c r="AS434" i="1" s="1"/>
  <c r="R434" i="1"/>
  <c r="T434" i="1"/>
  <c r="T435" i="1"/>
  <c r="R435" i="1"/>
  <c r="AV436" i="1"/>
  <c r="AS436" i="1" s="1"/>
  <c r="R436" i="1"/>
  <c r="T436" i="1"/>
  <c r="R437" i="1"/>
  <c r="T437" i="1"/>
  <c r="T438" i="1"/>
  <c r="R438" i="1"/>
  <c r="R439" i="1"/>
  <c r="T439" i="1"/>
  <c r="R154" i="1"/>
  <c r="T154" i="1"/>
  <c r="Z154" i="1"/>
  <c r="AI154" i="1" s="1"/>
  <c r="T301" i="1"/>
  <c r="R301" i="1"/>
  <c r="Z301" i="1"/>
  <c r="AI301" i="1" s="1"/>
  <c r="T309" i="1"/>
  <c r="R309" i="1"/>
  <c r="Z309" i="1"/>
  <c r="AI309" i="1" s="1"/>
  <c r="T317" i="1"/>
  <c r="R317" i="1"/>
  <c r="Z317" i="1"/>
  <c r="AI317" i="1" s="1"/>
  <c r="R325" i="1"/>
  <c r="T325" i="1"/>
  <c r="Z325" i="1"/>
  <c r="AI325" i="1" s="1"/>
  <c r="T333" i="1"/>
  <c r="R333" i="1"/>
  <c r="Z333" i="1"/>
  <c r="AI333" i="1" s="1"/>
  <c r="R341" i="1"/>
  <c r="T341" i="1"/>
  <c r="Z341" i="1"/>
  <c r="AI341" i="1" s="1"/>
  <c r="T349" i="1"/>
  <c r="R349" i="1"/>
  <c r="Z349" i="1"/>
  <c r="AI349" i="1" s="1"/>
  <c r="R31" i="1"/>
  <c r="Z31" i="1"/>
  <c r="AI31" i="1" s="1"/>
  <c r="T302" i="1"/>
  <c r="R302" i="1"/>
  <c r="Z302" i="1"/>
  <c r="AI302" i="1" s="1"/>
  <c r="R310" i="1"/>
  <c r="T310" i="1"/>
  <c r="Z310" i="1"/>
  <c r="AI310" i="1" s="1"/>
  <c r="T318" i="1"/>
  <c r="R318" i="1"/>
  <c r="Z318" i="1"/>
  <c r="AI318" i="1" s="1"/>
  <c r="T326" i="1"/>
  <c r="R326" i="1"/>
  <c r="Z326" i="1"/>
  <c r="AI326" i="1" s="1"/>
  <c r="R334" i="1"/>
  <c r="T334" i="1"/>
  <c r="Z334" i="1"/>
  <c r="AI334" i="1" s="1"/>
  <c r="T342" i="1"/>
  <c r="R342" i="1"/>
  <c r="Z342" i="1"/>
  <c r="AI342" i="1" s="1"/>
  <c r="R350" i="1"/>
  <c r="T350" i="1"/>
  <c r="Z350" i="1"/>
  <c r="AI350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3" i="1"/>
  <c r="R303" i="1"/>
  <c r="Z303" i="1"/>
  <c r="AI303" i="1" s="1"/>
  <c r="R311" i="1"/>
  <c r="T311" i="1"/>
  <c r="Z311" i="1"/>
  <c r="AI311" i="1" s="1"/>
  <c r="R319" i="1"/>
  <c r="T319" i="1"/>
  <c r="Z319" i="1"/>
  <c r="AI319" i="1" s="1"/>
  <c r="T327" i="1"/>
  <c r="R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7" i="1"/>
  <c r="R167" i="1"/>
  <c r="Z167" i="1"/>
  <c r="AI167" i="1" s="1"/>
  <c r="R304" i="1"/>
  <c r="T304" i="1"/>
  <c r="Z304" i="1"/>
  <c r="AI304" i="1" s="1"/>
  <c r="R312" i="1"/>
  <c r="T312" i="1"/>
  <c r="Z312" i="1"/>
  <c r="AI312" i="1" s="1"/>
  <c r="R320" i="1"/>
  <c r="T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5" i="1"/>
  <c r="AS165" i="1" s="1"/>
  <c r="T165" i="1"/>
  <c r="R165" i="1"/>
  <c r="Z165" i="1"/>
  <c r="AI165" i="1" s="1"/>
  <c r="R166" i="1"/>
  <c r="T166" i="1"/>
  <c r="Z166" i="1"/>
  <c r="AI166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T321" i="1"/>
  <c r="R321" i="1"/>
  <c r="Z321" i="1"/>
  <c r="AI321" i="1" s="1"/>
  <c r="R329" i="1"/>
  <c r="T329" i="1"/>
  <c r="Z329" i="1"/>
  <c r="AI329" i="1" s="1"/>
  <c r="R337" i="1"/>
  <c r="T337" i="1"/>
  <c r="Z337" i="1"/>
  <c r="AI337" i="1" s="1"/>
  <c r="R345" i="1"/>
  <c r="T345" i="1"/>
  <c r="Z345" i="1"/>
  <c r="AI345" i="1" s="1"/>
  <c r="R353" i="1"/>
  <c r="T353" i="1"/>
  <c r="Z353" i="1"/>
  <c r="AI353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4" i="1"/>
  <c r="AT189" i="1"/>
  <c r="AT234" i="1"/>
  <c r="AT215" i="1"/>
  <c r="AV426" i="1"/>
  <c r="AT382" i="1"/>
  <c r="AV255" i="1"/>
  <c r="AS255" i="1" s="1"/>
  <c r="AT386" i="1"/>
  <c r="AT358" i="1"/>
  <c r="AT202" i="1"/>
  <c r="AT165" i="1"/>
  <c r="AT177" i="1"/>
  <c r="AT273" i="1"/>
  <c r="AV405" i="1"/>
  <c r="AT366" i="1"/>
  <c r="AT190" i="1"/>
  <c r="AT194" i="1"/>
  <c r="AT290" i="1"/>
  <c r="AT412" i="1"/>
  <c r="AT172" i="1"/>
  <c r="AT158" i="1"/>
  <c r="AT437" i="1"/>
  <c r="AU155" i="1"/>
  <c r="AT195" i="1"/>
  <c r="AT428" i="1"/>
  <c r="AV435" i="1"/>
  <c r="AT381" i="1"/>
  <c r="AT408" i="1"/>
  <c r="AT416" i="1"/>
  <c r="AV272" i="1"/>
  <c r="AS272" i="1" s="1"/>
  <c r="AT299" i="1"/>
  <c r="AT239" i="1"/>
  <c r="AT287" i="1"/>
  <c r="AV292" i="1"/>
  <c r="AT214" i="1"/>
  <c r="AT257" i="1"/>
  <c r="AT203" i="1"/>
  <c r="AT206" i="1"/>
  <c r="AT216" i="1"/>
  <c r="AV242" i="1"/>
  <c r="AT198" i="1"/>
  <c r="AT218" i="1"/>
  <c r="AT243" i="1"/>
  <c r="AT265" i="1"/>
  <c r="AT288" i="1"/>
  <c r="AT268" i="1"/>
  <c r="AV360" i="1"/>
  <c r="AV382" i="1"/>
  <c r="AS382" i="1" s="1"/>
  <c r="AV398" i="1"/>
  <c r="AS398" i="1" s="1"/>
  <c r="AV433" i="1"/>
  <c r="AS433" i="1" s="1"/>
  <c r="AT433" i="1"/>
  <c r="AV358" i="1"/>
  <c r="AS358" i="1" s="1"/>
  <c r="AT385" i="1"/>
  <c r="AT400" i="1"/>
  <c r="AT176" i="1"/>
  <c r="AT373" i="1"/>
  <c r="AT401" i="1"/>
  <c r="AV157" i="1"/>
  <c r="AS157" i="1" s="1"/>
  <c r="AT370" i="1"/>
  <c r="AV374" i="1"/>
  <c r="AS374" i="1" s="1"/>
  <c r="AT439" i="1"/>
  <c r="AT377" i="1"/>
  <c r="AV161" i="1"/>
  <c r="AS161" i="1" s="1"/>
  <c r="AT354" i="1"/>
  <c r="AT374" i="1"/>
  <c r="AT378" i="1"/>
  <c r="AT389" i="1"/>
  <c r="AV404" i="1"/>
  <c r="AS404" i="1" s="1"/>
  <c r="AT404" i="1"/>
  <c r="AT431" i="1"/>
  <c r="AV420" i="1"/>
  <c r="AS420" i="1" s="1"/>
  <c r="AT420" i="1"/>
  <c r="AV375" i="1"/>
  <c r="AS375" i="1" s="1"/>
  <c r="AT407" i="1"/>
  <c r="AT413" i="1"/>
  <c r="AT417" i="1"/>
  <c r="AT365" i="1"/>
  <c r="AT429" i="1"/>
  <c r="AT156" i="1"/>
  <c r="AU164" i="1"/>
  <c r="AT164" i="1" s="1"/>
  <c r="AT173" i="1"/>
  <c r="AT181" i="1"/>
  <c r="AT186" i="1"/>
  <c r="AT187" i="1"/>
  <c r="AT192" i="1"/>
  <c r="AT200" i="1"/>
  <c r="AT223" i="1"/>
  <c r="AT357" i="1"/>
  <c r="AT369" i="1"/>
  <c r="AT397" i="1"/>
  <c r="AT432" i="1"/>
  <c r="AV175" i="1"/>
  <c r="AT178" i="1"/>
  <c r="AT179" i="1"/>
  <c r="AV262" i="1"/>
  <c r="AS262" i="1" s="1"/>
  <c r="AT262" i="1"/>
  <c r="AT210" i="1"/>
  <c r="AV238" i="1"/>
  <c r="AT157" i="1"/>
  <c r="AT436" i="1"/>
  <c r="AT394" i="1"/>
  <c r="AV234" i="1"/>
  <c r="AV248" i="1"/>
  <c r="AS248" i="1" s="1"/>
  <c r="AV251" i="1"/>
  <c r="AS251" i="1" s="1"/>
  <c r="AT362" i="1"/>
  <c r="AT390" i="1"/>
  <c r="AT421" i="1"/>
  <c r="AU169" i="1"/>
  <c r="AT169" i="1" s="1"/>
  <c r="AT197" i="1"/>
  <c r="AT205" i="1"/>
  <c r="AV214" i="1"/>
  <c r="AS214" i="1" s="1"/>
  <c r="AT226" i="1"/>
  <c r="AT231" i="1"/>
  <c r="AT361" i="1"/>
  <c r="AT393" i="1"/>
  <c r="AV177" i="1"/>
  <c r="AS177" i="1" s="1"/>
  <c r="AT208" i="1"/>
  <c r="AV243" i="1"/>
  <c r="AS243" i="1" s="1"/>
  <c r="AT295" i="1"/>
  <c r="AT260" i="1"/>
  <c r="AT296" i="1"/>
  <c r="AT248" i="1"/>
  <c r="AT254" i="1"/>
  <c r="AV284" i="1"/>
  <c r="AS284" i="1" s="1"/>
  <c r="AT276" i="1"/>
  <c r="AT282" i="1"/>
  <c r="AT291" i="1"/>
  <c r="AT256" i="1"/>
  <c r="AT264" i="1"/>
  <c r="AT270" i="1"/>
  <c r="AT283" i="1"/>
  <c r="AT272" i="1"/>
  <c r="AT278" i="1"/>
  <c r="AT280" i="1"/>
  <c r="AT376" i="1"/>
  <c r="AT368" i="1"/>
  <c r="AT360" i="1"/>
  <c r="AV376" i="1"/>
  <c r="AS376" i="1" s="1"/>
  <c r="AV368" i="1"/>
  <c r="AS368" i="1" s="1"/>
  <c r="AT384" i="1"/>
  <c r="AT392" i="1"/>
  <c r="AT399" i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2" i="1"/>
  <c r="AV403" i="1"/>
  <c r="AS403" i="1" s="1"/>
  <c r="AV406" i="1"/>
  <c r="AS406" i="1" s="1"/>
  <c r="AT427" i="1"/>
  <c r="AV354" i="1"/>
  <c r="AS354" i="1" s="1"/>
  <c r="AT356" i="1"/>
  <c r="AV362" i="1"/>
  <c r="AS362" i="1" s="1"/>
  <c r="AT364" i="1"/>
  <c r="AV370" i="1"/>
  <c r="AS370" i="1" s="1"/>
  <c r="AT372" i="1"/>
  <c r="AV378" i="1"/>
  <c r="AS378" i="1" s="1"/>
  <c r="AT380" i="1"/>
  <c r="AV386" i="1"/>
  <c r="AS386" i="1" s="1"/>
  <c r="AT388" i="1"/>
  <c r="AV394" i="1"/>
  <c r="AS394" i="1" s="1"/>
  <c r="AT396" i="1"/>
  <c r="AV401" i="1"/>
  <c r="AS401" i="1" s="1"/>
  <c r="AT405" i="1"/>
  <c r="AV410" i="1"/>
  <c r="AS410" i="1" s="1"/>
  <c r="AT426" i="1"/>
  <c r="AU160" i="1"/>
  <c r="AT160" i="1" s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V402" i="1"/>
  <c r="AS402" i="1" s="1"/>
  <c r="AT411" i="1"/>
  <c r="AT435" i="1"/>
  <c r="AV356" i="1"/>
  <c r="AS356" i="1" s="1"/>
  <c r="AV364" i="1"/>
  <c r="AS364" i="1" s="1"/>
  <c r="AV372" i="1"/>
  <c r="AS372" i="1" s="1"/>
  <c r="AV380" i="1"/>
  <c r="AS380" i="1" s="1"/>
  <c r="AV388" i="1"/>
  <c r="AS388" i="1" s="1"/>
  <c r="AV396" i="1"/>
  <c r="AS396" i="1" s="1"/>
  <c r="AT409" i="1"/>
  <c r="AT434" i="1"/>
  <c r="AV357" i="1"/>
  <c r="AS357" i="1" s="1"/>
  <c r="AT359" i="1"/>
  <c r="AV365" i="1"/>
  <c r="AS365" i="1" s="1"/>
  <c r="AT367" i="1"/>
  <c r="AV373" i="1"/>
  <c r="AS373" i="1" s="1"/>
  <c r="AT375" i="1"/>
  <c r="AV381" i="1"/>
  <c r="AS381" i="1" s="1"/>
  <c r="AT383" i="1"/>
  <c r="AV389" i="1"/>
  <c r="AS389" i="1" s="1"/>
  <c r="AT391" i="1"/>
  <c r="AT398" i="1"/>
  <c r="AT406" i="1"/>
  <c r="AV411" i="1"/>
  <c r="AS411" i="1" s="1"/>
  <c r="AT418" i="1"/>
  <c r="AV423" i="1"/>
  <c r="AS423" i="1" s="1"/>
  <c r="AT423" i="1"/>
  <c r="AV407" i="1"/>
  <c r="AS407" i="1" s="1"/>
  <c r="AV409" i="1"/>
  <c r="AS409" i="1" s="1"/>
  <c r="AV418" i="1"/>
  <c r="AS418" i="1" s="1"/>
  <c r="AV427" i="1"/>
  <c r="AS427" i="1" s="1"/>
  <c r="AT403" i="1"/>
  <c r="AT410" i="1"/>
  <c r="AT415" i="1"/>
  <c r="AT419" i="1"/>
  <c r="AV162" i="1"/>
  <c r="AS162" i="1" s="1"/>
  <c r="AT162" i="1"/>
  <c r="AT174" i="1"/>
  <c r="AV174" i="1"/>
  <c r="AS174" i="1" s="1"/>
  <c r="AV159" i="1"/>
  <c r="AS159" i="1" s="1"/>
  <c r="AV213" i="1"/>
  <c r="AS213" i="1" s="1"/>
  <c r="AT213" i="1"/>
  <c r="AT414" i="1"/>
  <c r="AT422" i="1"/>
  <c r="AT430" i="1"/>
  <c r="AT438" i="1"/>
  <c r="AV163" i="1"/>
  <c r="AS163" i="1" s="1"/>
  <c r="AV413" i="1"/>
  <c r="AS413" i="1" s="1"/>
  <c r="AV421" i="1"/>
  <c r="AS421" i="1" s="1"/>
  <c r="AV429" i="1"/>
  <c r="AS429" i="1" s="1"/>
  <c r="AV437" i="1"/>
  <c r="AS437" i="1" s="1"/>
  <c r="AU166" i="1"/>
  <c r="AT166" i="1" s="1"/>
  <c r="AT185" i="1"/>
  <c r="AV414" i="1"/>
  <c r="AS414" i="1" s="1"/>
  <c r="AV422" i="1"/>
  <c r="AS422" i="1" s="1"/>
  <c r="AV430" i="1"/>
  <c r="AS430" i="1" s="1"/>
  <c r="AV438" i="1"/>
  <c r="AS438" i="1" s="1"/>
  <c r="AV155" i="1"/>
  <c r="AS155" i="1" s="1"/>
  <c r="AT175" i="1"/>
  <c r="AT425" i="1"/>
  <c r="AV431" i="1"/>
  <c r="AS431" i="1" s="1"/>
  <c r="AV439" i="1"/>
  <c r="AS439" i="1" s="1"/>
  <c r="AV156" i="1"/>
  <c r="AS156" i="1" s="1"/>
  <c r="AV166" i="1"/>
  <c r="AS166" i="1" s="1"/>
  <c r="AV176" i="1"/>
  <c r="AS176" i="1" s="1"/>
  <c r="AT193" i="1"/>
  <c r="AT159" i="1"/>
  <c r="AT161" i="1"/>
  <c r="AT201" i="1"/>
  <c r="AT209" i="1"/>
  <c r="AT163" i="1"/>
  <c r="AT224" i="1"/>
  <c r="AV224" i="1"/>
  <c r="AS224" i="1" s="1"/>
  <c r="AV184" i="1"/>
  <c r="AS184" i="1" s="1"/>
  <c r="AV192" i="1"/>
  <c r="AS192" i="1" s="1"/>
  <c r="AV200" i="1"/>
  <c r="AS200" i="1" s="1"/>
  <c r="AV208" i="1"/>
  <c r="AS208" i="1" s="1"/>
  <c r="AV212" i="1"/>
  <c r="AS212" i="1" s="1"/>
  <c r="AT240" i="1"/>
  <c r="AT258" i="1"/>
  <c r="AV258" i="1"/>
  <c r="AS258" i="1" s="1"/>
  <c r="AV178" i="1"/>
  <c r="AS178" i="1" s="1"/>
  <c r="AT180" i="1"/>
  <c r="AV186" i="1"/>
  <c r="AS186" i="1" s="1"/>
  <c r="AT188" i="1"/>
  <c r="AV194" i="1"/>
  <c r="AS194" i="1" s="1"/>
  <c r="AT196" i="1"/>
  <c r="AV202" i="1"/>
  <c r="AS202" i="1" s="1"/>
  <c r="AT204" i="1"/>
  <c r="AT211" i="1"/>
  <c r="AV179" i="1"/>
  <c r="AS179" i="1" s="1"/>
  <c r="AV187" i="1"/>
  <c r="AS187" i="1" s="1"/>
  <c r="AV195" i="1"/>
  <c r="AS195" i="1" s="1"/>
  <c r="AV203" i="1"/>
  <c r="AS203" i="1" s="1"/>
  <c r="AT244" i="1"/>
  <c r="AV244" i="1"/>
  <c r="AS244" i="1" s="1"/>
  <c r="AV180" i="1"/>
  <c r="AS180" i="1" s="1"/>
  <c r="AT182" i="1"/>
  <c r="AV188" i="1"/>
  <c r="AS188" i="1" s="1"/>
  <c r="AV196" i="1"/>
  <c r="AS196" i="1" s="1"/>
  <c r="AV204" i="1"/>
  <c r="AS204" i="1" s="1"/>
  <c r="AT232" i="1"/>
  <c r="AT183" i="1"/>
  <c r="AT191" i="1"/>
  <c r="AT199" i="1"/>
  <c r="AT207" i="1"/>
  <c r="AV240" i="1"/>
  <c r="AS240" i="1" s="1"/>
  <c r="AV182" i="1"/>
  <c r="AS182" i="1" s="1"/>
  <c r="AT184" i="1"/>
  <c r="AV190" i="1"/>
  <c r="AS190" i="1" s="1"/>
  <c r="AV198" i="1"/>
  <c r="AS198" i="1" s="1"/>
  <c r="AV206" i="1"/>
  <c r="AS206" i="1" s="1"/>
  <c r="AT212" i="1"/>
  <c r="AV245" i="1"/>
  <c r="AS245" i="1" s="1"/>
  <c r="AT245" i="1"/>
  <c r="AV215" i="1"/>
  <c r="AS215" i="1" s="1"/>
  <c r="AT217" i="1"/>
  <c r="AV223" i="1"/>
  <c r="AS223" i="1" s="1"/>
  <c r="AT225" i="1"/>
  <c r="AV231" i="1"/>
  <c r="AS231" i="1" s="1"/>
  <c r="AT233" i="1"/>
  <c r="AV239" i="1"/>
  <c r="AS239" i="1" s="1"/>
  <c r="AT241" i="1"/>
  <c r="AV246" i="1"/>
  <c r="AS246" i="1" s="1"/>
  <c r="AT247" i="1"/>
  <c r="AT253" i="1"/>
  <c r="AV217" i="1"/>
  <c r="AS217" i="1" s="1"/>
  <c r="AT219" i="1"/>
  <c r="AV225" i="1"/>
  <c r="AS225" i="1" s="1"/>
  <c r="AT227" i="1"/>
  <c r="AV233" i="1"/>
  <c r="AS233" i="1" s="1"/>
  <c r="AT235" i="1"/>
  <c r="AV241" i="1"/>
  <c r="AS241" i="1" s="1"/>
  <c r="AT246" i="1"/>
  <c r="AV247" i="1"/>
  <c r="AS247" i="1" s="1"/>
  <c r="AT249" i="1"/>
  <c r="AV250" i="1"/>
  <c r="AS250" i="1" s="1"/>
  <c r="AT252" i="1"/>
  <c r="AV286" i="1"/>
  <c r="AS286" i="1" s="1"/>
  <c r="AT286" i="1"/>
  <c r="AT220" i="1"/>
  <c r="AT228" i="1"/>
  <c r="AT236" i="1"/>
  <c r="AT242" i="1"/>
  <c r="AT263" i="1"/>
  <c r="AT289" i="1"/>
  <c r="AV289" i="1"/>
  <c r="AS289" i="1" s="1"/>
  <c r="AV219" i="1"/>
  <c r="AS219" i="1" s="1"/>
  <c r="AT221" i="1"/>
  <c r="AV227" i="1"/>
  <c r="AS227" i="1" s="1"/>
  <c r="AT229" i="1"/>
  <c r="AV235" i="1"/>
  <c r="AS235" i="1" s="1"/>
  <c r="AT237" i="1"/>
  <c r="AV249" i="1"/>
  <c r="AS249" i="1" s="1"/>
  <c r="AT251" i="1"/>
  <c r="AV252" i="1"/>
  <c r="AS252" i="1" s="1"/>
  <c r="AT222" i="1"/>
  <c r="AT230" i="1"/>
  <c r="AT238" i="1"/>
  <c r="AT250" i="1"/>
  <c r="AV253" i="1"/>
  <c r="AS253" i="1" s="1"/>
  <c r="AT255" i="1"/>
  <c r="AT266" i="1"/>
  <c r="AT271" i="1"/>
  <c r="AV221" i="1"/>
  <c r="AS221" i="1" s="1"/>
  <c r="AV229" i="1"/>
  <c r="AS229" i="1" s="1"/>
  <c r="AV237" i="1"/>
  <c r="AS237" i="1" s="1"/>
  <c r="AT279" i="1"/>
  <c r="AT274" i="1"/>
  <c r="AV281" i="1"/>
  <c r="AS281" i="1" s="1"/>
  <c r="AT293" i="1"/>
  <c r="AV293" i="1"/>
  <c r="AS293" i="1" s="1"/>
  <c r="AV257" i="1"/>
  <c r="AS257" i="1" s="1"/>
  <c r="AT259" i="1"/>
  <c r="AV265" i="1"/>
  <c r="AS265" i="1" s="1"/>
  <c r="AT267" i="1"/>
  <c r="AV273" i="1"/>
  <c r="AS273" i="1" s="1"/>
  <c r="AT275" i="1"/>
  <c r="AT284" i="1"/>
  <c r="AT294" i="1"/>
  <c r="AT297" i="1"/>
  <c r="AV259" i="1"/>
  <c r="AS259" i="1" s="1"/>
  <c r="AT261" i="1"/>
  <c r="AV267" i="1"/>
  <c r="AS267" i="1" s="1"/>
  <c r="AT269" i="1"/>
  <c r="AV275" i="1"/>
  <c r="AS275" i="1" s="1"/>
  <c r="AT277" i="1"/>
  <c r="AV294" i="1"/>
  <c r="AS294" i="1" s="1"/>
  <c r="AV260" i="1"/>
  <c r="AS260" i="1" s="1"/>
  <c r="AV268" i="1"/>
  <c r="AS268" i="1" s="1"/>
  <c r="AV276" i="1"/>
  <c r="AS276" i="1" s="1"/>
  <c r="AV297" i="1"/>
  <c r="AS297" i="1" s="1"/>
  <c r="AV261" i="1"/>
  <c r="AS261" i="1" s="1"/>
  <c r="AV269" i="1"/>
  <c r="AS269" i="1" s="1"/>
  <c r="AV277" i="1"/>
  <c r="AS277" i="1" s="1"/>
  <c r="AT285" i="1"/>
  <c r="AT292" i="1"/>
  <c r="AT298" i="1"/>
  <c r="AT281" i="1"/>
  <c r="AV285" i="1"/>
  <c r="AS285" i="1" s="1"/>
  <c r="AV288" i="1"/>
  <c r="AS288" i="1" s="1"/>
  <c r="AV282" i="1"/>
  <c r="AS282" i="1" s="1"/>
  <c r="AV290" i="1"/>
  <c r="AS290" i="1" s="1"/>
  <c r="AV298" i="1"/>
  <c r="AS298" i="1" s="1"/>
  <c r="AV299" i="1"/>
  <c r="AS299" i="1" s="1"/>
  <c r="AV295" i="1"/>
  <c r="AS295" i="1" s="1"/>
  <c r="AU39" i="1" l="1"/>
  <c r="AT39" i="1" s="1"/>
  <c r="AU76" i="1"/>
  <c r="AT76" i="1" s="1"/>
  <c r="AS426" i="1"/>
  <c r="AS175" i="1"/>
  <c r="AS238" i="1"/>
  <c r="AS360" i="1"/>
  <c r="AS435" i="1"/>
  <c r="AT155" i="1"/>
  <c r="AS234" i="1"/>
  <c r="AS242" i="1"/>
  <c r="AS405" i="1"/>
  <c r="AS292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L21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K20" i="8"/>
  <c r="J38" i="8"/>
  <c r="Q45" i="8"/>
  <c r="K60" i="8"/>
  <c r="Q18" i="8"/>
  <c r="O33" i="8"/>
  <c r="L44" i="8"/>
  <c r="Q56" i="8"/>
  <c r="O30" i="8"/>
  <c r="M38" i="8"/>
  <c r="R51" i="8"/>
  <c r="M24" i="8"/>
  <c r="L18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L2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K21" i="8"/>
  <c r="R33" i="8"/>
  <c r="R56" i="8"/>
  <c r="K18" i="8"/>
  <c r="R48" i="8"/>
  <c r="N32" i="8"/>
  <c r="O38" i="8"/>
  <c r="N50" i="8"/>
  <c r="S62" i="8"/>
  <c r="N21" i="8"/>
  <c r="P27" i="8"/>
  <c r="N45" i="8"/>
  <c r="P60" i="8"/>
  <c r="N18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N2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N22" i="8"/>
  <c r="N19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K22" i="8"/>
  <c r="K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L22" i="8"/>
  <c r="L19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F86" i="8"/>
  <c r="L85" i="8"/>
  <c r="L81" i="8"/>
  <c r="J85" i="8"/>
  <c r="F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M20" i="8" s="1"/>
  <c r="H357" i="7"/>
  <c r="I350" i="7"/>
  <c r="Q350" i="7"/>
  <c r="J32" i="8" s="1"/>
  <c r="T32" i="8" s="1"/>
  <c r="H359" i="7"/>
  <c r="P350" i="7"/>
  <c r="Q356" i="7"/>
  <c r="I85" i="8" s="1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M18" i="8" s="1"/>
  <c r="P353" i="7"/>
  <c r="K361" i="7"/>
  <c r="P357" i="7"/>
  <c r="K356" i="7"/>
  <c r="P355" i="7"/>
  <c r="P360" i="7"/>
  <c r="R352" i="7"/>
  <c r="I359" i="7"/>
  <c r="K359" i="7"/>
  <c r="K354" i="7"/>
  <c r="R355" i="7"/>
  <c r="R361" i="7"/>
  <c r="M21" i="8" s="1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K298" i="7"/>
  <c r="G294" i="7"/>
  <c r="G297" i="7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J21" i="8" l="1"/>
  <c r="T21" i="8" s="1"/>
  <c r="M22" i="8"/>
  <c r="M19" i="8"/>
  <c r="J18" i="8"/>
  <c r="J20" i="8"/>
  <c r="T20" i="8" s="1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H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J81" i="8" l="1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7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<sst xmlns="http://schemas.openxmlformats.org/spreadsheetml/2006/main" count="28462" uniqueCount="4870">
  <si>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</si>
  <si>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</si>
  <si>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</si>
  <si>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</si>
  <si>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</si>
  <si>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</si>
  <si>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</si>
  <si>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</si>
  <si>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</si>
  <si>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</si>
  <si>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</si>
  <si>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</si>
  <si>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</si>
  <si>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</si>
  <si>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</si>
  <si>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</si>
  <si>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</si>
  <si>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</si>
  <si>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</si>
  <si>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</si>
  <si>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</si>
  <si>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</si>
  <si>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</si>
  <si>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</si>
  <si>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</si>
  <si>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</si>
  <si>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</si>
  <si>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</si>
  <si>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</si>
  <si>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</si>
  <si>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</si>
  <si>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</si>
  <si>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</si>
  <si>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</si>
  <si>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</si>
  <si>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</si>
  <si>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</si>
  <si>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</si>
  <si>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</si>
  <si>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</si>
  <si>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</si>
  <si>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</si>
  <si>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</si>
  <si>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</si>
  <si>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</si>
  <si>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</si>
  <si>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</si>
  <si>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</si>
  <si>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</si>
  <si>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</si>
  <si>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</si>
  <si>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</si>
  <si>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</si>
  <si>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</si>
  <si>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</si>
  <si>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</si>
  <si>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</si>
  <si>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</si>
  <si>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</si>
  <si>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</si>
  <si>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</si>
  <si>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</si>
  <si>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</si>
  <si>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</si>
  <si>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</si>
  <si>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</si>
  <si>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</si>
  <si>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</si>
  <si>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</si>
  <si>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</si>
  <si>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</si>
  <si>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</si>
  <si>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</si>
  <si>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</si>
  <si>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</si>
  <si>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</si>
  <si>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</si>
  <si>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</si>
  <si>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</si>
  <si>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</si>
  <si>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</si>
  <si>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</si>
  <si>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</si>
  <si>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</si>
  <si>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</si>
  <si>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</si>
  <si>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</si>
  <si>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</si>
  <si>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</si>
  <si>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</si>
  <si>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</si>
  <si>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</si>
  <si>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</si>
  <si>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</si>
  <si>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</si>
  <si>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</si>
  <si>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</si>
  <si>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</si>
  <si>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</si>
  <si>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</si>
  <si>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</si>
  <si>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</si>
  <si>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</si>
  <si>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</si>
  <si>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</si>
  <si>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</si>
  <si>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</si>
  <si>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</si>
  <si>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</si>
  <si>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</si>
  <si>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</si>
  <si>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</si>
  <si>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</si>
  <si>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</si>
  <si>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</si>
  <si>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</si>
  <si>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</si>
  <si>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</si>
  <si>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</si>
  <si>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</si>
  <si>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</si>
  <si>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</si>
  <si>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</si>
  <si>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</si>
  <si>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</si>
  <si>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</si>
  <si>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</si>
  <si>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</si>
  <si>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</si>
  <si>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</si>
  <si>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</si>
  <si>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</si>
  <si>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</si>
  <si>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</si>
  <si>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</si>
  <si>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</si>
  <si>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</si>
  <si>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</si>
  <si>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</si>
  <si>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</si>
  <si>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</si>
  <si>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</si>
  <si>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</si>
  <si>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</si>
  <si>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</si>
  <si>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</si>
  <si>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</si>
  <si>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</si>
  <si>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</si>
  <si>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</si>
  <si>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</si>
  <si>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</si>
  <si>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</si>
  <si>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</si>
  <si>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</si>
  <si>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</si>
  <si>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</si>
  <si>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</si>
  <si>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</si>
  <si>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</si>
  <si>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</si>
  <si>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</si>
  <si>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</si>
  <si>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</si>
  <si>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</si>
  <si>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</si>
  <si>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</si>
  <si>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</si>
  <si>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</si>
  <si>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</si>
  <si>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</si>
  <si>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</si>
  <si>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</si>
  <si>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</si>
  <si>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</si>
  <si>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</si>
  <si>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</si>
  <si>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</si>
  <si>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</si>
  <si>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</si>
  <si>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</si>
  <si>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</si>
  <si>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</si>
  <si>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</si>
  <si>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</si>
  <si>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</si>
  <si>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</si>
  <si>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</si>
  <si>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</si>
  <si>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</si>
  <si>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</si>
  <si>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</si>
  <si>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</si>
  <si>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</si>
  <si>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</si>
  <si>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</si>
  <si>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</si>
  <si>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</si>
  <si>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</si>
  <si>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</si>
  <si>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</si>
  <si>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</si>
  <si>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</si>
  <si>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</si>
  <si>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</si>
  <si>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</si>
  <si>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</si>
  <si>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</si>
  <si>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</si>
  <si>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</si>
  <si>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</si>
  <si>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</si>
  <si>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</si>
  <si>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</si>
  <si>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</si>
  <si>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</si>
  <si>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</si>
  <si>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</si>
  <si>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</si>
  <si>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</si>
  <si>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</si>
  <si>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</si>
  <si>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</si>
  <si>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</si>
  <si>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</si>
  <si>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</si>
  <si>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</si>
  <si>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</si>
  <si>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</si>
  <si>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</si>
  <si>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</si>
  <si>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</si>
  <si>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</si>
  <si>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</si>
  <si>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</si>
  <si>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</si>
  <si>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</si>
  <si>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</si>
  <si>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</si>
  <si>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</si>
  <si>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</si>
  <si>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</si>
  <si>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</si>
  <si>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</si>
  <si>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</si>
  <si>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</si>
  <si>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</si>
  <si>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</si>
  <si>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</si>
  <si>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</si>
  <si>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</si>
  <si>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</si>
  <si>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</si>
  <si>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</si>
  <si>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</si>
  <si>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</si>
  <si>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</si>
  <si>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</si>
  <si>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</si>
  <si>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</si>
  <si>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</si>
  <si>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</si>
  <si>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</si>
  <si>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</si>
  <si>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</si>
  <si>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</si>
  <si>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</si>
  <si>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</si>
  <si>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</si>
  <si>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</si>
  <si>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</si>
  <si>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</si>
  <si>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</si>
  <si>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</si>
  <si>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</si>
  <si>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</si>
  <si>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</si>
  <si>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</si>
  <si>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</si>
  <si>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</si>
  <si>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</si>
  <si>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</si>
  <si>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</si>
  <si>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</si>
  <si>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</si>
  <si>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</si>
  <si>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</si>
  <si>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</si>
  <si>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</si>
  <si>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</si>
  <si>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</si>
  <si>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</si>
  <si>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</si>
  <si>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</si>
  <si>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</si>
  <si>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</si>
  <si>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</si>
  <si>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</si>
  <si>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</si>
  <si>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</si>
  <si>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</si>
  <si>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</si>
  <si>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</si>
  <si>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</si>
  <si>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</si>
  <si>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</si>
  <si>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</si>
  <si>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</si>
  <si>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</si>
  <si>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</si>
  <si>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</si>
  <si>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</si>
  <si>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</si>
  <si>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</si>
  <si>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</si>
  <si>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</si>
  <si>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</si>
  <si>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</si>
  <si>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</si>
  <si>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</si>
  <si>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</si>
  <si>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</si>
  <si>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</si>
  <si>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</si>
  <si>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</si>
  <si>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</si>
  <si>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</si>
  <si>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</si>
  <si>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</si>
  <si>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</si>
  <si>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</si>
  <si>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</si>
  <si>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</si>
  <si>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</si>
  <si>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</si>
  <si>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</si>
  <si>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</si>
  <si>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</si>
  <si>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</si>
  <si>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</si>
  <si>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</si>
  <si>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</si>
  <si>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</si>
  <si>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</si>
  <si>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</si>
  <si>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</si>
  <si>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</si>
  <si>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</si>
  <si>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</si>
  <si>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</si>
  <si>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</si>
  <si>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</si>
  <si>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</si>
  <si>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</si>
  <si>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</si>
  <si>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</si>
  <si>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</si>
  <si>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</si>
  <si>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</si>
  <si>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</si>
  <si>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</si>
  <si>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</si>
  <si>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</si>
  <si>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</si>
  <si>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</si>
  <si>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</si>
  <si>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</si>
  <si>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</si>
  <si>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</si>
  <si>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</si>
  <si>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</si>
  <si>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</si>
  <si>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</si>
  <si>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</si>
  <si>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</si>
  <si>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</si>
  <si>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</si>
  <si>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</si>
  <si>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</si>
  <si>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</si>
  <si>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</si>
  <si>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</si>
  <si>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</si>
  <si>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</si>
  <si>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</si>
  <si>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</si>
  <si>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</si>
  <si>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</si>
  <si>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</si>
  <si>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</si>
  <si>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</si>
  <si>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</si>
  <si>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</si>
  <si>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</si>
  <si>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</si>
  <si>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</si>
  <si>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</si>
  <si>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</si>
  <si>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</si>
  <si>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</si>
  <si>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</si>
  <si>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</si>
  <si>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</si>
  <si>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</si>
  <si>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</si>
  <si>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</si>
  <si>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</si>
  <si>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</si>
  <si>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</si>
  <si>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</si>
  <si>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</si>
  <si>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</si>
  <si>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</si>
  <si>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</si>
  <si>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</si>
  <si>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</si>
  <si>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</si>
  <si>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</si>
  <si>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</si>
  <si>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</si>
  <si>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</si>
  <si>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</si>
  <si>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</si>
  <si>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</si>
  <si>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</si>
  <si>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</si>
  <si>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</si>
  <si>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</si>
  <si>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</si>
  <si>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</si>
  <si>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</si>
  <si>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</si>
  <si>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</si>
  <si>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</si>
  <si>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</si>
  <si>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</si>
  <si>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</si>
  <si>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</si>
  <si>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</si>
  <si>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</si>
  <si>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</si>
  <si>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</si>
  <si>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</si>
  <si>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</si>
  <si>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</si>
  <si>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</si>
  <si>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</si>
  <si>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</si>
  <si>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</si>
  <si>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</si>
  <si>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</si>
  <si>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</si>
  <si>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</si>
  <si>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</si>
  <si>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</si>
  <si>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</si>
  <si>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</si>
  <si>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</si>
  <si>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</si>
  <si>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</si>
  <si>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</si>
  <si>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</si>
  <si>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</si>
  <si>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</si>
  <si>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</si>
  <si>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</si>
  <si>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</si>
  <si>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</si>
  <si>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</si>
  <si>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</si>
  <si>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</si>
  <si>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</si>
  <si>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</si>
  <si>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</si>
  <si>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</si>
  <si>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</si>
  <si>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</si>
  <si>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</si>
  <si>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</si>
  <si>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</si>
  <si>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</si>
  <si>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</si>
  <si>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</si>
  <si>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</si>
  <si>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</si>
  <si>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</si>
  <si>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</si>
  <si>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</si>
  <si>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</si>
  <si>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</si>
  <si>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</si>
  <si>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</si>
  <si>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</si>
  <si>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</si>
  <si>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</si>
  <si>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</si>
  <si>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</si>
  <si>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</si>
  <si>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</si>
  <si>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</si>
  <si>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</si>
  <si>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</si>
  <si>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</si>
  <si>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</si>
  <si>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</si>
  <si>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</si>
  <si>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</si>
  <si>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</si>
  <si>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</si>
  <si>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</si>
  <si>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</si>
  <si>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</si>
  <si>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</si>
  <si>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</si>
  <si>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</si>
  <si>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</si>
  <si>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</si>
  <si>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</si>
  <si>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</si>
  <si>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</si>
  <si>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</si>
  <si>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</si>
  <si>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</si>
  <si>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</si>
  <si>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</si>
  <si>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</si>
  <si>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</si>
  <si>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</si>
  <si>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</si>
  <si>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</si>
  <si>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</si>
  <si>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</si>
  <si>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</si>
  <si>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</si>
  <si>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</si>
  <si>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</si>
  <si>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</si>
  <si>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</si>
  <si>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</si>
  <si>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</si>
  <si>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</si>
  <si>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</si>
  <si>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</si>
  <si>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</si>
  <si>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</si>
  <si>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</si>
  <si>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</si>
  <si>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</si>
  <si>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</si>
  <si>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</si>
  <si>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</si>
  <si>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</si>
  <si>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</si>
  <si>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</si>
  <si>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</si>
  <si>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</si>
  <si>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</si>
  <si>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</si>
  <si>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</si>
  <si>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</si>
  <si>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</si>
  <si>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</si>
  <si>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</si>
  <si>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</si>
  <si>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</si>
  <si>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</si>
  <si>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</si>
  <si>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</si>
  <si>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</si>
  <si>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</si>
  <si>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</si>
  <si>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</si>
  <si>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</si>
  <si>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</si>
  <si>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</si>
  <si>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</si>
  <si>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</si>
  <si>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</si>
  <si>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</si>
  <si>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</si>
  <si>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</si>
  <si>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</si>
  <si>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</si>
  <si>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</si>
  <si>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</si>
  <si>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</si>
  <si>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</si>
  <si>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</si>
  <si>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</si>
  <si>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</si>
  <si>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</si>
  <si>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</si>
  <si>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</si>
  <si>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</si>
  <si>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</si>
  <si>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</si>
  <si>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</si>
  <si>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</si>
  <si>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</si>
  <si>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</si>
  <si>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</si>
  <si>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</si>
  <si>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</si>
  <si>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</si>
  <si>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</si>
  <si>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</si>
  <si>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</si>
  <si>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</si>
  <si>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</si>
  <si>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</si>
  <si>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</si>
  <si>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</si>
  <si>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</si>
  <si>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</si>
  <si>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</si>
  <si>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</si>
  <si>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</si>
  <si>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</si>
  <si>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</si>
  <si>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</si>
  <si>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</si>
  <si>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</si>
  <si>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</si>
  <si>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</si>
  <si>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</si>
  <si>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</si>
  <si>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</si>
  <si>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</si>
  <si>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</si>
  <si>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</si>
  <si>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</si>
  <si>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</si>
  <si>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</si>
  <si>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</si>
  <si>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</si>
  <si>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</si>
  <si>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</si>
  <si>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</si>
  <si>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</si>
  <si>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</si>
  <si>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</si>
  <si>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</si>
  <si>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</si>
  <si>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</si>
  <si>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</si>
  <si>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</si>
  <si>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</si>
  <si>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</si>
  <si>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</si>
  <si>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</si>
  <si>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</si>
  <si>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</si>
  <si>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</si>
  <si>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</si>
  <si>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</si>
  <si>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</si>
  <si>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</si>
  <si>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</si>
  <si>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</si>
  <si>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</si>
  <si>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</si>
  <si>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</si>
  <si>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</si>
  <si>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</si>
  <si>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</si>
  <si>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</si>
  <si>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</si>
  <si>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</si>
  <si>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</si>
  <si>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</si>
  <si>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</si>
  <si>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</si>
  <si>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</si>
  <si>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</si>
  <si>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</si>
  <si>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</si>
  <si>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</si>
  <si>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</si>
  <si>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</si>
  <si>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</si>
  <si>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</si>
  <si>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</si>
  <si>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</si>
  <si>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</si>
  <si>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</si>
  <si>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</si>
  <si>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</si>
  <si>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</si>
  <si>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</si>
  <si>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</si>
  <si>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</si>
  <si>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</si>
  <si>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</si>
  <si>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</si>
  <si>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</si>
  <si>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</si>
  <si>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</si>
  <si>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</si>
  <si>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</si>
  <si>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</si>
  <si>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</si>
  <si>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</si>
  <si>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</si>
  <si>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</si>
  <si>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</si>
  <si>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</si>
  <si>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</si>
  <si>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</si>
  <si>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</si>
  <si>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</si>
  <si>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</si>
  <si>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</si>
  <si>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</si>
  <si>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</si>
  <si>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</si>
  <si>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</si>
  <si>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</si>
  <si>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</si>
  <si>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</si>
  <si>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</si>
  <si>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</si>
  <si>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</si>
  <si>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</si>
  <si>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</si>
  <si>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</si>
  <si>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</si>
  <si>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</si>
  <si>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</si>
  <si>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</si>
  <si>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</si>
  <si>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</si>
  <si>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</si>
  <si>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</si>
  <si>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</si>
  <si>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</si>
  <si>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</si>
  <si>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</si>
  <si>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</si>
  <si>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</si>
  <si>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</si>
  <si>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</si>
  <si>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</si>
  <si>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</si>
  <si>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</si>
  <si>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</si>
  <si>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</si>
  <si>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</si>
  <si>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</si>
  <si>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</si>
  <si>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</si>
  <si>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</si>
  <si>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</si>
  <si>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</si>
  <si>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</si>
  <si>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</si>
  <si>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</si>
  <si>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</si>
  <si>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</si>
  <si>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</si>
  <si>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</si>
  <si>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</si>
  <si>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</si>
  <si>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</si>
  <si>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</si>
  <si>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</si>
  <si>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</si>
  <si>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</si>
  <si>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</si>
  <si>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</si>
  <si>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</si>
  <si>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</si>
  <si>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</si>
  <si>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</si>
  <si>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</si>
  <si>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</si>
  <si>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</si>
  <si>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</si>
  <si>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</si>
  <si>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</si>
  <si>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</si>
  <si>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</si>
  <si>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</si>
  <si>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</si>
  <si>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</si>
  <si>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</si>
  <si>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</si>
  <si>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</si>
  <si>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</si>
  <si>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</si>
  <si>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</si>
  <si>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</si>
  <si>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</si>
  <si>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</si>
  <si>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</si>
  <si>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</si>
  <si>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</si>
  <si>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</si>
  <si>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</si>
  <si>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</si>
  <si>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</si>
  <si>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</si>
  <si>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</si>
  <si>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</si>
  <si>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</si>
  <si>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</si>
  <si>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</si>
  <si>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</si>
  <si>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</si>
  <si>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</si>
  <si>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</si>
  <si>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</si>
  <si>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</si>
  <si>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</si>
  <si>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</si>
  <si>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</si>
  <si>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</si>
  <si>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</si>
  <si>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</si>
  <si>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</si>
  <si>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</si>
  <si>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</si>
  <si>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</si>
  <si>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</si>
  <si>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</si>
  <si>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</si>
  <si>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</si>
  <si>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</si>
  <si>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</si>
  <si>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</si>
  <si>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</si>
  <si>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</si>
  <si>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</si>
  <si>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</si>
  <si>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</si>
  <si>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</si>
  <si>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</si>
  <si>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</si>
  <si>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</si>
  <si>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</si>
  <si>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</si>
  <si>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</si>
  <si>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</si>
  <si>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</si>
  <si>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</si>
  <si>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</si>
  <si>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</si>
  <si>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</si>
  <si>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</si>
  <si>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</si>
  <si>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</si>
  <si>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</si>
  <si>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</si>
  <si>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</si>
  <si>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</si>
  <si>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</si>
  <si>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</si>
  <si>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</si>
  <si>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</si>
  <si>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</si>
  <si>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</si>
  <si>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</si>
  <si>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</si>
  <si>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</si>
  <si>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</si>
  <si>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</si>
  <si>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</si>
  <si>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</si>
  <si>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</si>
  <si>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</si>
  <si>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</si>
  <si>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</si>
  <si>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</si>
  <si>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</si>
  <si>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</si>
  <si>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</si>
  <si>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</si>
  <si>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</si>
  <si>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</si>
  <si>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</si>
  <si>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</si>
  <si>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</si>
  <si>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</si>
  <si>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</si>
  <si>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</si>
  <si>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</si>
  <si>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</si>
  <si>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</si>
  <si>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</si>
  <si>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</si>
  <si>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</si>
  <si>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</si>
  <si>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</si>
  <si>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</si>
  <si>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</si>
  <si>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</si>
  <si>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</si>
  <si>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</si>
  <si>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</si>
  <si>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</si>
  <si>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</si>
  <si>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</si>
  <si>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</si>
  <si>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</si>
  <si>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</si>
  <si>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</si>
  <si>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</si>
  <si>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</si>
  <si>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</si>
  <si>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</si>
  <si>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</si>
  <si>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</si>
  <si>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</si>
  <si>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</si>
  <si>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</si>
  <si>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</si>
  <si>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</si>
  <si>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</si>
  <si>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</si>
  <si>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</si>
  <si>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</si>
  <si>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</si>
  <si>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</si>
  <si>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</si>
  <si>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</si>
  <si>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</si>
  <si>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</si>
  <si>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</si>
  <si>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</si>
  <si>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</si>
  <si>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</si>
  <si>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</si>
  <si>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</si>
  <si>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</si>
  <si>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</si>
  <si>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</si>
  <si>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</si>
  <si>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</si>
  <si>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</si>
  <si>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</si>
  <si>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</si>
  <si>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</si>
  <si>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</si>
  <si>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</si>
  <si>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</si>
  <si>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</si>
  <si>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</si>
  <si>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</si>
  <si>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</si>
  <si>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</si>
  <si>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</si>
  <si>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</si>
  <si>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</si>
  <si>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</si>
  <si>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</si>
  <si>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</si>
  <si>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</si>
  <si>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</si>
  <si>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</si>
  <si>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</si>
  <si>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</si>
  <si>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</si>
  <si>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</si>
  <si>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</si>
  <si>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</si>
  <si>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</si>
  <si>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</si>
  <si>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</si>
  <si>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</si>
  <si>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</si>
  <si>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</si>
  <si>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</si>
  <si>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</si>
  <si>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</si>
  <si>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</si>
  <si>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</si>
  <si>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</si>
  <si>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</si>
  <si>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</si>
  <si>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</si>
  <si>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</si>
  <si>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</si>
  <si>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</si>
  <si>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</si>
  <si>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</si>
  <si>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</si>
  <si>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</si>
  <si>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</si>
  <si>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</si>
  <si>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</si>
  <si>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</si>
  <si>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</si>
  <si>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</si>
  <si>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</si>
  <si>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</si>
  <si>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</si>
  <si>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</si>
  <si>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</si>
  <si>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</si>
  <si>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</si>
  <si>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</si>
  <si>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</si>
  <si>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</si>
  <si>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</si>
  <si>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</si>
  <si>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</si>
  <si>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</si>
  <si>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</si>
  <si>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</si>
  <si>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</si>
  <si>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</si>
  <si>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</si>
  <si>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</si>
  <si>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</si>
  <si>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</si>
  <si>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</si>
  <si>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</si>
  <si>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</si>
  <si>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</si>
  <si>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</si>
  <si>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</si>
  <si>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</si>
  <si>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</si>
  <si>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</si>
  <si>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</si>
  <si>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</si>
  <si>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</si>
  <si>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</si>
  <si>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</si>
  <si>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</si>
  <si>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</si>
  <si>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</si>
  <si>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</si>
  <si>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</si>
  <si>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</si>
  <si>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</si>
  <si>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</si>
  <si>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</si>
  <si>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</si>
  <si>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</si>
  <si>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</si>
  <si>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</si>
  <si>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</si>
  <si>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</si>
  <si>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</si>
  <si>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</si>
  <si>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</si>
  <si>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</si>
  <si>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</si>
  <si>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</si>
  <si>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</si>
  <si>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</si>
  <si>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</si>
  <si>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</si>
  <si>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</si>
  <si>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</si>
  <si>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</si>
  <si>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</si>
  <si>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</si>
  <si>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</si>
  <si>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</si>
  <si>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</si>
  <si>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</si>
  <si>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</si>
  <si>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</si>
  <si>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</si>
  <si>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</si>
  <si>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</si>
  <si>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</si>
  <si>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</si>
  <si>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</si>
  <si>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</si>
  <si>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</si>
  <si>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</si>
  <si>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</si>
  <si>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</si>
  <si>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</si>
  <si>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</si>
  <si>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</si>
  <si>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</si>
  <si>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</si>
  <si>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</si>
  <si>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</si>
  <si>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</si>
  <si>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</si>
  <si>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</si>
  <si>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</si>
  <si>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</si>
  <si>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</si>
  <si>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</si>
  <si>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</si>
  <si>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</si>
  <si>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</si>
  <si>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</si>
  <si>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</si>
  <si>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</si>
  <si>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</si>
  <si>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</si>
  <si>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</si>
  <si>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</si>
  <si>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</si>
  <si>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</si>
  <si>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</si>
  <si>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</si>
  <si>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</si>
  <si>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</si>
  <si>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</si>
  <si>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</si>
  <si>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</si>
  <si>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</si>
  <si>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</si>
  <si>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</si>
  <si>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</si>
  <si>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</si>
  <si>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</si>
  <si>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</si>
  <si>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</si>
  <si>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</si>
  <si>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</si>
  <si>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</si>
  <si>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</si>
  <si>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</si>
  <si>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</si>
  <si>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</si>
  <si>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</si>
  <si>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</si>
  <si>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</si>
  <si>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</si>
  <si>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</si>
  <si>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</si>
  <si>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</si>
  <si>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</si>
  <si>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</si>
  <si>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</si>
  <si>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</si>
  <si>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</si>
  <si>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</si>
  <si>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</si>
  <si>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</si>
  <si>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</si>
  <si>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</si>
  <si>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</si>
  <si>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</si>
  <si>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</si>
  <si>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</si>
  <si>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</si>
  <si>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</si>
  <si>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</si>
  <si>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</si>
  <si>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</si>
  <si>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</si>
  <si>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</si>
  <si>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</si>
  <si>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</si>
  <si>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</si>
  <si>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</si>
  <si>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</si>
  <si>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</si>
  <si>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</si>
  <si>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</si>
  <si>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</si>
  <si>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</si>
  <si>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</si>
  <si>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</si>
  <si>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</si>
  <si>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</si>
  <si>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</si>
  <si>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</si>
  <si>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</si>
  <si>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</si>
  <si>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</si>
  <si>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</si>
  <si>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</si>
  <si>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</si>
  <si>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</si>
  <si>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</si>
  <si>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</si>
  <si>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</si>
  <si>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</si>
  <si>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</si>
  <si>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</si>
  <si>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</si>
  <si>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</si>
  <si>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</si>
  <si>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</si>
  <si>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</si>
  <si>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</si>
  <si>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</si>
  <si>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</si>
  <si>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</si>
  <si>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</si>
  <si>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</si>
  <si>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</si>
  <si>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</si>
  <si>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</si>
  <si>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</si>
  <si>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</si>
  <si>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</si>
  <si>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</si>
  <si>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</si>
  <si>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</si>
  <si>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</si>
  <si>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</si>
  <si>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</si>
  <si>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</si>
  <si>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</si>
  <si>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</si>
  <si>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</si>
  <si>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</si>
  <si>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</si>
  <si>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</si>
  <si>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</si>
  <si>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</si>
  <si>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</si>
  <si>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</si>
  <si>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</si>
  <si>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</si>
  <si>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</si>
  <si>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</si>
  <si>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</si>
  <si>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</si>
  <si>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</si>
  <si>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</si>
  <si>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</si>
  <si>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</si>
  <si>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</si>
  <si>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</si>
  <si>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</si>
  <si>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</si>
  <si>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</si>
  <si>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</si>
  <si>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</si>
  <si>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</si>
  <si>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</si>
  <si>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</si>
  <si>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</si>
  <si>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</si>
  <si>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</si>
  <si>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</si>
  <si>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</si>
  <si>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</si>
  <si>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</si>
  <si>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</si>
  <si>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</si>
  <si>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</si>
  <si>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</si>
  <si>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</si>
  <si>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</si>
  <si>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</si>
  <si>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</si>
  <si>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</si>
  <si>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</si>
  <si>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</si>
  <si>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</si>
  <si>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</si>
  <si>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</si>
  <si>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</si>
  <si>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</si>
  <si>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</si>
  <si>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</si>
  <si>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</si>
  <si>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</si>
  <si>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</si>
  <si>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</si>
  <si>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</si>
  <si>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</si>
  <si>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</si>
  <si>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</si>
  <si>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</si>
  <si>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</si>
  <si>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</si>
  <si>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</si>
  <si>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</si>
  <si>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</si>
  <si>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</si>
  <si>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</si>
  <si>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</si>
  <si>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</si>
  <si>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</si>
  <si>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</si>
  <si>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</si>
  <si>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</si>
  <si>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</si>
  <si>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</si>
  <si>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</si>
  <si>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</si>
  <si>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</si>
  <si>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</si>
  <si>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</si>
  <si>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</si>
  <si>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</si>
  <si>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</si>
  <si>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</si>
  <si>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</si>
  <si>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</si>
  <si>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</si>
  <si>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</si>
  <si>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</si>
  <si>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</si>
  <si>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</si>
  <si>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</si>
  <si>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</si>
  <si>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</si>
  <si>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</si>
  <si>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</si>
  <si>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</si>
  <si>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</si>
  <si>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</si>
  <si>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</si>
  <si>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</si>
  <si>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</si>
  <si>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</si>
  <si>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</si>
  <si>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</si>
  <si>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</si>
  <si>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</si>
  <si>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</si>
  <si>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</si>
  <si>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</si>
  <si>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</si>
  <si>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</si>
  <si>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</si>
  <si>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</si>
  <si>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</si>
  <si>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</si>
  <si>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</si>
  <si>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</si>
  <si>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</si>
  <si>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</si>
  <si>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</si>
  <si>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</si>
  <si>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</si>
  <si>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</si>
  <si>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</si>
  <si>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</si>
  <si>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</si>
  <si>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</si>
  <si>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</si>
  <si>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</si>
  <si>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</si>
  <si>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</si>
  <si>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</si>
  <si>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</si>
  <si>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</si>
  <si>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</si>
  <si>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</si>
  <si>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</si>
  <si>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</si>
  <si>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</si>
  <si>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</si>
  <si>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</si>
  <si>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</si>
  <si>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</si>
  <si>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</si>
  <si>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</si>
  <si>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</si>
  <si>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</si>
  <si>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</si>
  <si>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</si>
  <si>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</si>
  <si>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</si>
  <si>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</si>
  <si>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</si>
  <si>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</si>
  <si>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</si>
  <si>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</si>
  <si>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</si>
  <si>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</si>
  <si>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</si>
  <si>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</si>
  <si>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</si>
  <si>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</si>
  <si>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</si>
  <si>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</si>
  <si>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</si>
  <si>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</si>
  <si>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</si>
  <si>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</si>
  <si>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</si>
  <si>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</si>
  <si>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</si>
  <si>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</si>
  <si>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</si>
  <si>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</si>
  <si>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</si>
  <si>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</si>
  <si>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</si>
  <si>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</si>
  <si>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</si>
  <si>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</si>
  <si>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</si>
  <si>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</si>
  <si>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</si>
  <si>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</si>
  <si>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</si>
  <si>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</si>
  <si>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</si>
  <si>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</si>
  <si>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</si>
  <si>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</si>
  <si>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</si>
  <si>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</si>
  <si>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</si>
  <si>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</si>
  <si>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</si>
  <si>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</si>
  <si>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</si>
  <si>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</si>
  <si>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</si>
  <si>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</si>
  <si>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</si>
  <si>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</si>
  <si>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</si>
  <si>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</si>
  <si>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</si>
  <si>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</si>
  <si>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</si>
  <si>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</si>
  <si>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</si>
  <si>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</si>
  <si>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</si>
  <si>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</si>
  <si>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</si>
  <si>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</si>
  <si>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</si>
  <si>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</si>
  <si>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</si>
  <si>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</si>
  <si>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</si>
  <si>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</si>
  <si>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</si>
  <si>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</si>
  <si>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</si>
  <si>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</si>
  <si>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</si>
  <si>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</si>
  <si>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</si>
  <si>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</si>
  <si>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</si>
  <si>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</si>
  <si>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</si>
  <si>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</si>
  <si>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</si>
  <si>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</si>
  <si>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</si>
  <si>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</si>
  <si>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</si>
  <si>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</si>
  <si>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</si>
  <si>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</si>
  <si>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</si>
  <si>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</si>
  <si>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</si>
  <si>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</si>
  <si>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</si>
  <si>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</si>
  <si>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</si>
  <si>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</si>
  <si>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</si>
  <si>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</si>
  <si>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</si>
  <si>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</si>
  <si>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</si>
  <si>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</si>
  <si>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</si>
  <si>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</si>
  <si>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</si>
  <si>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</si>
  <si>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</si>
  <si>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</si>
  <si>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</si>
  <si>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</si>
  <si>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</si>
  <si>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</si>
  <si>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</si>
  <si>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</si>
  <si>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</si>
  <si>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</si>
  <si>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</si>
  <si>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</si>
  <si>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</si>
  <si>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</si>
  <si>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</si>
  <si>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</si>
  <si>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</si>
  <si>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</si>
  <si>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</si>
  <si>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</si>
  <si>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</si>
  <si>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</si>
  <si>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</si>
  <si>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</si>
  <si>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</si>
  <si>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</si>
  <si>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</si>
  <si>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</si>
  <si>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</si>
  <si>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</si>
  <si>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</si>
  <si>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</si>
  <si>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</si>
  <si>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</si>
  <si>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</si>
  <si>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</si>
  <si>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</si>
  <si>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</si>
  <si>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</si>
  <si>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</si>
  <si>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</si>
  <si>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</si>
  <si>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</si>
  <si>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</si>
  <si>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</si>
  <si>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</si>
  <si>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</si>
  <si>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</si>
  <si>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</si>
  <si>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</si>
  <si>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</si>
  <si>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</si>
  <si>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</si>
  <si>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</si>
  <si>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</si>
  <si>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</si>
  <si>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</si>
  <si>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</si>
  <si>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</si>
  <si>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</si>
  <si>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</si>
  <si>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</si>
  <si>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</si>
  <si>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</si>
  <si>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</si>
  <si>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</si>
  <si>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</si>
  <si>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</si>
  <si>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</si>
  <si>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</si>
  <si>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</si>
  <si>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</si>
  <si>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</si>
  <si>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</si>
  <si>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</si>
  <si>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</si>
  <si>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</si>
  <si>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</si>
  <si>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</si>
  <si>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</si>
  <si>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</si>
  <si>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</si>
  <si>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</si>
  <si>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</si>
  <si>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</si>
  <si>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</si>
  <si>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</si>
  <si>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</si>
  <si>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</si>
  <si>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</si>
  <si>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</si>
  <si>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</si>
  <si>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</si>
  <si>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</si>
  <si>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</si>
  <si>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</si>
  <si>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</si>
  <si>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</si>
  <si>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</si>
  <si>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</si>
  <si>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</si>
  <si>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</si>
  <si>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</si>
  <si>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</si>
  <si>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</si>
  <si>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</si>
  <si>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</si>
  <si>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</si>
  <si>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</si>
  <si>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</si>
  <si>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</si>
  <si>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</si>
  <si>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</si>
  <si>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</si>
  <si>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</si>
  <si>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</si>
  <si>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</si>
  <si>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</si>
  <si>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</si>
  <si>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</si>
  <si>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</si>
  <si>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</si>
  <si>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</si>
  <si>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</si>
  <si>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</si>
  <si>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</si>
  <si>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</si>
  <si>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</si>
  <si>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</si>
  <si>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</si>
  <si>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</si>
  <si>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</si>
  <si>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</si>
  <si>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</si>
  <si>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</si>
  <si>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</si>
  <si>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</si>
  <si>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</si>
  <si>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</si>
  <si>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</si>
  <si>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</si>
  <si>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</si>
  <si>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</si>
  <si>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</si>
  <si>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</si>
  <si>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</si>
  <si>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</si>
  <si>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</si>
  <si>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</si>
  <si>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</si>
  <si>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</si>
  <si>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</si>
  <si>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</si>
  <si>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</si>
  <si>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</si>
  <si>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</si>
  <si>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</si>
  <si>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</si>
  <si>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</si>
  <si>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</si>
  <si>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</si>
  <si>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</si>
  <si>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</si>
  <si>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</si>
  <si>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</si>
  <si>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</si>
  <si>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</si>
  <si>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</si>
  <si>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</si>
  <si>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</si>
  <si>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</si>
  <si>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</si>
  <si>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</si>
  <si>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</si>
  <si>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</si>
  <si>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</si>
  <si>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</si>
  <si>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</si>
  <si>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</si>
  <si>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</si>
  <si>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</si>
  <si>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</si>
  <si>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</si>
  <si>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</si>
  <si>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</si>
  <si>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</si>
  <si>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</si>
  <si>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</si>
  <si>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</si>
  <si>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</si>
  <si>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</si>
  <si>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</si>
  <si>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</si>
  <si>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</si>
  <si>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</si>
  <si>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</si>
  <si>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</si>
  <si>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</si>
  <si>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</si>
  <si>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</si>
  <si>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</si>
  <si>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</si>
  <si>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</si>
  <si>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</si>
  <si>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</si>
  <si>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</si>
  <si>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</si>
  <si>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</si>
  <si>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</si>
  <si>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</si>
  <si>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</si>
  <si>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</si>
  <si>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</si>
  <si>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</si>
  <si>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</si>
  <si>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</si>
  <si>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</si>
  <si>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</si>
  <si>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</si>
  <si>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</si>
  <si>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</si>
  <si>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</si>
  <si>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</si>
  <si>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</si>
  <si>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</si>
  <si>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</si>
  <si>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</si>
  <si>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</si>
  <si>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</si>
  <si>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</si>
  <si>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</si>
  <si>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</si>
  <si>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</si>
  <si>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</si>
  <si>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</si>
  <si>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</si>
  <si>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</si>
  <si>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</si>
  <si>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</si>
  <si>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</si>
  <si>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</si>
  <si>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</si>
  <si>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</si>
  <si>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</si>
  <si>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</si>
  <si>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</si>
  <si>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</si>
  <si>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</si>
  <si>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</si>
  <si>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</si>
  <si>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</si>
  <si>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</si>
  <si>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</si>
  <si>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</si>
  <si>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</si>
  <si>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</si>
  <si>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</si>
  <si>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</si>
  <si>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</si>
  <si>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</si>
  <si>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</si>
  <si>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</si>
  <si>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</si>
  <si>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</si>
  <si>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</si>
  <si>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</si>
  <si>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</si>
  <si>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</si>
  <si>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</si>
  <si>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</si>
  <si>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</si>
  <si>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</si>
  <si>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</si>
  <si>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</si>
  <si>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</si>
  <si>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</si>
  <si>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</si>
  <si>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</si>
  <si>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</si>
  <si>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</si>
  <si>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</si>
  <si>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</si>
  <si>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</si>
  <si>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</si>
  <si>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</si>
  <si>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</si>
  <si>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</si>
  <si>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</si>
  <si>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</si>
  <si>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</si>
  <si>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</si>
  <si>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</si>
  <si>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</si>
  <si>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</si>
  <si>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</si>
  <si>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</si>
  <si>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</si>
  <si>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</si>
  <si>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</si>
  <si>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</si>
  <si>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</si>
  <si>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</si>
  <si>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</si>
  <si>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</si>
  <si>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</si>
  <si>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</si>
  <si>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</si>
  <si>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</si>
  <si>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</si>
  <si>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</si>
  <si>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</si>
  <si>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</si>
  <si>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</si>
  <si>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</si>
  <si>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</si>
  <si>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</si>
  <si>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</si>
  <si>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</si>
  <si>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</si>
  <si>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</si>
  <si>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</si>
  <si>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</si>
  <si>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</si>
  <si>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</si>
  <si>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</si>
  <si>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</si>
  <si>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</si>
  <si>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</si>
  <si>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</si>
  <si>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</si>
  <si>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</si>
  <si>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</si>
  <si>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</si>
  <si>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</si>
  <si>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</si>
  <si>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</si>
  <si>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</si>
  <si>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</si>
  <si>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</si>
  <si>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</si>
  <si>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</si>
  <si>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</si>
  <si>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</si>
  <si>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</si>
  <si>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</si>
  <si>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</si>
  <si>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</si>
  <si>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</si>
  <si>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</si>
  <si>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</si>
  <si>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</si>
  <si>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</si>
  <si>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</si>
  <si>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</si>
  <si>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</si>
  <si>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</si>
  <si>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</si>
  <si>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</si>
  <si>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</si>
  <si>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</si>
  <si>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</si>
  <si>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</si>
  <si>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</si>
  <si>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</si>
  <si>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</si>
  <si>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</si>
  <si>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</si>
  <si>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</si>
  <si>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</si>
  <si>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</si>
  <si>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</si>
  <si>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</si>
  <si>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</si>
  <si>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</si>
  <si>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</si>
  <si>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</si>
  <si>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</si>
  <si>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</si>
  <si>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</si>
  <si>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</si>
  <si>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</si>
  <si>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</si>
  <si>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</si>
  <si>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</si>
  <si>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</si>
  <si>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</si>
  <si>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</si>
  <si>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</si>
  <si>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</si>
  <si>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</si>
  <si>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</si>
  <si>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</si>
  <si>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</si>
  <si>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</si>
  <si>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</si>
  <si>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</si>
  <si>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</si>
  <si>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</si>
  <si>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</si>
  <si>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</si>
  <si>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</si>
  <si>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</si>
  <si>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</si>
  <si>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</si>
  <si>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</si>
  <si>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</si>
  <si>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</si>
  <si>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</si>
  <si>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</si>
  <si>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</si>
  <si>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</si>
  <si>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</si>
  <si>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</si>
  <si>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</si>
  <si>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</si>
  <si>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</si>
  <si>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</si>
  <si>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</si>
  <si>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</si>
  <si>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</si>
  <si>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</si>
  <si>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</si>
  <si>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</si>
  <si>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</si>
  <si>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</si>
  <si>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</si>
  <si>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</si>
  <si>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</si>
  <si>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</si>
  <si>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</si>
  <si>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</si>
  <si>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</si>
  <si>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</si>
  <si>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</si>
  <si>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</si>
  <si>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</si>
  <si>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</si>
  <si>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</si>
  <si>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</si>
  <si>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</si>
  <si>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</si>
  <si>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</si>
  <si>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</si>
  <si>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</si>
  <si>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</si>
  <si>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</si>
  <si>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</si>
  <si>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</si>
  <si>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</si>
  <si>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</si>
  <si>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</si>
  <si>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</si>
  <si>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</si>
  <si>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</si>
  <si>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</si>
  <si>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</si>
  <si>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</si>
  <si>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</si>
  <si>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</si>
  <si>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</si>
  <si>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</si>
  <si>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</si>
  <si>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</si>
  <si>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</si>
  <si>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</si>
  <si>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</si>
  <si>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</si>
  <si>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</si>
  <si>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</si>
  <si>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</si>
  <si>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</si>
  <si>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</si>
  <si>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</si>
  <si>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</si>
  <si>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</si>
  <si>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</si>
  <si>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</si>
  <si>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</si>
  <si>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</si>
  <si>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</si>
  <si>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</si>
  <si>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</si>
  <si>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</si>
  <si>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</si>
  <si>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</si>
  <si>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</si>
  <si>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</si>
  <si>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</si>
  <si>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</si>
  <si>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</si>
  <si>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</si>
  <si>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</si>
  <si>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</si>
  <si>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</si>
  <si>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</si>
  <si>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</si>
  <si>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</si>
  <si>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</si>
  <si>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</si>
  <si>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</si>
  <si>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</si>
  <si>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</si>
  <si>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</si>
  <si>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</si>
  <si>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</si>
  <si>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</si>
  <si>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</si>
  <si>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</si>
  <si>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</si>
  <si>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</si>
  <si>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</si>
  <si>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</si>
  <si>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</si>
  <si>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</si>
  <si>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</si>
  <si>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</si>
  <si>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</si>
  <si>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</si>
  <si>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</si>
  <si>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</si>
  <si>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</si>
  <si>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</si>
  <si>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</si>
  <si>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</si>
  <si>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</si>
  <si>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</si>
  <si>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</si>
  <si>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</si>
  <si>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</si>
  <si>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</si>
  <si>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</si>
  <si>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</si>
  <si>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</si>
  <si>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</si>
  <si>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</si>
  <si>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</si>
  <si>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</si>
  <si>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</si>
  <si>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</si>
  <si>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</si>
  <si>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</si>
  <si>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</si>
  <si>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</si>
  <si>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</si>
  <si>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</si>
  <si>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</si>
  <si>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</si>
  <si>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</si>
  <si>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</si>
  <si>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</si>
  <si>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</si>
  <si>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</si>
  <si>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</si>
  <si>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</si>
  <si>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</si>
  <si>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</si>
  <si>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</si>
  <si>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</si>
  <si>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</si>
  <si>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</si>
  <si>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</si>
  <si>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</si>
  <si>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</si>
  <si>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</si>
  <si>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</si>
  <si>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</si>
  <si>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</si>
  <si>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</si>
  <si>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</si>
  <si>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</si>
  <si>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</si>
  <si>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</si>
  <si>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</si>
  <si>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</si>
  <si>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</si>
  <si>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</si>
  <si>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</si>
  <si>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</si>
  <si>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</si>
  <si>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</si>
  <si>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</si>
  <si>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</si>
  <si>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</si>
  <si>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</si>
  <si>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</si>
  <si>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</si>
  <si>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</si>
  <si>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</si>
  <si>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</si>
  <si>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</si>
  <si>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</si>
  <si>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</si>
  <si>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</si>
  <si>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</si>
  <si>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</si>
  <si>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</si>
  <si>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</si>
  <si>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</si>
  <si>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</si>
  <si>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</si>
  <si>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</si>
  <si>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</si>
  <si>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</si>
  <si>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</si>
  <si>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</si>
  <si>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</si>
  <si>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</si>
  <si>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</si>
  <si>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</si>
  <si>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</si>
  <si>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</si>
  <si>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</si>
  <si>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</si>
  <si>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</si>
  <si>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</si>
  <si>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</si>
  <si>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</si>
  <si>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</si>
  <si>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</si>
  <si>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</si>
  <si>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</si>
  <si>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</si>
  <si>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</si>
  <si>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</si>
  <si>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</si>
  <si>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</si>
  <si>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</si>
  <si>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</si>
  <si>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</si>
  <si>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</si>
  <si>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</si>
  <si>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</si>
  <si>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</si>
  <si>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</si>
  <si>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</si>
  <si>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</si>
  <si>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</si>
  <si>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</si>
  <si>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</si>
  <si>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</si>
  <si>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</si>
  <si>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</si>
  <si>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</si>
  <si>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</si>
  <si>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</si>
  <si>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</si>
  <si>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</si>
  <si>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</si>
  <si>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</si>
  <si>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</si>
  <si>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</si>
  <si>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</si>
  <si>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</si>
  <si>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</si>
  <si>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</si>
  <si>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</si>
  <si>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</si>
  <si>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</si>
  <si>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</si>
  <si>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</si>
  <si>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</si>
  <si>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</si>
  <si>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</si>
  <si>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</si>
  <si>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</si>
  <si>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</si>
  <si>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</si>
  <si>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</si>
  <si>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</si>
  <si>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</si>
  <si>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</si>
  <si>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</si>
  <si>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</si>
  <si>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</si>
  <si>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</si>
  <si>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</si>
  <si>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</si>
  <si>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</si>
  <si>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</si>
  <si>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</si>
  <si>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</si>
  <si>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</si>
  <si>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</si>
  <si>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</si>
  <si>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</si>
  <si>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</si>
  <si>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</si>
  <si>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</si>
  <si>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</si>
  <si>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</si>
  <si>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</si>
  <si>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</si>
  <si>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</si>
  <si>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</si>
  <si>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</si>
  <si>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</si>
  <si>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</si>
  <si>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</si>
  <si>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</si>
  <si>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</si>
  <si>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</si>
  <si>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</si>
  <si>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</si>
  <si>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</si>
  <si>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</si>
  <si>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</si>
  <si>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</si>
  <si>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</si>
  <si>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</si>
  <si>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</si>
  <si>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</si>
  <si>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</si>
  <si>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</si>
  <si>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</si>
  <si>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</si>
  <si>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</si>
  <si>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</si>
  <si>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</si>
  <si>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</si>
  <si>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</si>
  <si>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</si>
  <si>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</si>
  <si>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</si>
  <si>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</si>
  <si>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</si>
  <si>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</si>
  <si>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</si>
  <si>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</si>
  <si>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</si>
  <si>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</si>
  <si>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</si>
  <si>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</si>
  <si>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</si>
  <si>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</si>
  <si>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</si>
  <si>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</si>
  <si>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</si>
  <si>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</si>
  <si>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</si>
  <si>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</si>
  <si>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</si>
  <si>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</si>
  <si>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</si>
  <si>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</si>
  <si>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</si>
  <si>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</si>
  <si>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</si>
  <si>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</si>
  <si>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</si>
  <si>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</si>
  <si>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</si>
  <si>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</si>
  <si>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</si>
  <si>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</si>
  <si>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</si>
  <si>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</si>
  <si>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</si>
  <si>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</si>
  <si>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</si>
  <si>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</si>
  <si>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</si>
  <si>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</si>
  <si>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</si>
  <si>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</si>
  <si>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</si>
  <si>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</si>
  <si>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</si>
  <si>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</si>
  <si>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</si>
  <si>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</si>
  <si>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</si>
  <si>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</si>
  <si>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</si>
  <si>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</si>
  <si>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</si>
  <si>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</si>
  <si>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</si>
  <si>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</si>
  <si>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</si>
  <si>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</si>
  <si>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</si>
  <si>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</si>
  <si>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</si>
  <si>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</si>
  <si>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</si>
  <si>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</si>
  <si>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</si>
  <si>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</si>
  <si>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</si>
  <si>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</si>
  <si>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</si>
  <si>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</si>
  <si>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</si>
  <si>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</si>
  <si>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</si>
  <si>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</si>
  <si>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</si>
  <si>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</si>
  <si>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</si>
  <si>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</si>
  <si>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</si>
  <si>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</si>
  <si>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</si>
  <si>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</si>
  <si>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</si>
  <si>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</si>
  <si>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</si>
  <si>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</si>
  <si>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</si>
  <si>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</si>
  <si>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</si>
  <si>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</si>
  <si>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</si>
  <si>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</si>
  <si>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</si>
  <si>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</si>
  <si>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</si>
  <si>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</si>
  <si>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</si>
  <si>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</si>
  <si>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</si>
  <si>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</si>
  <si>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</si>
  <si>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</si>
  <si>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</si>
  <si>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</si>
  <si>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</si>
  <si>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</si>
  <si>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</si>
  <si>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</si>
  <si>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</si>
  <si>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</si>
  <si>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</si>
  <si>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</si>
  <si>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</si>
  <si>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</si>
  <si>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</si>
  <si>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</si>
  <si>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</si>
  <si>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</si>
  <si>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</si>
  <si>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</si>
  <si>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</si>
  <si>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</si>
  <si>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</si>
  <si>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</si>
  <si>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</si>
  <si>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</si>
  <si>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</si>
  <si>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</si>
  <si>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</si>
  <si>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</si>
  <si>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</si>
  <si>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</si>
  <si>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</si>
  <si>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</si>
  <si>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</si>
  <si>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</si>
  <si>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</si>
  <si>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</si>
  <si>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</si>
  <si>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</si>
  <si>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</si>
  <si>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</si>
  <si>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</si>
  <si>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</si>
  <si>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</si>
  <si>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</si>
  <si>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</si>
  <si>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</si>
  <si>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</si>
  <si>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</si>
  <si>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</si>
  <si>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</si>
  <si>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</si>
  <si>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</si>
  <si>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</si>
  <si>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</si>
  <si>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</si>
  <si>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</si>
  <si>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</si>
  <si>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</si>
  <si>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</si>
  <si>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</si>
  <si>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</si>
  <si>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</si>
  <si>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</si>
  <si>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</si>
  <si>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</si>
  <si>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</si>
  <si>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</si>
  <si>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</si>
  <si>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</si>
  <si>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</si>
  <si>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</si>
  <si>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</si>
  <si>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</si>
  <si>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</si>
  <si>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</si>
  <si>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</si>
  <si>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</si>
  <si>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</si>
  <si>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</si>
  <si>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</si>
  <si>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</si>
  <si>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</si>
  <si>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</si>
  <si>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</si>
  <si>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</si>
  <si>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</si>
  <si>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</si>
  <si>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</si>
  <si>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</si>
  <si>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</si>
  <si>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</si>
  <si>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</si>
  <si>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</si>
  <si>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</si>
  <si>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</si>
  <si>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</si>
  <si>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</si>
  <si>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</si>
  <si>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</si>
  <si>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</si>
  <si>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</si>
  <si>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</si>
  <si>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</si>
  <si>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</si>
  <si>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</si>
  <si>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</si>
  <si>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</si>
  <si>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</si>
  <si>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</si>
  <si>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</si>
  <si>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</si>
  <si>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</si>
  <si>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</si>
  <si>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</si>
  <si>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</si>
  <si>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</si>
  <si>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</si>
  <si>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</si>
  <si>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</si>
  <si>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</si>
  <si>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</si>
  <si>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</si>
  <si>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</si>
  <si>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</si>
  <si>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</si>
  <si>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</si>
  <si>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</si>
  <si>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</si>
  <si>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</si>
  <si>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</si>
  <si>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</si>
  <si>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</si>
  <si>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</si>
  <si>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</si>
  <si>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</si>
  <si>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</si>
  <si>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</si>
  <si>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</si>
  <si>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</si>
  <si>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</si>
  <si>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</si>
  <si>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</si>
  <si>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</si>
  <si>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</si>
  <si>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</si>
  <si>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</si>
  <si>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</si>
  <si>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</si>
  <si>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</si>
  <si>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</si>
  <si>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</si>
  <si>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</si>
  <si>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</si>
  <si>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</si>
  <si>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</si>
  <si>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</si>
  <si>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</si>
  <si>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</si>
  <si>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</si>
  <si>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</si>
  <si>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</si>
  <si>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</si>
  <si>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</si>
  <si>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</si>
  <si>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</si>
  <si>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</si>
  <si>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</si>
  <si>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</si>
  <si>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</si>
  <si>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</si>
  <si>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</si>
  <si>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</si>
  <si>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</si>
  <si>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</si>
  <si>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</si>
  <si>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</si>
  <si>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</si>
  <si>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</si>
  <si>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</si>
  <si>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</si>
  <si>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</si>
  <si>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</si>
  <si>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</si>
  <si>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</si>
  <si>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</si>
  <si>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</si>
  <si>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</si>
  <si>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</si>
  <si>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</si>
  <si>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</si>
  <si>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</si>
  <si>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</si>
  <si>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</si>
  <si>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</si>
  <si>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</si>
  <si>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</si>
  <si>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</si>
  <si>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</si>
  <si>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</si>
  <si>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</si>
  <si>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</si>
  <si>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</si>
  <si>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</si>
  <si>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</si>
  <si>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</si>
  <si>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</si>
  <si>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</si>
  <si>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</si>
  <si>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</si>
  <si>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</si>
  <si>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</si>
  <si>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</si>
  <si>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</si>
  <si>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</si>
  <si>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</si>
  <si>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</si>
  <si>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</si>
  <si>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</si>
  <si>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</si>
  <si>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</si>
  <si>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</si>
  <si>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</si>
  <si>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</si>
  <si>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</si>
  <si>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</si>
  <si>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</si>
  <si>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</si>
  <si>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</si>
  <si>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</si>
  <si>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</si>
  <si>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</si>
  <si>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</si>
  <si>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</si>
  <si>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</si>
  <si>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</si>
  <si>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</si>
  <si>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</si>
  <si>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</si>
  <si>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</si>
  <si>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</si>
  <si>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</si>
  <si>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</si>
  <si>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</si>
  <si>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</si>
  <si>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</si>
  <si>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</si>
  <si>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</si>
  <si>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</si>
  <si>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</si>
  <si>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</si>
  <si>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</si>
  <si>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</si>
  <si>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</si>
  <si>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</si>
  <si>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</si>
  <si>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</si>
  <si>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</si>
  <si>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</si>
  <si>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</si>
  <si>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</si>
  <si>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</si>
  <si>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</si>
  <si>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</si>
  <si>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</si>
  <si>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</si>
  <si>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</si>
  <si>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</si>
  <si>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</si>
  <si>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</si>
  <si>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</si>
  <si>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</si>
  <si>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</si>
  <si>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</si>
  <si>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</si>
  <si>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</si>
  <si>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</si>
  <si>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</si>
  <si>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</si>
  <si>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</si>
  <si>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</si>
  <si>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</si>
  <si>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</si>
  <si>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</si>
  <si>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</si>
  <si>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</si>
  <si>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</si>
  <si>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</si>
  <si>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</si>
  <si>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</si>
  <si>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</si>
  <si>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</si>
  <si>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</si>
  <si>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</si>
  <si>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</si>
  <si>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</si>
  <si>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</si>
  <si>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</si>
  <si>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</si>
  <si>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</si>
  <si>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</si>
  <si>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</si>
  <si>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</si>
  <si>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</si>
  <si>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</si>
  <si>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</si>
  <si>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</si>
  <si>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</si>
  <si>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</si>
  <si>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</si>
  <si>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</si>
  <si>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</si>
  <si>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</si>
  <si>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</si>
  <si>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</si>
  <si>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</si>
  <si>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</si>
  <si>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</si>
  <si>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</si>
  <si>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</si>
  <si>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</si>
  <si>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</si>
  <si>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</si>
  <si>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</si>
  <si>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</si>
  <si>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</si>
  <si>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</si>
  <si>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</si>
  <si>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</si>
  <si>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</si>
  <si>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</si>
  <si>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</si>
  <si>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</si>
  <si>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</si>
  <si>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</si>
  <si>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</si>
  <si>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</si>
  <si>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</si>
  <si>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</si>
  <si>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</si>
  <si>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</si>
  <si>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</si>
  <si>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</si>
  <si>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</si>
  <si>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</si>
  <si>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</si>
  <si>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</si>
  <si>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</si>
  <si>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</si>
  <si>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</si>
  <si>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</si>
  <si>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</si>
  <si>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</si>
  <si>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</si>
  <si>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</si>
  <si>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</si>
  <si>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</si>
  <si>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</si>
  <si>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</si>
  <si>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</si>
  <si>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</si>
  <si>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</si>
  <si>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</si>
  <si>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</si>
  <si>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</si>
  <si>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</si>
  <si>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</si>
  <si>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</si>
  <si>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</si>
  <si>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</si>
  <si>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</si>
  <si>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</si>
  <si>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</si>
  <si>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</si>
  <si>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</si>
  <si>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</si>
  <si>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</si>
  <si>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</si>
  <si>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</si>
  <si>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</si>
  <si>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</si>
  <si>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</si>
  <si>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</si>
  <si>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</si>
  <si>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</si>
  <si>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</si>
  <si>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</si>
  <si>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</si>
  <si>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</si>
  <si>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</si>
  <si>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</si>
  <si>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</si>
  <si>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</si>
  <si>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</si>
  <si>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</si>
  <si>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</si>
  <si>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</si>
  <si>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</si>
  <si>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</si>
  <si>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</si>
  <si>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</si>
  <si>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</si>
  <si>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</si>
  <si>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</si>
  <si>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</si>
  <si>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</si>
  <si>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</si>
  <si>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</si>
  <si>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</si>
  <si>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</si>
  <si>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</si>
  <si>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</si>
  <si>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</si>
  <si>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</si>
  <si>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</si>
  <si>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</si>
  <si>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</si>
  <si>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</si>
  <si>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</si>
  <si>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</si>
  <si>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</si>
  <si>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</si>
  <si>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</si>
  <si>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</si>
  <si>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</si>
  <si>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</si>
  <si>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</si>
  <si>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</si>
  <si>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</si>
  <si>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</si>
  <si>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</si>
  <si>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</si>
  <si>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</si>
  <si>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</si>
  <si>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</si>
  <si>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</si>
  <si>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</si>
  <si>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</si>
  <si>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</si>
  <si>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</si>
  <si>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</si>
  <si>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</si>
  <si>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</si>
  <si>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</si>
  <si>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</si>
  <si>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</si>
  <si>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</si>
  <si>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</si>
  <si>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</si>
  <si>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</si>
  <si>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</si>
  <si>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</si>
  <si>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</si>
  <si>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</si>
  <si>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</si>
  <si>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</si>
  <si>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</si>
  <si>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</si>
  <si>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</si>
  <si>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</si>
  <si>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</si>
  <si>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</si>
  <si>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</si>
  <si>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</si>
  <si>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</si>
  <si>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</si>
  <si>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</si>
  <si>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</si>
  <si>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</si>
  <si>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</si>
  <si>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</si>
  <si>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</si>
  <si>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</si>
  <si>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</si>
  <si>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</si>
  <si>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</si>
  <si>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</si>
  <si>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</si>
  <si>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</si>
  <si>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</si>
  <si>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</si>
  <si>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</si>
  <si>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</si>
  <si>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</si>
  <si>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</si>
  <si>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</si>
  <si>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</si>
  <si>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</si>
  <si>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</si>
  <si>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</si>
  <si>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</si>
  <si>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</si>
  <si>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</si>
  <si>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</si>
  <si>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</si>
  <si>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</si>
  <si>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</si>
  <si>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</si>
  <si>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</si>
  <si>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</si>
  <si>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</si>
  <si>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</si>
  <si>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</si>
  <si>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</si>
  <si>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</si>
  <si>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</si>
  <si>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</si>
  <si>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</si>
  <si>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</si>
  <si>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</si>
  <si>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</si>
  <si>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</si>
  <si>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</si>
  <si>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</si>
  <si>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</si>
  <si>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</si>
  <si>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</si>
  <si>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</si>
  <si>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</si>
  <si>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</si>
  <si>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</si>
  <si>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</si>
  <si>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</si>
  <si>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</si>
  <si>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</si>
  <si>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</si>
  <si>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</si>
  <si>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</si>
  <si>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</si>
  <si>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</si>
  <si>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</si>
  <si>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</si>
  <si>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</si>
  <si>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</si>
  <si>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</si>
  <si>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</si>
  <si>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</si>
  <si>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</si>
  <si>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</si>
  <si>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</si>
  <si>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</si>
  <si>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</si>
  <si>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</si>
  <si>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</si>
  <si>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</si>
  <si>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</si>
  <si>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</si>
  <si>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</si>
  <si>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</si>
  <si>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</si>
  <si>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</si>
  <si>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</si>
  <si>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</si>
  <si>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</si>
  <si>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</si>
  <si>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</si>
  <si>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</si>
  <si>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</si>
  <si>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</si>
  <si>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</si>
  <si>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</si>
  <si>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</si>
  <si>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</si>
  <si>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</si>
  <si>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</si>
  <si>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</si>
  <si>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</si>
  <si>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</si>
  <si>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</si>
  <si>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</si>
  <si>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</si>
  <si>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</si>
  <si>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</si>
  <si>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</si>
  <si>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</si>
  <si>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</si>
  <si>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</si>
  <si>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</si>
  <si>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</si>
  <si>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</si>
  <si>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</si>
  <si>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</si>
  <si>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</si>
  <si>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</si>
  <si>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</si>
  <si>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</si>
  <si>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</si>
  <si>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</si>
  <si>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</si>
  <si>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</si>
  <si>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</si>
  <si>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</si>
  <si>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</si>
  <si>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</si>
  <si>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</si>
  <si>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</si>
  <si>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</si>
  <si>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</si>
  <si>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</si>
  <si>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</si>
  <si>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</si>
  <si>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</si>
  <si>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</si>
  <si>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</si>
  <si>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</si>
  <si>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</si>
  <si>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</si>
  <si>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</si>
  <si>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</si>
  <si>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</si>
  <si>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</si>
  <si>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</si>
  <si>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</si>
  <si>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</si>
  <si>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</si>
  <si>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</si>
  <si>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</si>
  <si>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</si>
  <si>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</si>
  <si>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</si>
  <si>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</si>
  <si>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</si>
  <si>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</si>
  <si>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</si>
  <si>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</si>
  <si>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</si>
  <si>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</si>
  <si>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</si>
  <si>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</si>
  <si>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</si>
  <si>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</si>
  <si>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</si>
  <si>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</si>
  <si>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</si>
  <si>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</si>
  <si>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</si>
  <si>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</si>
  <si>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</si>
  <si>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</si>
  <si>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</si>
  <si>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</si>
  <si>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</si>
  <si>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</si>
  <si>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</si>
  <si>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</si>
  <si>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</si>
  <si>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</si>
  <si>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</si>
  <si>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</si>
  <si>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</si>
  <si>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</si>
  <si>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</si>
  <si>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</si>
  <si>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</si>
  <si>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</si>
  <si>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</si>
  <si>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</si>
  <si>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</si>
  <si>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</si>
  <si>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</si>
  <si>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</si>
  <si>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</si>
  <si>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</si>
  <si>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</si>
  <si>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</si>
  <si>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</si>
  <si>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</si>
  <si>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</si>
  <si>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</si>
  <si>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</si>
  <si>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</si>
  <si>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</si>
  <si>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</si>
  <si>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</si>
  <si>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</si>
  <si>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</si>
  <si>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</si>
  <si>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</si>
  <si>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</si>
  <si>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</si>
  <si>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</si>
  <si>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</si>
  <si>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</si>
  <si>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</si>
  <si>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</si>
  <si>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</si>
  <si>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</si>
  <si>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</si>
  <si>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</si>
  <si>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</si>
  <si>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</si>
  <si>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</si>
  <si>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</si>
  <si>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</si>
  <si>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</si>
  <si>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</si>
  <si>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</si>
  <si>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</si>
  <si>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</si>
  <si>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</si>
  <si>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</si>
  <si>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</si>
  <si>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</si>
  <si>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</si>
  <si>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</si>
  <si>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</si>
  <si>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</si>
  <si>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</si>
  <si>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</si>
  <si>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</si>
  <si>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</si>
  <si>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</si>
  <si>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</si>
  <si>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</si>
  <si>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</si>
  <si>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</si>
  <si>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</si>
  <si>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</si>
  <si>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</si>
  <si>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</si>
  <si>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</si>
  <si>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</si>
  <si>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</si>
  <si>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</si>
  <si>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</si>
  <si>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</si>
  <si>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</si>
  <si>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</si>
  <si>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</si>
  <si>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</si>
  <si>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</si>
  <si>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</si>
  <si>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</si>
  <si>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</si>
  <si>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</si>
  <si>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</si>
  <si>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</si>
  <si>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</si>
  <si>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</si>
  <si>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</si>
  <si>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</si>
  <si>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</si>
  <si>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</si>
  <si>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</si>
  <si>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</si>
  <si>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</si>
  <si>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</si>
  <si>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</si>
  <si>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</si>
  <si>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</si>
  <si>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</si>
  <si>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</si>
  <si>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</si>
  <si>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</si>
  <si>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</si>
  <si>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</si>
  <si>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</si>
  <si>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</si>
  <si>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</si>
  <si>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</si>
  <si>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</si>
  <si>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</si>
  <si>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</si>
  <si>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</si>
  <si>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</si>
  <si>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</si>
  <si>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</si>
  <si>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</si>
  <si>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</si>
  <si>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</si>
  <si>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</si>
  <si>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</si>
  <si>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</si>
  <si>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</si>
  <si>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</si>
  <si>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</si>
  <si>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</si>
  <si>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</si>
  <si>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</si>
  <si>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</si>
  <si>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</si>
  <si>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</si>
  <si>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</si>
  <si>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</si>
  <si>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</si>
  <si>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</si>
  <si>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</si>
  <si>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</si>
  <si>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</si>
  <si>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</si>
  <si>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</si>
  <si>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</si>
  <si>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</si>
  <si>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</si>
  <si>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</si>
  <si>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</si>
  <si>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</si>
  <si>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</si>
  <si>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</si>
  <si>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</si>
  <si>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</si>
  <si>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</si>
  <si>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</si>
  <si>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</si>
  <si>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</si>
  <si>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</si>
  <si>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</si>
  <si>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</si>
  <si>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</si>
  <si>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</si>
  <si>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</si>
  <si>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</si>
  <si>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</si>
  <si>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</si>
  <si>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</si>
  <si>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</si>
  <si>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</si>
  <si>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</si>
  <si>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</si>
  <si>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</si>
  <si>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</si>
  <si>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</si>
  <si>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</si>
  <si>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</si>
  <si>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</si>
  <si>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</si>
  <si>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</si>
  <si>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</si>
  <si>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</si>
  <si>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</si>
  <si>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</si>
  <si>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</si>
  <si>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</si>
  <si>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</si>
  <si>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</si>
  <si>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</si>
  <si>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</si>
  <si>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</si>
  <si>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</si>
  <si>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</si>
  <si>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</si>
  <si>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</si>
  <si>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</si>
  <si>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</si>
  <si>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</si>
  <si>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</si>
  <si>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</si>
  <si>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</si>
  <si>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</si>
  <si>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</si>
  <si>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</si>
  <si>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</si>
  <si>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</si>
  <si>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</si>
  <si>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</si>
  <si>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</si>
  <si>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</si>
  <si>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</si>
  <si>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</si>
  <si>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</si>
  <si>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</si>
  <si>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</si>
  <si>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</si>
  <si>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</si>
  <si>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</si>
  <si>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</si>
  <si>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</si>
  <si>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</si>
  <si>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</si>
  <si>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</si>
  <si>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</si>
  <si>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</si>
  <si>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</si>
  <si>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</si>
  <si>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</si>
  <si>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</si>
  <si>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</si>
  <si>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</si>
  <si>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</si>
  <si>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</si>
  <si>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</si>
  <si>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</si>
  <si>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</si>
  <si>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</si>
  <si>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</si>
  <si>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</si>
  <si>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</si>
  <si>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</si>
  <si>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</si>
  <si>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</si>
  <si>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</si>
  <si>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</si>
  <si>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</si>
  <si>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</si>
  <si>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</si>
  <si>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</si>
  <si>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</si>
  <si>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</si>
  <si>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</si>
  <si>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</si>
  <si>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</si>
  <si>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</si>
  <si>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</si>
  <si>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</si>
  <si>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</si>
  <si>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</si>
  <si>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</si>
  <si>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</si>
  <si>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</si>
  <si>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</si>
  <si>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</si>
  <si>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</si>
  <si>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</si>
  <si>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</si>
  <si>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</si>
  <si>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</si>
  <si>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</si>
  <si>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</si>
  <si>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</si>
  <si>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</si>
  <si>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</si>
  <si>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</si>
  <si>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</si>
  <si>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</si>
  <si>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</si>
  <si>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</si>
  <si>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</si>
  <si>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</si>
  <si>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</si>
  <si>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</si>
  <si>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</si>
  <si>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</si>
  <si>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</si>
  <si>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</si>
  <si>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</si>
  <si>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</si>
  <si>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</si>
  <si>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</si>
  <si>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</si>
  <si>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</si>
  <si>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</si>
  <si>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</si>
  <si>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</si>
  <si>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</si>
  <si>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</si>
  <si>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</si>
  <si>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</si>
  <si>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</si>
  <si>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</si>
  <si>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</si>
  <si>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</si>
  <si>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</si>
  <si>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</si>
  <si>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</si>
  <si>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</si>
  <si>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</si>
  <si>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</si>
  <si>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</si>
  <si>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</si>
  <si>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</si>
  <si>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</si>
  <si>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</si>
  <si>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</si>
  <si>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</si>
  <si>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</si>
  <si>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</si>
  <si>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</si>
  <si>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</si>
  <si>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</si>
  <si>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</si>
  <si>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</si>
  <si>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</si>
  <si>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</si>
  <si>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</si>
  <si>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</si>
  <si>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</si>
  <si>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</si>
  <si>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</si>
  <si>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</si>
  <si>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</si>
  <si>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</si>
  <si>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</si>
  <si>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</si>
  <si>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</si>
  <si>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</si>
  <si>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</si>
  <si>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</si>
  <si>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</si>
  <si>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</si>
  <si>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</si>
  <si>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</si>
  <si>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</si>
  <si>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</si>
  <si>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</si>
  <si>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</si>
  <si>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</si>
  <si>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</si>
  <si>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</si>
  <si>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</si>
  <si>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</si>
  <si>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</si>
  <si>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</si>
  <si>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</si>
  <si>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</si>
  <si>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</si>
  <si>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</si>
  <si>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</si>
  <si>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</si>
  <si>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</si>
  <si>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</si>
  <si>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</si>
  <si>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</si>
  <si>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</si>
  <si>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</si>
  <si>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</si>
  <si>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</si>
  <si>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</si>
  <si>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</si>
  <si>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</si>
  <si>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</si>
  <si>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</si>
  <si>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</si>
  <si>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</si>
  <si>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</si>
  <si>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</si>
  <si>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</si>
  <si>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</si>
  <si>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</si>
  <si>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</si>
  <si>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</si>
  <si>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</si>
  <si>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</si>
  <si>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</si>
  <si>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</si>
  <si>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</si>
  <si>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</si>
  <si>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</si>
  <si>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</si>
  <si>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</si>
  <si>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</si>
  <si>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</si>
  <si>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</si>
  <si>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</si>
  <si>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</si>
  <si>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</si>
  <si>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</si>
  <si>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</si>
  <si>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</si>
  <si>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</si>
  <si>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</si>
  <si>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</si>
  <si>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</si>
  <si>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</si>
  <si>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</si>
  <si>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</si>
  <si>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</si>
  <si>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</si>
  <si>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</si>
  <si>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</si>
  <si>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</si>
  <si>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</si>
  <si>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</si>
  <si>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</si>
  <si>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</si>
  <si>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</si>
  <si>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</si>
  <si>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</si>
  <si>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</si>
  <si>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</si>
  <si>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</si>
  <si>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</si>
  <si>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</si>
  <si>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</si>
  <si>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</si>
  <si>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</si>
  <si>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</si>
  <si>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</si>
  <si>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</si>
  <si>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</si>
  <si>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</si>
  <si>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</si>
  <si>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</si>
  <si>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</si>
  <si>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</si>
  <si>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</si>
  <si>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</si>
  <si>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</si>
  <si>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</si>
  <si>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</si>
  <si>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</si>
  <si>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</si>
  <si>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</si>
  <si>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</si>
  <si>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</si>
  <si>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</si>
  <si>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</si>
  <si>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</si>
  <si>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</si>
  <si>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</si>
  <si>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</si>
  <si>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</si>
  <si>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</si>
  <si>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</si>
  <si>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</si>
  <si>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</si>
  <si>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</si>
  <si>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</si>
  <si>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</si>
  <si>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</si>
  <si>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</si>
  <si>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</si>
  <si>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</si>
  <si>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</si>
  <si>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</si>
  <si>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</si>
  <si>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</si>
  <si>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</si>
  <si>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</si>
  <si>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</si>
  <si>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</si>
  <si>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</si>
  <si>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</si>
  <si>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</si>
  <si>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</si>
  <si>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</si>
  <si>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</si>
  <si>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</si>
  <si>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</si>
  <si>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</si>
  <si>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</si>
  <si>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</si>
  <si>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</si>
  <si>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</si>
  <si>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</si>
  <si>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</si>
  <si>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</si>
  <si>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</si>
  <si>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</si>
  <si>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</si>
  <si>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</si>
  <si>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</si>
  <si>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</si>
  <si>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</si>
  <si>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</si>
  <si>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</si>
  <si>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</si>
  <si>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</si>
  <si>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</si>
  <si>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</si>
  <si>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</si>
  <si>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</si>
  <si>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</si>
  <si>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</si>
  <si>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</si>
  <si>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</si>
  <si>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</si>
  <si>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</si>
  <si>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</si>
  <si>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</si>
  <si>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</si>
  <si>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</si>
  <si>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</si>
  <si>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</si>
  <si>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</si>
  <si>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</si>
  <si>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</si>
  <si>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</si>
  <si>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</si>
  <si>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</si>
  <si>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</si>
  <si>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</si>
  <si>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</si>
  <si>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</si>
  <si>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</si>
  <si>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</si>
  <si>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</si>
  <si>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</si>
  <si>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</si>
  <si>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</si>
  <si>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</si>
  <si>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</si>
  <si>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</si>
  <si>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</si>
  <si>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</si>
  <si>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</si>
  <si>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</si>
  <si>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</si>
  <si>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</si>
  <si>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</si>
  <si>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</si>
  <si>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</si>
  <si>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</si>
  <si>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</si>
  <si>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</si>
  <si>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</si>
  <si>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</si>
  <si>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</si>
  <si>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</si>
  <si>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</si>
  <si>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</si>
  <si>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</si>
  <si>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</si>
  <si>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</si>
  <si>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</si>
  <si>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</si>
  <si>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</si>
  <si>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</si>
  <si>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</si>
  <si>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</si>
  <si>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</si>
  <si>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</si>
  <si>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</si>
  <si>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</si>
  <si>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</si>
  <si>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</si>
  <si>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</si>
  <si>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</si>
  <si>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</si>
  <si>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</si>
  <si>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</si>
  <si>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</si>
  <si>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</si>
  <si>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</si>
  <si>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</si>
  <si>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</si>
  <si>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</si>
  <si>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</si>
  <si>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</si>
  <si>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</si>
  <si>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</si>
  <si>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</si>
  <si>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</si>
  <si>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</si>
  <si>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</si>
  <si>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</si>
  <si>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</si>
  <si>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</si>
  <si>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</si>
  <si>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</si>
  <si>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</si>
  <si>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</si>
  <si>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</si>
  <si>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</si>
  <si>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</si>
  <si>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</si>
  <si>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</si>
  <si>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</si>
  <si>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</si>
  <si>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</si>
  <si>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</si>
  <si>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</si>
  <si>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</si>
  <si>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</si>
  <si>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</si>
  <si>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</si>
  <si>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</si>
  <si>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</si>
  <si>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</si>
  <si>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</si>
  <si>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</si>
  <si>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</si>
  <si>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</si>
  <si>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</si>
  <si>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</si>
  <si>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</si>
  <si>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</si>
  <si>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</si>
  <si>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</si>
  <si>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</si>
  <si>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</si>
  <si>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</si>
  <si>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</si>
  <si>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</si>
  <si>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</si>
  <si>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</si>
  <si>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</si>
  <si>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</si>
  <si>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</si>
  <si>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</si>
  <si>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</si>
  <si>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</si>
  <si>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</si>
  <si>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</si>
  <si>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</si>
  <si>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</si>
  <si>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</si>
  <si>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</si>
  <si>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</si>
  <si>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</si>
  <si>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</si>
  <si>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</si>
  <si>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</si>
  <si>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</si>
  <si>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</si>
  <si>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</si>
  <si>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</si>
  <si>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</si>
  <si>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</si>
  <si>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</si>
  <si>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</si>
  <si>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</si>
  <si>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</si>
  <si>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</si>
  <si>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</si>
  <si>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</si>
  <si>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</si>
  <si>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</si>
  <si>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</si>
  <si>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</si>
  <si>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</si>
  <si>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</si>
  <si>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</si>
  <si>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</si>
  <si>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</si>
  <si>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</si>
  <si>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</si>
  <si>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</si>
  <si>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</si>
  <si>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</si>
  <si>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</si>
  <si>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</si>
  <si>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</si>
  <si>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</si>
  <si>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</si>
  <si>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</si>
  <si>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</si>
  <si>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</si>
  <si>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</si>
  <si>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</si>
  <si>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</si>
  <si>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</si>
  <si>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</si>
  <si>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</si>
  <si>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</si>
  <si>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</si>
  <si>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</si>
  <si>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</si>
  <si>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</si>
  <si>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</si>
  <si>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</si>
  <si>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</si>
  <si>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</si>
  <si>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</si>
  <si>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</si>
  <si>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</si>
  <si>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</si>
  <si>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</si>
  <si>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</si>
  <si>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</si>
  <si>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</si>
  <si>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</si>
  <si>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</si>
  <si>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</si>
  <si>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</si>
  <si>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</si>
  <si>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</si>
  <si>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</si>
  <si>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</si>
  <si>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</si>
  <si>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</si>
  <si>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</si>
  <si>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</si>
  <si>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</si>
  <si>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</si>
  <si>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</si>
  <si>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</si>
  <si>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</si>
  <si>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</si>
  <si>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</si>
  <si>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</si>
  <si>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</si>
  <si>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</si>
  <si>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</si>
  <si>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</si>
  <si>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</si>
  <si>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</si>
  <si>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</si>
  <si>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</si>
  <si>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</si>
  <si>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</si>
  <si>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</si>
  <si>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</si>
  <si>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</si>
  <si>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</si>
  <si>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</si>
  <si>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</si>
  <si>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</si>
  <si>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</si>
  <si>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</si>
  <si>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</si>
  <si>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</si>
  <si>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</si>
  <si>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</si>
  <si>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</si>
  <si>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</si>
  <si>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</si>
  <si>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</si>
  <si>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</si>
  <si>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</si>
  <si>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</si>
  <si>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</si>
  <si>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</si>
  <si>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</si>
  <si>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</si>
  <si>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</si>
  <si>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</si>
  <si>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</si>
  <si>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</si>
  <si>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</si>
  <si>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</si>
  <si>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</si>
  <si>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</si>
  <si>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</si>
  <si>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</si>
  <si>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</si>
  <si>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</si>
  <si>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</si>
  <si>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</si>
  <si>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</si>
  <si>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</si>
  <si>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</si>
  <si>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</si>
  <si>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</si>
  <si>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</si>
  <si>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</si>
  <si>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</si>
  <si>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</si>
  <si>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</si>
  <si>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</si>
  <si>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</si>
  <si>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</si>
  <si>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</si>
  <si>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</si>
  <si>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</si>
  <si>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</si>
  <si>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</si>
  <si>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</si>
  <si>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</si>
  <si>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</si>
  <si>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</si>
  <si>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</si>
  <si>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</si>
  <si>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</si>
  <si>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</si>
  <si>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</si>
  <si>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CHASSI DE RETORNO 73240-B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</si>
  <si>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</si>
  <si>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</si>
  <si>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</si>
  <si>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</si>
  <si>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</si>
  <si>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</si>
  <si>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</si>
  <si>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</si>
  <si>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</si>
  <si>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</si>
  <si>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</si>
  <si>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</si>
  <si>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</si>
  <si>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</si>
  <si>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</si>
  <si>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</si>
  <si>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</si>
  <si>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</si>
  <si>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</si>
  <si>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</si>
  <si>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</si>
  <si>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</si>
  <si>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</si>
  <si>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</si>
  <si>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</si>
  <si>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</si>
  <si>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</si>
  <si>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</si>
  <si>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</si>
  <si>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</si>
  <si>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</si>
  <si>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</si>
  <si>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</si>
  <si>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</si>
  <si>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</si>
  <si>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</si>
  <si>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</si>
  <si>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</si>
  <si>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</si>
  <si>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</si>
  <si>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</si>
  <si>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</si>
  <si>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</si>
  <si>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</si>
  <si>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</si>
  <si>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</si>
  <si>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</si>
  <si>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</si>
  <si>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</si>
  <si>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</si>
  <si>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</si>
  <si>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</si>
  <si>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</si>
  <si>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</si>
  <si>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</si>
  <si>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</si>
  <si>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</si>
  <si>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</si>
  <si>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</si>
  <si>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</si>
  <si>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</si>
  <si>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</si>
  <si>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</si>
  <si>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</si>
  <si>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</si>
  <si>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</si>
  <si>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</si>
  <si>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</si>
  <si>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</si>
  <si>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</si>
  <si>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</si>
  <si>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</si>
  <si>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</si>
  <si>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</si>
  <si>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</si>
  <si>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</si>
  <si>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</si>
  <si>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</si>
  <si>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</si>
  <si>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</si>
  <si>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</si>
  <si>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</si>
  <si>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</si>
  <si>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</si>
  <si>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</si>
  <si>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</si>
  <si>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</si>
  <si>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</si>
  <si>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</si>
  <si>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</si>
  <si>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</si>
  <si>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</si>
  <si>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</si>
  <si>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</si>
  <si>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</si>
  <si>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</si>
  <si>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</si>
  <si>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</si>
  <si>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</si>
  <si>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</si>
  <si>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</si>
  <si>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</si>
  <si>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</si>
  <si>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</si>
  <si>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</si>
  <si>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</si>
  <si>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</si>
  <si>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</si>
  <si>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</si>
  <si>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</si>
  <si>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</si>
  <si>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</si>
  <si>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</si>
  <si>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</si>
  <si>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</si>
  <si>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</si>
  <si>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</si>
  <si>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</si>
  <si>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</si>
  <si>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</si>
  <si>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</si>
  <si>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</si>
  <si>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</si>
  <si>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</si>
  <si>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</si>
  <si>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</si>
  <si>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</si>
  <si>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</si>
  <si>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</si>
  <si>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</si>
  <si>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</si>
  <si>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</si>
  <si>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</si>
  <si>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</si>
  <si>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</si>
  <si>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</si>
  <si>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</si>
  <si>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</si>
  <si>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</si>
  <si>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</si>
  <si>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</si>
  <si>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</si>
  <si>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</si>
  <si>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</si>
  <si>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</si>
  <si>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</si>
  <si>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</si>
  <si>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</si>
  <si>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</si>
  <si>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</si>
  <si>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</si>
  <si>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</si>
  <si>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</si>
  <si>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</si>
  <si>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</si>
  <si>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</si>
  <si>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</si>
  <si>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</si>
  <si>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</si>
  <si>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</si>
  <si>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</si>
  <si>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</si>
  <si>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</si>
  <si>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</si>
  <si>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</si>
  <si>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</si>
  <si>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</si>
  <si>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</si>
  <si>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</si>
  <si>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</si>
  <si>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</si>
  <si>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</si>
  <si>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</si>
  <si>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</si>
  <si>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</si>
  <si>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</si>
  <si>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</si>
  <si>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</si>
  <si>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</si>
  <si>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</si>
  <si>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</si>
  <si>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</si>
  <si>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</si>
  <si>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</si>
  <si>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</si>
  <si>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</si>
  <si>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</si>
  <si>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</si>
  <si>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</si>
  <si>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</si>
  <si>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</si>
  <si>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</si>
  <si>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</si>
  <si>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</si>
  <si>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</si>
  <si>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</si>
  <si>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</si>
  <si>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</si>
  <si>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</si>
  <si>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</si>
  <si>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</si>
  <si>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</si>
  <si>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</si>
  <si>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</si>
  <si>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</si>
  <si>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</si>
  <si>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</si>
  <si>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</si>
  <si>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</si>
  <si>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</si>
  <si>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</si>
  <si>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</si>
  <si>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</si>
  <si>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</si>
  <si>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</si>
  <si>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</si>
  <si>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</si>
  <si>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</si>
  <si>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</si>
  <si>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</si>
  <si>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</si>
  <si>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</si>
  <si>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</si>
  <si>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</si>
  <si>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</si>
  <si>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</si>
  <si>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</si>
  <si>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</si>
  <si>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</si>
  <si>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</si>
  <si>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</si>
  <si>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</si>
  <si>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</si>
  <si>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</si>
  <si>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</si>
  <si>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</si>
  <si>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</si>
  <si>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</si>
  <si>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</si>
  <si>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</si>
  <si>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</si>
  <si>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</si>
  <si>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</si>
  <si>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</si>
  <si>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</si>
  <si>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</si>
  <si>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</si>
  <si>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</si>
  <si>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</si>
  <si>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</si>
  <si>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</si>
  <si>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</si>
  <si>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</si>
  <si>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</si>
  <si>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</si>
  <si>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</si>
  <si>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</si>
  <si>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</si>
  <si>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</si>
  <si>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</si>
  <si>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</si>
  <si>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</si>
  <si>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</si>
  <si>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</si>
  <si>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</si>
  <si>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</si>
  <si>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</si>
  <si>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</si>
  <si>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</si>
  <si>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</si>
  <si>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</si>
  <si>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</si>
  <si>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</si>
  <si>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</si>
  <si>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</si>
  <si>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</si>
  <si>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</si>
  <si>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</si>
  <si>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</si>
  <si>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</si>
  <si>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</si>
  <si>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</si>
  <si>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</si>
  <si>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</si>
  <si>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</si>
  <si>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</si>
  <si>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</si>
  <si>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</si>
  <si>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</si>
  <si>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</si>
  <si>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</si>
  <si>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</si>
  <si>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</si>
  <si>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</si>
  <si>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</si>
  <si>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</si>
  <si>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</si>
  <si>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</si>
  <si>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</si>
  <si>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</si>
  <si>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</si>
  <si>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</si>
  <si>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</si>
  <si>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</si>
  <si>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</si>
  <si>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</si>
  <si>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</si>
  <si>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</si>
  <si>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</si>
  <si>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</si>
  <si>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</si>
  <si>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</si>
  <si>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</si>
  <si>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</si>
  <si>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</si>
  <si>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</si>
  <si>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</si>
  <si>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</si>
  <si>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</si>
  <si>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</si>
  <si>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</si>
  <si>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</si>
  <si>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</si>
  <si>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</si>
  <si>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</si>
  <si>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</si>
  <si>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</si>
  <si>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</si>
  <si>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</si>
  <si>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</si>
  <si>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</si>
  <si>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</si>
  <si>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</si>
  <si>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</si>
  <si>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</si>
  <si>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</si>
  <si>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</si>
  <si>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</si>
  <si>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</si>
  <si>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</si>
  <si>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</si>
  <si>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</si>
  <si>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</si>
  <si>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</si>
  <si>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</si>
  <si>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</si>
  <si>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</si>
  <si>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</si>
  <si>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</si>
  <si>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</si>
  <si>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</si>
  <si>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</si>
  <si>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</si>
  <si>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</si>
  <si>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</si>
  <si>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</si>
  <si>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</si>
  <si>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</si>
  <si>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</si>
  <si>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</si>
  <si>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</si>
  <si>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</si>
  <si>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</si>
  <si>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</si>
  <si>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</si>
  <si>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</si>
  <si>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</si>
  <si>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</si>
  <si>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</si>
  <si>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</si>
  <si>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</si>
  <si>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</si>
  <si>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</si>
  <si>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</si>
  <si>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</si>
  <si>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</si>
  <si>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</si>
  <si>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</si>
  <si>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</si>
  <si>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</si>
  <si>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</si>
  <si>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</si>
  <si>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</si>
  <si>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</si>
  <si>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</si>
  <si>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</si>
  <si>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</si>
  <si>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</si>
  <si>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</si>
  <si>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</si>
  <si>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</si>
  <si>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</si>
  <si>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</si>
  <si>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</si>
  <si>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</si>
  <si>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</si>
  <si>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</si>
  <si>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</si>
  <si>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</si>
  <si>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</si>
  <si>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</si>
  <si>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</si>
  <si>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</si>
  <si>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</si>
  <si>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</si>
  <si>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</si>
  <si>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</si>
  <si>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</si>
  <si>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</si>
  <si>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</si>
  <si>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</si>
  <si>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</si>
  <si>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</si>
  <si>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</si>
  <si>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</si>
  <si>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</si>
  <si>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</si>
  <si>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</si>
  <si>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</si>
  <si>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</si>
  <si>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</si>
  <si>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</si>
  <si>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</si>
  <si>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</si>
  <si>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</si>
  <si>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</si>
  <si>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</si>
  <si>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</si>
  <si>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</si>
  <si>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</si>
  <si>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</si>
  <si>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</si>
  <si>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</si>
  <si>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</si>
  <si>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</si>
  <si>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</si>
  <si>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</si>
  <si>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</si>
  <si>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</si>
  <si>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</si>
  <si>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</si>
  <si>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</si>
  <si>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</si>
  <si>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</si>
  <si>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</si>
  <si>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</si>
  <si>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</si>
  <si>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</si>
  <si>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</si>
  <si>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</si>
  <si>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</si>
  <si>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</si>
  <si>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</si>
  <si>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</si>
  <si>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</si>
  <si>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</si>
  <si>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</si>
  <si>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</si>
  <si>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</si>
  <si>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</si>
  <si>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</si>
  <si>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</si>
  <si>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</si>
  <si>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</si>
  <si>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</si>
  <si>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</si>
  <si>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</si>
  <si>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</si>
  <si>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</si>
  <si>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</si>
  <si>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</si>
  <si>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</si>
  <si>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</si>
  <si>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</si>
  <si>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</si>
  <si>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</si>
  <si>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</si>
  <si>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</si>
  <si>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</si>
  <si>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</si>
  <si>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</si>
  <si>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</si>
  <si>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</si>
  <si>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</si>
  <si>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</si>
  <si>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</si>
  <si>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</si>
  <si>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</si>
  <si>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</si>
  <si>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</si>
  <si>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</si>
  <si>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</si>
  <si>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</si>
  <si>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</si>
  <si>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</si>
  <si>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</si>
  <si>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</si>
  <si>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</si>
  <si>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</si>
  <si>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</si>
  <si>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</si>
  <si>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</si>
  <si>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</si>
  <si>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</si>
  <si>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</si>
  <si>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</si>
  <si>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</si>
  <si>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</si>
  <si>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</si>
  <si>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</si>
  <si>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</si>
  <si>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</si>
  <si>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</si>
  <si>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</si>
  <si>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</si>
  <si>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</si>
  <si>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</si>
  <si>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</si>
  <si>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</si>
  <si>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</si>
  <si>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</si>
  <si>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</si>
  <si>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</si>
  <si>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</si>
  <si>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</si>
  <si>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</si>
  <si>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</si>
  <si>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</si>
  <si>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</si>
  <si>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</si>
  <si>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</si>
  <si>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</si>
  <si>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</si>
  <si>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</si>
  <si>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</si>
  <si>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</si>
  <si>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</si>
  <si>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</si>
  <si>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</si>
  <si>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</si>
  <si>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</si>
  <si>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</si>
  <si>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</si>
  <si>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</si>
  <si>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</si>
  <si>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</si>
  <si>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</si>
  <si>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</si>
  <si>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</si>
  <si>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</si>
  <si>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</si>
  <si>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</si>
  <si>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</si>
  <si>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</si>
  <si>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</si>
  <si>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</si>
  <si>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</si>
  <si>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</si>
  <si>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</si>
  <si>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</si>
  <si>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</si>
  <si>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</si>
  <si>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</si>
  <si>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</si>
  <si>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</si>
  <si>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</si>
  <si>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</si>
  <si>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</si>
  <si>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</si>
  <si>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</si>
  <si>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</si>
  <si>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</si>
  <si>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</si>
  <si>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</si>
  <si>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</si>
  <si>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</si>
  <si>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</si>
  <si>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</si>
  <si>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</si>
  <si>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</si>
  <si>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</si>
  <si>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</si>
  <si>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</si>
  <si>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</si>
  <si>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</si>
  <si>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</si>
  <si>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</si>
  <si>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</si>
  <si>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</si>
  <si>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</si>
  <si>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</si>
  <si>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</si>
  <si>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</si>
  <si>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</si>
  <si>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</si>
  <si>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</si>
  <si>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</si>
  <si>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</si>
  <si>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</si>
  <si>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</si>
  <si>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</si>
  <si>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</si>
  <si>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</si>
  <si>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</si>
  <si>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</si>
  <si>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</si>
  <si>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</si>
  <si>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</si>
  <si>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</si>
  <si>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</si>
  <si>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</si>
  <si>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</si>
  <si>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</si>
  <si>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</si>
  <si>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</si>
  <si>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</si>
  <si>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</si>
  <si>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</si>
  <si>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</si>
  <si>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</si>
  <si>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</si>
  <si>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</si>
  <si>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</si>
  <si>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</si>
  <si>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</si>
  <si>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</si>
  <si>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</si>
  <si>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</si>
  <si>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</si>
  <si>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</si>
  <si>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</si>
  <si>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</si>
  <si>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</si>
  <si>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</si>
  <si>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</si>
  <si>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</si>
  <si>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</si>
  <si>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</si>
  <si>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</si>
  <si>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</si>
  <si>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</si>
  <si>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</si>
  <si>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</si>
  <si>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</si>
  <si>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</si>
  <si>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</si>
  <si>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</si>
  <si>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</si>
  <si>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</si>
  <si>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</si>
  <si>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</si>
  <si>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</si>
  <si>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</si>
  <si>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</si>
  <si>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</si>
  <si>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</si>
  <si>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</si>
  <si>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</si>
  <si>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</si>
  <si>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</si>
  <si>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</si>
  <si>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</si>
  <si>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</si>
  <si>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</si>
  <si>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</si>
  <si>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</si>
  <si>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</si>
  <si>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</si>
  <si>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</si>
  <si>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</si>
  <si>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</si>
  <si>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</si>
  <si>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</si>
  <si>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</si>
  <si>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</si>
  <si>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</si>
  <si>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</si>
  <si>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</si>
  <si>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</si>
  <si>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</si>
  <si>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</si>
  <si>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</si>
  <si>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</si>
  <si>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</si>
  <si>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</si>
  <si>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</si>
  <si>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</si>
  <si>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</si>
  <si>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</si>
  <si>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</si>
  <si>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</si>
  <si>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</si>
  <si>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</si>
  <si>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</si>
  <si>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</si>
  <si>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</si>
  <si>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</si>
  <si>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</si>
  <si>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</si>
  <si>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</si>
  <si>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</si>
  <si>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</si>
  <si>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</si>
  <si>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</si>
  <si>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</si>
  <si>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</si>
  <si>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</si>
  <si>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</si>
  <si>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</si>
  <si>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</si>
  <si>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</si>
  <si>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</si>
  <si>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</si>
  <si>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</si>
  <si>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</si>
  <si>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</si>
  <si>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</si>
  <si>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</si>
  <si>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</si>
  <si>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</si>
  <si>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</si>
  <si>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</si>
  <si>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</si>
  <si>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</si>
  <si>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</si>
  <si>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</si>
  <si>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</si>
  <si>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</si>
  <si>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</si>
  <si>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</si>
  <si>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</si>
  <si>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</si>
  <si>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</si>
  <si>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</si>
  <si>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</si>
  <si>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</si>
  <si>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</si>
  <si>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</si>
  <si>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</si>
  <si>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</si>
  <si>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</si>
  <si>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</si>
  <si>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</si>
  <si>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</si>
  <si>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</si>
  <si>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</si>
  <si>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</si>
  <si>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</si>
  <si>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</si>
  <si>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</si>
  <si>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</si>
  <si>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</si>
  <si>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</si>
  <si>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</si>
  <si>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</si>
  <si>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</si>
  <si>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</si>
  <si>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</si>
  <si>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</si>
  <si>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</si>
  <si>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</si>
  <si>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</si>
  <si>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</si>
  <si>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</si>
  <si>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</si>
  <si>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</si>
  <si>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</si>
  <si>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</si>
  <si>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</si>
  <si>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</si>
  <si>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</si>
  <si>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</si>
  <si>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</si>
  <si>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</si>
  <si>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</si>
  <si>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2-17/07/2026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</si>
  <si>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</si>
  <si>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</si>
  <si>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</si>
  <si>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</si>
  <si>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</si>
  <si>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</si>
  <si>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</si>
  <si>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</si>
  <si>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</si>
  <si>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</si>
  <si>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</si>
  <si>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</si>
  <si>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</si>
  <si>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</si>
  <si>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</si>
  <si>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</si>
  <si>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</si>
  <si>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</si>
  <si>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</si>
  <si>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</si>
  <si>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</si>
  <si>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</si>
  <si>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</si>
  <si>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</si>
  <si>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</si>
  <si>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</si>
  <si>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</si>
  <si>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</si>
  <si>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</si>
  <si>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</si>
  <si>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</si>
  <si>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</si>
  <si>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</si>
  <si>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</si>
  <si>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</si>
  <si>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</si>
  <si>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</si>
  <si>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</si>
  <si>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</si>
  <si>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</si>
  <si>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</si>
  <si>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</si>
  <si>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DISPONIVEL PARA EXPEDIÇÃO NA SEXTA FEIRA 24/07/2026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</si>
  <si>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</si>
  <si>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</si>
  <si>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</si>
  <si>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</si>
  <si>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</si>
  <si>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</si>
  <si>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</si>
  <si>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</si>
  <si>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</si>
  <si>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</si>
  <si>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</si>
  <si>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</si>
  <si>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</si>
  <si>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</si>
  <si>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</si>
  <si>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</si>
  <si>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</si>
  <si>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</si>
  <si>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</si>
  <si>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</si>
  <si>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</si>
  <si>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</si>
  <si>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</si>
  <si>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</si>
  <si>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</si>
  <si>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</si>
  <si>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</si>
  <si>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</si>
  <si>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</si>
  <si>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</si>
  <si>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</si>
  <si>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</si>
  <si>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</si>
  <si>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</si>
  <si>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</si>
  <si>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</si>
  <si>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</si>
  <si>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</si>
  <si>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</si>
  <si>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</si>
  <si>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</si>
  <si>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</si>
  <si>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</si>
  <si>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</si>
  <si>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</si>
  <si>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</si>
  <si>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</si>
  <si>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</si>
  <si>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</si>
  <si>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</si>
  <si>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</si>
  <si>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</si>
  <si>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</si>
  <si>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</si>
  <si>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</si>
  <si>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</si>
  <si>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</si>
  <si>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</si>
  <si>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</si>
  <si>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</si>
  <si>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</si>
  <si>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</si>
  <si>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</si>
  <si>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</si>
  <si>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</si>
  <si>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</si>
  <si>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</si>
  <si>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</si>
  <si>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</si>
  <si>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</si>
  <si>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</si>
  <si>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</si>
  <si>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</si>
  <si>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</si>
  <si>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</si>
  <si>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</si>
  <si>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</si>
  <si>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</si>
  <si>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</si>
  <si>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</si>
  <si>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</si>
  <si>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</si>
  <si>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</si>
  <si>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</si>
  <si>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</si>
  <si>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</si>
  <si>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</si>
  <si>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</si>
  <si>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</si>
  <si>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</si>
  <si>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</si>
  <si>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</si>
  <si>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</si>
  <si>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</si>
  <si>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</si>
  <si>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</si>
  <si>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</si>
  <si>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</si>
  <si>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</si>
  <si>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</si>
  <si>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</si>
  <si>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</si>
  <si>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</si>
  <si>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</si>
  <si>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</si>
  <si>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</si>
  <si>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</si>
  <si>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</si>
  <si>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</si>
  <si>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</si>
  <si>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</si>
  <si>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</si>
  <si>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</si>
  <si>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</si>
  <si>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</si>
  <si>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</si>
  <si>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</si>
  <si>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</si>
  <si>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</si>
  <si>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</si>
  <si>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</si>
  <si>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</si>
  <si>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</si>
  <si>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</si>
  <si>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</si>
  <si>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</si>
  <si>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</si>
  <si>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</si>
  <si>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</si>
  <si>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</si>
  <si>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</si>
  <si>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</si>
  <si>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</si>
  <si>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</si>
  <si>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</si>
  <si>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</si>
  <si>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</si>
  <si>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</si>
  <si>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</si>
  <si>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</si>
  <si>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</si>
  <si>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</si>
  <si>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</si>
  <si>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</si>
  <si>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</si>
  <si>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</si>
  <si>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</si>
  <si>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</si>
  <si>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</si>
  <si>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</si>
  <si>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</si>
  <si>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</si>
  <si>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</si>
  <si>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</si>
  <si>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</si>
  <si>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</si>
  <si>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</si>
  <si>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</si>
  <si>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</si>
  <si>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</si>
  <si>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</si>
  <si>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</si>
  <si>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</si>
  <si>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</si>
  <si>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</si>
  <si>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</si>
  <si>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</si>
  <si>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</si>
  <si>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</si>
  <si>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</si>
  <si>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</si>
  <si>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</si>
  <si>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</si>
  <si>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</si>
  <si>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</si>
  <si>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</si>
  <si>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</si>
  <si>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</si>
  <si>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</si>
  <si>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</si>
  <si>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</si>
  <si>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</si>
  <si>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</si>
  <si>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</si>
  <si>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</si>
  <si>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</si>
  <si>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</si>
  <si>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</si>
  <si>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</si>
  <si>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</si>
  <si>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</si>
  <si>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</si>
  <si>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</si>
  <si>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</si>
  <si>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</si>
  <si>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</si>
  <si>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</si>
  <si>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</si>
  <si>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</si>
  <si>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</si>
  <si>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</si>
  <si>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</si>
  <si>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</si>
  <si>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</si>
  <si>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</si>
  <si>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</si>
  <si>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</si>
  <si>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</si>
  <si>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</si>
  <si>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</si>
  <si>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</si>
  <si>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</si>
  <si>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</si>
  <si>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</si>
  <si>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</si>
  <si>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</si>
  <si>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</si>
  <si>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</si>
  <si>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</si>
  <si>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</si>
  <si>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</si>
  <si>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</si>
  <si>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</si>
  <si>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</si>
  <si>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</si>
  <si>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</si>
  <si>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</si>
  <si>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</si>
  <si>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</si>
  <si>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</si>
  <si>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</si>
  <si>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</si>
  <si>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</si>
  <si>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</si>
  <si>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</si>
  <si>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</si>
  <si>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</si>
  <si>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</si>
  <si>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</si>
  <si>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</si>
  <si>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</si>
  <si>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</si>
  <si>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</si>
  <si>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</si>
  <si>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</si>
  <si>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</si>
  <si>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</si>
  <si>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</si>
  <si>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</si>
  <si>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</si>
  <si>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</si>
  <si>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</si>
  <si>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</si>
  <si>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</si>
  <si>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</si>
  <si>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</si>
  <si>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</si>
  <si>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</si>
  <si>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</si>
  <si>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</si>
  <si>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</si>
  <si>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</si>
  <si>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</si>
  <si>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</si>
  <si>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</si>
  <si>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</si>
  <si>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</si>
  <si>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</si>
  <si>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</si>
  <si>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</si>
  <si>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</si>
  <si>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</si>
  <si>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</si>
  <si>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</si>
  <si>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</si>
  <si>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</si>
  <si>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</si>
  <si>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</si>
  <si>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</si>
  <si>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</si>
  <si>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</si>
  <si>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</si>
  <si>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</si>
  <si>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</si>
  <si>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</si>
  <si>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</si>
  <si>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</si>
  <si>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</si>
  <si>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</si>
  <si>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</si>
  <si>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</si>
  <si>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</si>
  <si>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</si>
  <si>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</si>
  <si>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</si>
  <si>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</si>
  <si>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</si>
  <si>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</si>
  <si>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</si>
  <si>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</si>
  <si>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</si>
  <si>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</si>
  <si>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</si>
  <si>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</si>
  <si>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</si>
  <si>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</si>
  <si>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</si>
  <si>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</si>
  <si>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</si>
  <si>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 xml:space="preserve">Em processo de Pintura </t>
  </si>
  <si>
    <t>Liberado para expedição</t>
  </si>
  <si>
    <t>LIBERADO PARA EXPEDIÇÃO</t>
  </si>
  <si>
    <t xml:space="preserve">Em processo de compra de material </t>
  </si>
  <si>
    <t>AGUARDADNO MP SC-1912</t>
  </si>
  <si>
    <t>AGUARDADNO 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</si>
</sst>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0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9" fontId="5" fillId="0" borderId="1" xfId="0" applyNumberFormat="1" applyFont="1" applyBorder="1" applyAlignment="1">
      <alignment horizontal="center" vertical="center"/>
    </xf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8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7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24.702000000000002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97.073800000000006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6.5806000000000004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32.442400000000006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18.121400000000001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64.631399999999999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10.426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22.591899999999999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774" totalsRowShown="0" headerRowDxfId="126" tableBorderDxfId="125">
  <autoFilter ref="A1:AW774" xr:uid="{00000000-000C-0000-FFFF-FFFF00000000}">
    <filterColumn colId="11">
      <filters>
        <filter val="P-897"/>
      </filters>
    </filterColumn>
  </autoFilter>
  <tableColumns count="49">
    <tableColumn id="1" xr3:uid="{00000000-0010-0000-0000-000001000000}" name="DESENHO_x000a_MDE" dataDxfId="124"/>
    <tableColumn id="43" xr3:uid="{56981E1B-CD3E-434D-AB02-C5F83A6F3E43}" name="DESENHO_x000a_CLIENTE" dataDxfId="123"/>
    <tableColumn id="2" xr3:uid="{00000000-0010-0000-0000-000002000000}" name="QTE" dataDxfId="122"/>
    <tableColumn id="3" xr3:uid="{00000000-0010-0000-0000-000003000000}" name="DESCRIÇÃO" dataDxfId="121"/>
    <tableColumn id="41" xr3:uid="{00000000-0010-0000-0000-000029000000}" name="COD.MDE" dataDxfId="120"/>
    <tableColumn id="40" xr3:uid="{00000000-0010-0000-0000-000028000000}" name="REMESSA" dataDxfId="119"/>
    <tableColumn id="4" xr3:uid="{00000000-0010-0000-0000-000004000000}" name="PESO UNI" dataDxfId="118"/>
    <tableColumn id="5" xr3:uid="{00000000-0010-0000-0000-000005000000}" name="PESO TOTAL" dataDxfId="117"/>
    <tableColumn id="6" xr3:uid="{00000000-0010-0000-0000-000006000000}" name="Revisão" dataDxfId="116"/>
    <tableColumn id="7" xr3:uid="{00000000-0010-0000-0000-000007000000}" name="TAG" dataDxfId="115"/>
    <tableColumn id="38" xr3:uid="{00000000-0010-0000-0000-000026000000}" name="PRODUTO" dataDxfId="114"/>
    <tableColumn id="8" xr3:uid="{00000000-0010-0000-0000-000008000000}" name="PEDIDO" dataDxfId="113"/>
    <tableColumn id="9" xr3:uid="{00000000-0010-0000-0000-000009000000}" name="Engenharia" dataDxfId="112"/>
    <tableColumn id="10" xr3:uid="{00000000-0010-0000-0000-00000A000000}" name="FORNECEDOR" dataDxfId="111"/>
    <tableColumn id="11" xr3:uid="{00000000-0010-0000-0000-00000B000000}" name="QTDE/ Fabricação" dataDxfId="110"/>
    <tableColumn id="12" xr3:uid="{00000000-0010-0000-0000-00000C000000}" name="DATA/Fabricação" dataDxfId="109"/>
    <tableColumn id="13" xr3:uid="{00000000-0010-0000-0000-00000D000000}" name="SALDO PENDENTE/Fabricação" dataDxfId="108"/>
    <tableColumn id="14" xr3:uid="{00000000-0010-0000-0000-00000E000000}" name="EVOLUÇÃO PRETO / Fabricação_x000a_(kg)" dataDxfId="107"/>
    <tableColumn id="15" xr3:uid="{00000000-0010-0000-0000-00000F000000}" name="PRONTO ACABADO kg" dataDxfId="106">
      <calculatedColumnFormula>IFERROR(H2*AG2,"")</calculatedColumnFormula>
    </tableColumn>
    <tableColumn id="16" xr3:uid="{00000000-0010-0000-0000-000010000000}" name="Pendencia  / Fabricação_x000a_EM KG" dataDxfId="105"/>
    <tableColumn id="17" xr3:uid="{00000000-0010-0000-0000-000011000000}" name="QIANTIDADE EXPEDIDA" dataDxfId="104"/>
    <tableColumn id="18" xr3:uid="{00000000-0010-0000-0000-000012000000}" name="ROMANEIO " dataDxfId="103"/>
    <tableColumn id="19" xr3:uid="{00000000-0010-0000-0000-000013000000}" name="DATA EXPEDIÇÃO" dataDxfId="102"/>
    <tableColumn id="20" xr3:uid="{00000000-0010-0000-0000-000014000000}" name="Peso Expedido" dataDxfId="101"/>
    <tableColumn id="21" xr3:uid="{00000000-0010-0000-0000-000015000000}" name="QUANTIDADE PENDENTE/Expedição" dataDxfId="100"/>
    <tableColumn id="22" xr3:uid="{00000000-0010-0000-0000-000016000000}" name="PESO PENDENTE/Expedição" dataDxfId="99"/>
    <tableColumn id="23" xr3:uid="{00000000-0010-0000-0000-000017000000}" name="MATÉRIA PRIMA" dataDxfId="98"/>
    <tableColumn id="24" xr3:uid="{00000000-0010-0000-0000-000018000000}" name="RELATORIO" dataDxfId="97"/>
    <tableColumn id="25" xr3:uid="{00000000-0010-0000-0000-000019000000}" name="PREPARAÇÃO " dataDxfId="96"/>
    <tableColumn id="26" xr3:uid="{00000000-0010-0000-0000-00001A000000}" name="CALDEIRARIA" dataDxfId="95"/>
    <tableColumn id="27" xr3:uid="{00000000-0010-0000-0000-00001B000000}" name="SOLDA" dataDxfId="94"/>
    <tableColumn id="28" xr3:uid="{00000000-0010-0000-0000-00001C000000}" name="ACABAMENTO" dataDxfId="93"/>
    <tableColumn id="29" xr3:uid="{00000000-0010-0000-0000-00001D000000}" name="PRONTO ACABADO" dataDxfId="92"/>
    <tableColumn id="30" xr3:uid="{00000000-0010-0000-0000-00001E000000}" name="EXPEDIÇÃO " dataDxfId="91"/>
    <tableColumn id="31" xr3:uid="{00000000-0010-0000-0000-00001F000000}" name="FINALIZADO " dataDxfId="90"/>
    <tableColumn id="32" xr3:uid="{00000000-0010-0000-0000-000020000000}" name="Coluna1" dataDxfId="89"/>
    <tableColumn id="33" xr3:uid="{00000000-0010-0000-0000-000021000000}" name="Coluna2" dataDxfId="88"/>
    <tableColumn id="34" xr3:uid="{00000000-0010-0000-0000-000022000000}" name="Coluna3" dataDxfId="87"/>
    <tableColumn id="35" xr3:uid="{00000000-0010-0000-0000-000023000000}" name="Coluna4" dataDxfId="86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85"/>
    <tableColumn id="42" xr3:uid="{44772FB5-94B9-4683-9D51-42A525419432}" name="Colunas7" dataDxfId="84"/>
    <tableColumn id="44" xr3:uid="{7DBCA215-A831-41EC-8668-4217050D7CEF}" name="Coluna5" dataDxfId="83"/>
    <tableColumn id="52" xr3:uid="{0F1E3E30-ACD2-41A7-9FEB-CFC4141C720F}" name="PRONTO NO PRETO" dataDxfId="82"/>
    <tableColumn id="53" xr3:uid="{7B42991E-C57D-449B-9CA4-FF51ED3B7EE1}" name="PRONTO ACABADO3" dataDxfId="81"/>
    <tableColumn id="54" xr3:uid="{B185D57F-2904-41B4-A913-414AD30553DC}" name="PESO EXPEDIDO2" dataDxfId="80"/>
    <tableColumn id="55" xr3:uid="{216FC5C0-1E81-4ACF-B1FE-D38AAA1F26E6}" name="PRONTO ACABADO2" dataDxfId="79"/>
    <tableColumn id="57" xr3:uid="{58807113-78D0-4422-B88A-8E66792B9681}" name="Coluna7" dataDxfId="78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8" totalsRowShown="0" headerRowDxfId="136" headerRowBorderDxfId="135" tableBorderDxfId="134" totalsRowBorderDxfId="133">
  <autoFilter ref="A1:F18" xr:uid="{9E04BDB3-7991-400D-A075-6EF4E207F167}"/>
  <tableColumns count="6">
    <tableColumn id="1" xr3:uid="{0986BF72-EBA9-4CAA-A22C-20021A2F0193}" name="PEDIDO" dataDxfId="132"/>
    <tableColumn id="2" xr3:uid="{1E29E510-3230-4D4A-9101-BF1603DA1959}" name="EQUIPAMENTO" dataDxfId="131"/>
    <tableColumn id="3" xr3:uid="{27EA8246-98FE-4DF0-AB4F-2563340E3A33}" name="DATA PREVISTA " dataDxfId="130"/>
    <tableColumn id="4" xr3:uid="{178705E0-20E1-4EA8-BD6A-04EDA09B960F}" name="DATA REPROGRAMADA" dataDxfId="129"/>
    <tableColumn id="5" xr3:uid="{D69E8AE6-FCF7-4D70-8443-DFF41092DBA5}" name="Observação" dataDxfId="128"/>
    <tableColumn id="6" xr3:uid="{7ED96CF2-6F65-4A02-A0B9-FFDE23E894EB}" name="CLIENTE" dataDxfId="12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7">
  <autoFilter ref="D3:R395" xr:uid="{D635AFD0-01A4-4F4C-B4BB-2C0A84AFA373}"/>
  <tableColumns count="15">
    <tableColumn id="1" xr3:uid="{71019319-E348-41C4-90A8-BD800AFA385A}" name="TAG" dataDxfId="76"/>
    <tableColumn id="2" xr3:uid="{6205B1F5-4B96-401E-A8F0-D0B582A87E91}" name="PEDIDO" dataDxfId="75">
      <calculatedColumnFormula>VLOOKUP(Tabela2[[#This Row],[TAG]],MICRO!J:L,3,0)</calculatedColumnFormula>
    </tableColumn>
    <tableColumn id="3" xr3:uid="{EBC41BBB-459B-4DB5-8152-2C7C2C7ADFAA}" name="FORNECEDOR" dataDxfId="74" dataCellStyle="Normal 2"/>
    <tableColumn id="4" xr3:uid="{EE719B42-3B82-4AC6-AB4D-66A5AF76AAFC}" name="RECEBIDO ENGENHARIA (kg)" dataDxfId="73">
      <calculatedColumnFormula>SUMIF(MICRO!AP:AP,O:O,MICRO!H:H)</calculatedColumnFormula>
    </tableColumn>
    <tableColumn id="5" xr3:uid="{F8EF71F0-2467-40E6-8596-0C50AE8B2E56}" name="EM AVANÇO NO PRETO (kg)" dataDxfId="72">
      <calculatedColumnFormula>SUMIF(MICRO!AP:AP,O:O,MICRO!R:R)</calculatedColumnFormula>
    </tableColumn>
    <tableColumn id="6" xr3:uid="{70FA8036-1726-409E-865E-BBD68DD0CF2B}" name="Pendencia  / Fabricação_x000a_EM KG _x000a_(Kg)" dataDxfId="71">
      <calculatedColumnFormula>SUMIF(MICRO!AP:AP,O:O,MICRO!T:T)</calculatedColumnFormula>
    </tableColumn>
    <tableColumn id="7" xr3:uid="{2EDBF5C8-B6A0-4234-9B37-F4D245CBE335}" name="EVOLUÇÃO %" dataDxfId="70">
      <calculatedColumnFormula>IF(G4 = 0,0,H4/G4)</calculatedColumnFormula>
    </tableColumn>
    <tableColumn id="8" xr3:uid="{981D372E-5C81-43AA-82CF-C526D0CD7BC5}" name="PESO EXPEDIDO" dataDxfId="69">
      <calculatedColumnFormula>SUMIF(MICRO!AP:AP,O:O,MICRO!X:X)</calculatedColumnFormula>
    </tableColumn>
    <tableColumn id="9" xr3:uid="{9581E1B5-4976-4A66-B050-5EDFF64499FF}" name="% EXPEDIDO" dataDxfId="68">
      <calculatedColumnFormula>IF(G4&lt;&gt;0,SUM(K4/G4*1),"0%")</calculatedColumnFormula>
    </tableColumn>
    <tableColumn id="10" xr3:uid="{5A0DEF47-FBD5-46D6-A019-DB5E3CF46E5B}" name="PESO PENDENTE4" dataDxfId="67">
      <calculatedColumnFormula>G4-K4</calculatedColumnFormula>
    </tableColumn>
    <tableColumn id="11" xr3:uid="{AD13F8E0-0652-4176-B922-E74BEC175E7A}" name="Coluna1" dataDxfId="66">
      <calculatedColumnFormula>E4&amp;F4</calculatedColumnFormula>
    </tableColumn>
    <tableColumn id="12" xr3:uid="{9AB5E2D8-1AD6-4B63-A9ED-66372E94A48F}" name="Coluna2" dataDxfId="65">
      <calculatedColumnFormula>D4&amp;E4&amp;F4</calculatedColumnFormula>
    </tableColumn>
    <tableColumn id="13" xr3:uid="{ED15B1A8-5672-4E4D-9246-3BC797332C64}" name="PRONTO NO PRETO" dataDxfId="64">
      <calculatedColumnFormula>SUMIF(MICRO!AP:AP,O4,MICRO!AS:AS)</calculatedColumnFormula>
    </tableColumn>
    <tableColumn id="14" xr3:uid="{986427E9-0E8F-46D1-987F-01DBA908B397}" name="PRONTO ACABADO" dataDxfId="63">
      <calculatedColumnFormula>SUMIF(MICRO!AP:AP,O4,MICRO!AT:AT)</calculatedColumnFormula>
    </tableColumn>
    <tableColumn id="15" xr3:uid="{4361E9F4-014E-4677-9D4A-8DBAE707BA31}" name="PESO EXPEDIDO2" dataDxfId="62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22" t="s">
        <v>326</v>
      </c>
      <c r="B1" s="224" t="s">
        <v>891</v>
      </c>
      <c r="C1" s="225"/>
      <c r="D1" s="225"/>
      <c r="E1" s="225"/>
      <c r="F1" s="225"/>
      <c r="G1" s="226"/>
      <c r="H1" s="219" t="s">
        <v>331</v>
      </c>
      <c r="I1" s="220"/>
      <c r="J1" s="220"/>
      <c r="K1" s="221"/>
    </row>
    <row r="2" spans="1:11" x14ac:dyDescent="0.25">
      <c r="A2" s="22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16"/>
      <c r="B5" s="217"/>
      <c r="C5" s="217"/>
      <c r="D5" s="217"/>
      <c r="E5" s="217"/>
      <c r="F5" s="217"/>
      <c r="G5" s="217"/>
      <c r="H5" s="217"/>
      <c r="I5" s="217"/>
      <c r="J5" s="217"/>
      <c r="K5" s="21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774"/>
  <sheetViews>
    <sheetView showGridLines="0" tabSelected="1" topLeftCell="M1" zoomScale="70" zoomScaleNormal="70" workbookViewId="0">
      <pane ySplit="1" topLeftCell="A625" activePane="bottomLeft" state="frozen"/>
      <selection pane="bottomLeft" activeCell="AB789" sqref="AB789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84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4536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4322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4323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f>IFERROR(SUMIF('LISTA DE EMBARQUE'!B:B,MICRO!E:E,'LISTA DE EMBARQUE'!G:G),"")</f>
        <v>0</v>
      </c>
      <c r="V29" s="12" t="str">
        <f>IFERROR(VLOOKUP(Tabela1[[#This Row],[COD.MDE]],'LISTA DE EMBARQUE'!B:L,11,0),"")</f>
        <v/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0</v>
      </c>
      <c r="Y29" s="14">
        <f t="shared" si="2"/>
        <v>-1</v>
      </c>
      <c r="Z29" s="20">
        <f>Tabela1[[#This Row],[PESO TOTAL]]-Tabela1[[#This Row],[Peso Expedido]]</f>
        <v>213.7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tr">
        <f t="shared" si="10"/>
        <v/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0</v>
      </c>
      <c r="V30" s="12" t="str">
        <f>IFERROR(VLOOKUP(Tabela1[[#This Row],[COD.MDE]],'LISTA DE EMBARQUE'!B:L,11,0),"")</f>
        <v/>
      </c>
      <c r="W30" s="13" t="str">
        <f>IFERROR(VLOOKUP(Tabela1[[#This Row],[COD.MDE]],'LISTA DE EMBARQUE'!B:M,12,0),"")</f>
        <v/>
      </c>
      <c r="X30" s="14">
        <f>IFERROR(Tabela1[[#This Row],[QIANTIDADE EXPEDIDA]]*Tabela1[[#This Row],[PESO UNI]],"")</f>
        <v>0</v>
      </c>
      <c r="Y30" s="14">
        <f t="shared" si="2"/>
        <v>-4</v>
      </c>
      <c r="Z30" s="20">
        <f>Tabela1[[#This Row],[PESO TOTAL]]-Tabela1[[#This Row],[Peso Expedido]]</f>
        <v>10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/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0</v>
      </c>
      <c r="V31" s="12" t="str">
        <f>IFERROR(VLOOKUP(Tabela1[[#This Row],[COD.MDE]],'LISTA DE EMBARQUE'!B:L,11,0),"")</f>
        <v/>
      </c>
      <c r="W31" s="13" t="str">
        <f>IFERROR(VLOOKUP(Tabela1[[#This Row],[COD.MDE]],'LISTA DE EMBARQUE'!B:M,12,0),"")</f>
        <v/>
      </c>
      <c r="X31" s="14">
        <f>IFERROR(Tabela1[[#This Row],[QIANTIDADE EXPEDIDA]]*Tabela1[[#This Row],[PESO UNI]],"")</f>
        <v>0</v>
      </c>
      <c r="Y31" s="14">
        <f t="shared" si="2"/>
        <v>-30</v>
      </c>
      <c r="Z31" s="20">
        <f>Tabela1[[#This Row],[PESO TOTAL]]-Tabela1[[#This Row],[Peso Expedido]]</f>
        <v>480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/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0</v>
      </c>
      <c r="V32" s="12" t="str">
        <f>IFERROR(VLOOKUP(Tabela1[[#This Row],[COD.MDE]],'LISTA DE EMBARQUE'!B:L,11,0),"")</f>
        <v/>
      </c>
      <c r="W32" s="13" t="str">
        <f>IFERROR(VLOOKUP(Tabela1[[#This Row],[COD.MDE]],'LISTA DE EMBARQUE'!B:M,12,0),"")</f>
        <v/>
      </c>
      <c r="X32" s="14">
        <f>IFERROR(Tabela1[[#This Row],[QIANTIDADE EXPEDIDA]]*Tabela1[[#This Row],[PESO UNI]],"")</f>
        <v>0</v>
      </c>
      <c r="Y32" s="14">
        <f t="shared" si="2"/>
        <v>-12</v>
      </c>
      <c r="Z32" s="20">
        <f>Tabela1[[#This Row],[PESO TOTAL]]-Tabela1[[#This Row],[Peso Expedido]]</f>
        <v>192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/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0</v>
      </c>
      <c r="V33" s="12" t="str">
        <f>IFERROR(VLOOKUP(Tabela1[[#This Row],[COD.MDE]],'LISTA DE EMBARQUE'!B:L,11,0),"")</f>
        <v/>
      </c>
      <c r="W33" s="13" t="str">
        <f>IFERROR(VLOOKUP(Tabela1[[#This Row],[COD.MDE]],'LISTA DE EMBARQUE'!B:M,12,0),"")</f>
        <v/>
      </c>
      <c r="X33" s="14">
        <f>IFERROR(Tabela1[[#This Row],[QIANTIDADE EXPEDIDA]]*Tabela1[[#This Row],[PESO UNI]],"")</f>
        <v>0</v>
      </c>
      <c r="Y33" s="14">
        <f t="shared" si="2"/>
        <v>-4</v>
      </c>
      <c r="Z33" s="20">
        <f>Tabela1[[#This Row],[PESO TOTAL]]-Tabela1[[#This Row],[Peso Expedido]]</f>
        <v>164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/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0</v>
      </c>
      <c r="V34" s="12" t="str">
        <f>IFERROR(VLOOKUP(Tabela1[[#This Row],[COD.MDE]],'LISTA DE EMBARQUE'!B:L,11,0),"")</f>
        <v/>
      </c>
      <c r="W34" s="13" t="str">
        <f>IFERROR(VLOOKUP(Tabela1[[#This Row],[COD.MDE]],'LISTA DE EMBARQUE'!B:M,12,0),"")</f>
        <v/>
      </c>
      <c r="X34" s="14">
        <f>IFERROR(Tabela1[[#This Row],[QIANTIDADE EXPEDIDA]]*Tabela1[[#This Row],[PESO UNI]],"")</f>
        <v>0</v>
      </c>
      <c r="Y34" s="14">
        <f t="shared" si="2"/>
        <v>-4</v>
      </c>
      <c r="Z34" s="20">
        <f>Tabela1[[#This Row],[PESO TOTAL]]-Tabela1[[#This Row],[Peso Expedido]]</f>
        <v>7.2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/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4845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4416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4845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4416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4845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4416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4846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4843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4417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4417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4417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4417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4417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4417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4416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4416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4417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69.569999999999993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0.9</v>
      </c>
      <c r="AB89" s="33"/>
      <c r="AC89" s="33">
        <v>0.9</v>
      </c>
      <c r="AD89" s="33"/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4415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4415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4415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345.6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/>
      <c r="AE92" s="33"/>
      <c r="AF92" s="33"/>
      <c r="AG92" s="33"/>
      <c r="AH92" s="33"/>
      <c r="AI92" s="33" t="str">
        <f t="shared" ref="AI92:AI155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4415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57.6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/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4415</v>
      </c>
      <c r="J94" s="8" t="s">
        <v>3034</v>
      </c>
      <c r="K94" s="8" t="s">
        <v>45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05-CV-0001P-198COMERCIAL</v>
      </c>
      <c r="AQ94" s="22" t="str">
        <f>Tabela1[[#This Row],[PRODUTO]]&amp;Tabela1[[#This Row],[TAG]]</f>
        <v>COMERCIAL05-CV-0001</v>
      </c>
      <c r="AR94" s="24" t="str">
        <f>Tabela1[[#This Row],[PEDIDO]]&amp;Tabela1[[#This Row],[PRODUTO]]</f>
        <v>P-198COMERCIAL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4415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4415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4415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4415</v>
      </c>
      <c r="J98" s="8" t="s">
        <v>3034</v>
      </c>
      <c r="K98" s="8" t="s">
        <v>45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05-CV-0001P-198COMERCIAL</v>
      </c>
      <c r="AQ98" s="22" t="str">
        <f>Tabela1[[#This Row],[PRODUTO]]&amp;Tabela1[[#This Row],[TAG]]</f>
        <v>COMERCIAL05-CV-0001</v>
      </c>
      <c r="AR98" s="24" t="str">
        <f>Tabela1[[#This Row],[PEDIDO]]&amp;Tabela1[[#This Row],[PRODUTO]]</f>
        <v>P-198COMERCIAL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4415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4415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4" si="24">IF(AH101="",0,IF(ISTEXT(AH101),H101*VALUE(SUBSTITUTE(AH101,"%",""))/100,H101*AH101))</f>
        <v>10.8</v>
      </c>
      <c r="AV101" s="37">
        <f t="shared" ref="AV101:AV164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3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3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4414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16.5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/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4692</v>
      </c>
      <c r="E129" s="7">
        <v>3826</v>
      </c>
      <c r="F129" s="7">
        <v>28</v>
      </c>
      <c r="G129" s="23">
        <v>448.3</v>
      </c>
      <c r="H129" s="34">
        <f>Tabela1[[#This Row],[PESO UNI]]*Tabela1[[#This Row],[QTE]]</f>
        <v>448.3</v>
      </c>
      <c r="I129" s="7" t="s">
        <v>4302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325.01749999999998</v>
      </c>
      <c r="S129" s="18">
        <f t="shared" si="29"/>
        <v>0</v>
      </c>
      <c r="T129" s="19">
        <f t="shared" si="27"/>
        <v>-448.3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448.3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22.2</v>
      </c>
      <c r="H130" s="34">
        <f>Tabela1[[#This Row],[PESO UNI]]*Tabela1[[#This Row],[QTE]]</f>
        <v>66.599999999999994</v>
      </c>
      <c r="I130" s="7" t="s">
        <v>4302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48.284999999999997</v>
      </c>
      <c r="S130" s="18">
        <f t="shared" si="29"/>
        <v>0</v>
      </c>
      <c r="T130" s="19">
        <f t="shared" si="27"/>
        <v>-66.599999999999994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66.599999999999994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467.8</v>
      </c>
      <c r="H131" s="34">
        <f>Tabela1[[#This Row],[PESO UNI]]*Tabela1[[#This Row],[QTE]]</f>
        <v>467.8</v>
      </c>
      <c r="I131" s="7" t="s">
        <v>4302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339.15499999999997</v>
      </c>
      <c r="S131" s="18">
        <f t="shared" si="29"/>
        <v>0</v>
      </c>
      <c r="T131" s="19">
        <f t="shared" si="27"/>
        <v>-467.8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467.8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158.4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/>
      <c r="AB132" s="33"/>
      <c r="AC132" s="33"/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162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/>
      <c r="AB133" s="33"/>
      <c r="AC133" s="33"/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6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 t="shared" si="23"/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4302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4302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4302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4302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4302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4302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4302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4302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4302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4302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4302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4302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4302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4302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4302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3" si="31">IFERROR(H149*((AA149*0.25)+(AC149*0.25)+(AD149*0.225)+(AE149*0.225)+(AF149*0.05)),"")</f>
        <v>0</v>
      </c>
      <c r="S149" s="18">
        <f t="shared" si="29"/>
        <v>0</v>
      </c>
      <c r="T149" s="19">
        <f t="shared" ref="T149:T153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4302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4302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0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/>
      <c r="AB151" s="33"/>
      <c r="AC151" s="33"/>
      <c r="AD151" s="33"/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4</v>
      </c>
      <c r="D152" s="39" t="s">
        <v>3734</v>
      </c>
      <c r="E152" s="7">
        <v>3849</v>
      </c>
      <c r="F152" s="7">
        <v>31</v>
      </c>
      <c r="G152" s="23">
        <v>13.7</v>
      </c>
      <c r="H152" s="34">
        <f>Tabela1[[#This Row],[PESO UNI]]*Tabela1[[#This Row],[QTE]]</f>
        <v>54.8</v>
      </c>
      <c r="I152" s="7">
        <v>0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-4</v>
      </c>
      <c r="R152" s="18">
        <f t="shared" si="31"/>
        <v>0</v>
      </c>
      <c r="S152" s="18">
        <f t="shared" si="29"/>
        <v>0</v>
      </c>
      <c r="T152" s="19">
        <f t="shared" si="32"/>
        <v>-54.8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-4</v>
      </c>
      <c r="Z152" s="20">
        <f>Tabela1[[#This Row],[PESO TOTAL]]-Tabela1[[#This Row],[Peso Expedido]]</f>
        <v>54.8</v>
      </c>
      <c r="AA152" s="17"/>
      <c r="AB152" s="33"/>
      <c r="AC152" s="33"/>
      <c r="AD152" s="33"/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3732</v>
      </c>
      <c r="B153" s="21" t="s">
        <v>3733</v>
      </c>
      <c r="C153" s="7">
        <v>1</v>
      </c>
      <c r="D153" s="39" t="s">
        <v>3735</v>
      </c>
      <c r="E153" s="7">
        <v>3850</v>
      </c>
      <c r="F153" s="7">
        <v>31</v>
      </c>
      <c r="G153" s="23">
        <v>255</v>
      </c>
      <c r="H153" s="34">
        <f>Tabela1[[#This Row],[PESO UNI]]*Tabela1[[#This Row],[QTE]]</f>
        <v>255</v>
      </c>
      <c r="I153" s="7">
        <v>0</v>
      </c>
      <c r="J153" s="8" t="s">
        <v>3045</v>
      </c>
      <c r="K153" s="8" t="s">
        <v>31</v>
      </c>
      <c r="L153" s="9" t="s">
        <v>2984</v>
      </c>
      <c r="M153" s="10">
        <v>46210</v>
      </c>
      <c r="N153" s="8" t="s">
        <v>38</v>
      </c>
      <c r="O153" s="12"/>
      <c r="P153" s="13"/>
      <c r="Q153" s="14">
        <f>Tabela1[[#This Row],[QTDE/ Fabricação]]-Tabela1[[#This Row],[QTE]]</f>
        <v>-1</v>
      </c>
      <c r="R153" s="18">
        <f t="shared" si="31"/>
        <v>144.71250000000001</v>
      </c>
      <c r="S153" s="18">
        <f t="shared" si="29"/>
        <v>0</v>
      </c>
      <c r="T153" s="19">
        <f t="shared" si="32"/>
        <v>-255</v>
      </c>
      <c r="U153" s="16">
        <f>IFERROR(SUMIF('LISTA DE EMBARQUE'!B:B,MICRO!E:E,'LISTA DE EMBARQUE'!G:G),"")</f>
        <v>0</v>
      </c>
      <c r="V153" s="12" t="str">
        <f>IFERROR(VLOOKUP(Tabela1[[#This Row],[COD.MDE]],'LISTA DE EMBARQUE'!B:L,11,0),"")</f>
        <v/>
      </c>
      <c r="W153" s="13" t="str">
        <f>IFERROR(COUNTIF(#REF!,Tabela1[[#This Row],[Colunas5]]),"")</f>
        <v/>
      </c>
      <c r="X153" s="14">
        <f>Tabela1[[#This Row],[QIANTIDADE EXPEDIDA]]*Tabela1[[#This Row],[PESO UNI]]</f>
        <v>0</v>
      </c>
      <c r="Y153" s="14">
        <f t="shared" si="28"/>
        <v>-1</v>
      </c>
      <c r="Z153" s="20">
        <f>Tabela1[[#This Row],[PESO TOTAL]]-Tabela1[[#This Row],[Peso Expedido]]</f>
        <v>255</v>
      </c>
      <c r="AA153" s="17">
        <v>1</v>
      </c>
      <c r="AB153" s="33"/>
      <c r="AC153" s="33">
        <v>1</v>
      </c>
      <c r="AD153" s="33">
        <v>0.3</v>
      </c>
      <c r="AE153" s="33"/>
      <c r="AF153" s="33"/>
      <c r="AG153" s="33"/>
      <c r="AH153" s="33"/>
      <c r="AI153" s="33" t="str">
        <f t="shared" si="23"/>
        <v/>
      </c>
      <c r="AJ153" s="5"/>
      <c r="AK153" t="str">
        <f>Tabela1[[#This Row],[Coluna1]]&amp;Tabela1[[#This Row],[PEDIDO]]</f>
        <v>P-198</v>
      </c>
      <c r="AL153"/>
      <c r="AM153"/>
      <c r="AN153"/>
      <c r="AO153" t="str">
        <f t="shared" si="30"/>
        <v>T-073240-1/14-CV-0001</v>
      </c>
      <c r="AP153" t="str">
        <f>Tabela1[[#This Row],[TAG]]&amp;Tabela1[[#This Row],[PEDIDO]]&amp;Tabela1[[#This Row],[PRODUTO]]</f>
        <v>14-CV-0001P-198ESTRUTURA</v>
      </c>
      <c r="AQ153" s="22" t="str">
        <f>Tabela1[[#This Row],[PRODUTO]]&amp;Tabela1[[#This Row],[TAG]]</f>
        <v>ESTRUTURA14-CV-0001</v>
      </c>
      <c r="AR153" s="24" t="str">
        <f>Tabela1[[#This Row],[PEDIDO]]&amp;Tabela1[[#This Row],[PRODUTO]]</f>
        <v>P-198ESTRUTURA</v>
      </c>
      <c r="AS153" s="37">
        <f>IF(AF153="",0,IF(ISTEXT(AF153),H153*VALUE(SUBSTITUTE(AF153,"%",""))/100,H153*AF153))-Tabela1[[#This Row],[PRONTO ACABADO2]]</f>
        <v>0</v>
      </c>
      <c r="AT153" s="37">
        <f>IF(AG153="",0,IF(ISTEXT(AG153),H153*VALUE(SUBSTITUTE(AG153,"%",""))/100,H153*AG153))-Tabela1[[#This Row],[PESO EXPEDIDO2]]</f>
        <v>0</v>
      </c>
      <c r="AU153" s="37">
        <f t="shared" si="24"/>
        <v>0</v>
      </c>
      <c r="AV153" s="37">
        <f t="shared" si="25"/>
        <v>0</v>
      </c>
      <c r="AW153" s="37"/>
    </row>
    <row r="154" spans="1:49" ht="15.75" hidden="1" customHeight="1" x14ac:dyDescent="0.25">
      <c r="A154" s="6" t="s">
        <v>3758</v>
      </c>
      <c r="B154" s="21" t="s">
        <v>3759</v>
      </c>
      <c r="C154" s="7">
        <v>1</v>
      </c>
      <c r="D154" s="39" t="s">
        <v>3760</v>
      </c>
      <c r="E154" s="7">
        <v>4039</v>
      </c>
      <c r="F154" s="7" t="s">
        <v>3761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2274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ref="R154:R217" si="33">IFERROR(H154*((AA154*0.25)+(AC154*0.25)+(AD154*0.225)+(AE154*0.225)+(AF154*0.05)),"")</f>
        <v>1360</v>
      </c>
      <c r="S154" s="18">
        <f t="shared" ref="S154:S181" si="34">IFERROR(H154*AG154,"")</f>
        <v>1360</v>
      </c>
      <c r="T154" s="19">
        <f t="shared" ref="T154:T217" si="35">IFERROR(S154-H154,"")</f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ref="Y154:Y180" si="36">U154-C154</f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33" t="s">
        <v>4413</v>
      </c>
      <c r="AK154" s="33" t="s">
        <v>4413</v>
      </c>
      <c r="AL154" s="33" t="s">
        <v>4413</v>
      </c>
      <c r="AM154" s="33" t="s">
        <v>4413</v>
      </c>
      <c r="AN154" s="33" t="s">
        <v>4413</v>
      </c>
      <c r="AO154" s="33" t="s">
        <v>4413</v>
      </c>
      <c r="AP154" s="33" t="s">
        <v>4413</v>
      </c>
      <c r="AQ154" s="33" t="s">
        <v>4413</v>
      </c>
      <c r="AR154" s="33" t="s">
        <v>4413</v>
      </c>
      <c r="AS154" s="33" t="s">
        <v>4413</v>
      </c>
      <c r="AT154" s="33" t="s">
        <v>4413</v>
      </c>
      <c r="AU154" s="33" t="s">
        <v>4413</v>
      </c>
      <c r="AV154" s="33" t="s">
        <v>4413</v>
      </c>
      <c r="AW154" s="33" t="s">
        <v>4413</v>
      </c>
    </row>
    <row r="155" spans="1:49" ht="15.75" hidden="1" customHeight="1" x14ac:dyDescent="0.25">
      <c r="A155" s="6" t="s">
        <v>3758</v>
      </c>
      <c r="B155" s="21" t="s">
        <v>3759</v>
      </c>
      <c r="C155" s="7">
        <v>1</v>
      </c>
      <c r="D155" s="39" t="s">
        <v>3760</v>
      </c>
      <c r="E155" s="7">
        <v>4040</v>
      </c>
      <c r="F155" s="7" t="s">
        <v>3761</v>
      </c>
      <c r="G155" s="23">
        <v>1360</v>
      </c>
      <c r="H155" s="34">
        <f>Tabela1[[#This Row],[PESO UNI]]*Tabela1[[#This Row],[QTE]]</f>
        <v>1360</v>
      </c>
      <c r="I155" s="7">
        <v>2</v>
      </c>
      <c r="J155" s="8" t="s">
        <v>2276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1360</v>
      </c>
      <c r="S155" s="18">
        <f t="shared" si="34"/>
        <v>1360</v>
      </c>
      <c r="T155" s="19">
        <f t="shared" si="35"/>
        <v>0</v>
      </c>
      <c r="U155" s="206">
        <v>1</v>
      </c>
      <c r="V155" s="12">
        <f>IFERROR(VLOOKUP(Tabela1[[#This Row],[COD.MDE]],'LISTA DE EMBARQUE'!B:L,11,0),"")</f>
        <v>2</v>
      </c>
      <c r="W155" s="13"/>
      <c r="X155" s="14">
        <f>IFERROR(Tabela1[[#This Row],[QIANTIDADE EXPEDIDA]]*Tabela1[[#This Row],[PESO UNI]],"")</f>
        <v>1360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si="23"/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T-072951-1/1073-TC-007</v>
      </c>
      <c r="AP155" t="str">
        <f>Tabela1[[#This Row],[TAG]]&amp;Tabela1[[#This Row],[PEDIDO]]&amp;Tabela1[[#This Row],[PRODUTO]]</f>
        <v>1073-TC-007P-188RMF</v>
      </c>
      <c r="AQ155" s="22" t="str">
        <f>Tabela1[[#This Row],[PRODUTO]]&amp;Tabela1[[#This Row],[TAG]]</f>
        <v>RMF1073-TC-007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1360</v>
      </c>
      <c r="AV155" s="37">
        <f t="shared" si="25"/>
        <v>1360</v>
      </c>
      <c r="AW155" s="37"/>
    </row>
    <row r="156" spans="1:49" ht="15.75" hidden="1" customHeight="1" x14ac:dyDescent="0.25">
      <c r="A156" s="6" t="s">
        <v>3762</v>
      </c>
      <c r="B156" s="21" t="s">
        <v>3763</v>
      </c>
      <c r="C156" s="7">
        <v>1</v>
      </c>
      <c r="D156" s="39" t="s">
        <v>3760</v>
      </c>
      <c r="E156" s="7">
        <v>4041</v>
      </c>
      <c r="F156" s="7" t="s">
        <v>3761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2274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ref="AI156:AI219" si="37">IF(Z156&lt;=0,"ok","")</f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T-072952-1/1073-TC-006</v>
      </c>
      <c r="AP156" t="str">
        <f>Tabela1[[#This Row],[TAG]]&amp;Tabela1[[#This Row],[PEDIDO]]&amp;Tabela1[[#This Row],[PRODUTO]]</f>
        <v>1073-TC-006P-188RMF</v>
      </c>
      <c r="AQ156" s="22" t="str">
        <f>Tabela1[[#This Row],[PRODUTO]]&amp;Tabela1[[#This Row],[TAG]]</f>
        <v>RMF1073-TC-006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3762</v>
      </c>
      <c r="B157" s="21" t="s">
        <v>3763</v>
      </c>
      <c r="C157" s="7">
        <v>1</v>
      </c>
      <c r="D157" s="39" t="s">
        <v>3760</v>
      </c>
      <c r="E157" s="7">
        <v>4042</v>
      </c>
      <c r="F157" s="7" t="s">
        <v>3761</v>
      </c>
      <c r="G157" s="23">
        <v>1335.1</v>
      </c>
      <c r="H157" s="34">
        <f>Tabela1[[#This Row],[PESO UNI]]*Tabela1[[#This Row],[QTE]]</f>
        <v>1335.1</v>
      </c>
      <c r="I157" s="7">
        <v>2</v>
      </c>
      <c r="J157" s="8" t="s">
        <v>2276</v>
      </c>
      <c r="K157" s="8" t="s">
        <v>327</v>
      </c>
      <c r="L157" s="9" t="s">
        <v>2069</v>
      </c>
      <c r="M157" s="10">
        <v>46146</v>
      </c>
      <c r="N157" s="8" t="s">
        <v>327</v>
      </c>
      <c r="O157" s="12"/>
      <c r="P157" s="13"/>
      <c r="Q157" s="14">
        <f>Tabela1[[#This Row],[QTDE/ Fabricação]]-Tabela1[[#This Row],[QTE]]</f>
        <v>-1</v>
      </c>
      <c r="R157" s="18">
        <f t="shared" si="33"/>
        <v>1335.1</v>
      </c>
      <c r="S157" s="18">
        <f t="shared" si="34"/>
        <v>1335.1</v>
      </c>
      <c r="T157" s="19">
        <f t="shared" si="35"/>
        <v>0</v>
      </c>
      <c r="U157" s="206">
        <v>1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1335.1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T-072952-1/1073-TC-007</v>
      </c>
      <c r="AP157" t="str">
        <f>Tabela1[[#This Row],[TAG]]&amp;Tabela1[[#This Row],[PEDIDO]]&amp;Tabela1[[#This Row],[PRODUTO]]</f>
        <v>1073-TC-007P-188RMF</v>
      </c>
      <c r="AQ157" s="22" t="str">
        <f>Tabela1[[#This Row],[PRODUTO]]&amp;Tabela1[[#This Row],[TAG]]</f>
        <v>RMF1073-TC-007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1335.1</v>
      </c>
      <c r="AV157" s="37">
        <f t="shared" si="25"/>
        <v>1335.1</v>
      </c>
      <c r="AW157" s="37"/>
    </row>
    <row r="158" spans="1:49" ht="15.75" hidden="1" customHeight="1" x14ac:dyDescent="0.25">
      <c r="A158" s="6" t="s">
        <v>3764</v>
      </c>
      <c r="B158" s="21" t="s">
        <v>3765</v>
      </c>
      <c r="C158" s="7">
        <v>2</v>
      </c>
      <c r="D158" s="39" t="s">
        <v>3766</v>
      </c>
      <c r="E158" s="7">
        <v>4043</v>
      </c>
      <c r="F158" s="7" t="s">
        <v>3767</v>
      </c>
      <c r="G158" s="23">
        <v>12.6</v>
      </c>
      <c r="H158" s="34">
        <f>Tabela1[[#This Row],[PESO UNI]]*Tabela1[[#This Row],[QTE]]</f>
        <v>25.2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-2</v>
      </c>
      <c r="R158" s="18">
        <f t="shared" si="33"/>
        <v>25.2</v>
      </c>
      <c r="S158" s="18">
        <f t="shared" si="34"/>
        <v>25.2</v>
      </c>
      <c r="T158" s="19">
        <f t="shared" si="35"/>
        <v>0</v>
      </c>
      <c r="U158" s="206">
        <v>2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25.2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25.2</v>
      </c>
      <c r="AV158" s="37">
        <f t="shared" si="25"/>
        <v>25.2</v>
      </c>
      <c r="AW158" s="37"/>
    </row>
    <row r="159" spans="1:49" ht="15.75" hidden="1" customHeight="1" x14ac:dyDescent="0.25">
      <c r="A159" s="6" t="s">
        <v>3764</v>
      </c>
      <c r="B159" s="21" t="s">
        <v>3768</v>
      </c>
      <c r="C159" s="7">
        <v>4</v>
      </c>
      <c r="D159" s="39" t="s">
        <v>3766</v>
      </c>
      <c r="E159" s="7">
        <v>4044</v>
      </c>
      <c r="F159" s="7" t="s">
        <v>3767</v>
      </c>
      <c r="G159" s="23">
        <v>12.6</v>
      </c>
      <c r="H159" s="34">
        <f>Tabela1[[#This Row],[PESO UNI]]*Tabela1[[#This Row],[QTE]]</f>
        <v>50.4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50.4</v>
      </c>
      <c r="S159" s="18">
        <f t="shared" si="34"/>
        <v>50.4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50.4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50.4</v>
      </c>
      <c r="AV159" s="37">
        <f t="shared" si="25"/>
        <v>50.4</v>
      </c>
      <c r="AW159" s="37"/>
    </row>
    <row r="160" spans="1:49" ht="15.75" hidden="1" customHeight="1" x14ac:dyDescent="0.25">
      <c r="A160" s="6" t="s">
        <v>3764</v>
      </c>
      <c r="B160" s="21" t="s">
        <v>3769</v>
      </c>
      <c r="C160" s="7">
        <v>4</v>
      </c>
      <c r="D160" s="39" t="s">
        <v>3770</v>
      </c>
      <c r="E160" s="7">
        <v>4045</v>
      </c>
      <c r="F160" s="7" t="s">
        <v>3767</v>
      </c>
      <c r="G160" s="23">
        <v>57.1</v>
      </c>
      <c r="H160" s="34">
        <f>Tabela1[[#This Row],[PESO UNI]]*Tabela1[[#This Row],[QTE]]</f>
        <v>228.4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-4</v>
      </c>
      <c r="R160" s="18">
        <f t="shared" si="33"/>
        <v>228.4</v>
      </c>
      <c r="S160" s="18">
        <f t="shared" si="34"/>
        <v>228.4</v>
      </c>
      <c r="T160" s="19">
        <f t="shared" si="35"/>
        <v>0</v>
      </c>
      <c r="U160" s="206">
        <v>4</v>
      </c>
      <c r="V160" s="12" t="str">
        <f>IFERROR(VLOOKUP(Tabela1[[#This Row],[COD.MDE]],'LISTA DE EMBARQUE'!B:L,11,0),"")</f>
        <v/>
      </c>
      <c r="W160" s="13"/>
      <c r="X160" s="14">
        <f>IFERROR(Tabela1[[#This Row],[QIANTIDADE EXPEDIDA]]*Tabela1[[#This Row],[PESO UNI]],"")</f>
        <v>228.4</v>
      </c>
      <c r="Y160" s="14">
        <f t="shared" si="36"/>
        <v>0</v>
      </c>
      <c r="Z160" s="20">
        <f>Tabela1[[#This Row],[PESO TOTAL]]-Tabela1[[#This Row],[Peso Expedido]]</f>
        <v>0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tr">
        <f t="shared" si="37"/>
        <v>ok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228.4</v>
      </c>
      <c r="AV160" s="37">
        <f t="shared" si="25"/>
        <v>228.4</v>
      </c>
      <c r="AW160" s="37"/>
    </row>
    <row r="161" spans="1:49" ht="15.75" hidden="1" customHeight="1" x14ac:dyDescent="0.25">
      <c r="A161" s="6" t="s">
        <v>3764</v>
      </c>
      <c r="B161" s="21" t="s">
        <v>3771</v>
      </c>
      <c r="C161" s="7">
        <v>24</v>
      </c>
      <c r="D161" s="39" t="s">
        <v>3770</v>
      </c>
      <c r="E161" s="7">
        <v>4046</v>
      </c>
      <c r="F161" s="7" t="s">
        <v>3767</v>
      </c>
      <c r="G161" s="23">
        <v>0.8</v>
      </c>
      <c r="H161" s="34">
        <f>Tabela1[[#This Row],[PESO UNI]]*Tabela1[[#This Row],[QTE]]</f>
        <v>19.200000000000003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-24</v>
      </c>
      <c r="R161" s="18">
        <f t="shared" si="33"/>
        <v>19.200000000000003</v>
      </c>
      <c r="S161" s="18">
        <f t="shared" si="34"/>
        <v>19.200000000000003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-24</v>
      </c>
      <c r="Z161" s="20">
        <f>Tabela1[[#This Row],[PESO TOTAL]]-Tabela1[[#This Row],[Peso Expedido]]</f>
        <v>19.200000000000003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/>
      <c r="AI161" s="33" t="str">
        <f t="shared" si="37"/>
        <v/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19.200000000000003</v>
      </c>
      <c r="AU161" s="37">
        <f t="shared" si="24"/>
        <v>0</v>
      </c>
      <c r="AV161" s="37">
        <f t="shared" si="25"/>
        <v>19.200000000000003</v>
      </c>
      <c r="AW161" s="37"/>
    </row>
    <row r="162" spans="1:49" ht="15.75" hidden="1" customHeight="1" x14ac:dyDescent="0.25">
      <c r="A162" s="6" t="s">
        <v>3764</v>
      </c>
      <c r="B162" s="21" t="s">
        <v>3772</v>
      </c>
      <c r="C162" s="7">
        <v>1</v>
      </c>
      <c r="D162" s="39" t="s">
        <v>3770</v>
      </c>
      <c r="E162" s="7">
        <v>4047</v>
      </c>
      <c r="F162" s="7" t="s">
        <v>3767</v>
      </c>
      <c r="G162" s="23">
        <v>128.80000000000001</v>
      </c>
      <c r="H162" s="34">
        <f>Tabela1[[#This Row],[PESO UNI]]*Tabela1[[#This Row],[QTE]]</f>
        <v>128.80000000000001</v>
      </c>
      <c r="I162" s="7">
        <v>1</v>
      </c>
      <c r="J162" s="8" t="s">
        <v>2274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-1</v>
      </c>
      <c r="R162" s="18">
        <f t="shared" si="33"/>
        <v>128.80000000000001</v>
      </c>
      <c r="S162" s="18">
        <f t="shared" si="34"/>
        <v>128.80000000000001</v>
      </c>
      <c r="T162" s="19">
        <f t="shared" si="35"/>
        <v>0</v>
      </c>
      <c r="U162" s="16">
        <f>IFERROR(SUMIF('LISTA DE EMBARQUE'!B:B,MICRO!E:E,'LISTA DE EMBARQUE'!G:G),"")</f>
        <v>0</v>
      </c>
      <c r="V162" s="12" t="str">
        <f>IFERROR(VLOOKUP(Tabela1[[#This Row],[COD.MDE]],'LISTA DE EMBARQUE'!B:L,11,0),"")</f>
        <v/>
      </c>
      <c r="W162" s="13" t="str">
        <f>IFERROR(VLOOKUP(Tabela1[[#This Row],[COD.MDE]],'LISTA DE EMBARQUE'!B:M,12,0),"")</f>
        <v/>
      </c>
      <c r="X162" s="14">
        <f>IFERROR(Tabela1[[#This Row],[QIANTIDADE EXPEDIDA]]*Tabela1[[#This Row],[PESO UNI]],"")</f>
        <v>0</v>
      </c>
      <c r="Y162" s="14">
        <f t="shared" si="36"/>
        <v>-1</v>
      </c>
      <c r="Z162" s="20">
        <f>Tabela1[[#This Row],[PESO TOTAL]]-Tabela1[[#This Row],[Peso Expedido]]</f>
        <v>128.80000000000001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/>
      <c r="AI162" s="33" t="str">
        <f t="shared" si="37"/>
        <v/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T-072974-1/1073-TC-006</v>
      </c>
      <c r="AP162" t="str">
        <f>Tabela1[[#This Row],[TAG]]&amp;Tabela1[[#This Row],[PEDIDO]]&amp;Tabela1[[#This Row],[PRODUTO]]</f>
        <v>1073-TC-006P-188RMF</v>
      </c>
      <c r="AQ162" s="22" t="str">
        <f>Tabela1[[#This Row],[PRODUTO]]&amp;Tabela1[[#This Row],[TAG]]</f>
        <v>RMF1073-TC-006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128.80000000000001</v>
      </c>
      <c r="AU162" s="37">
        <f t="shared" si="24"/>
        <v>0</v>
      </c>
      <c r="AV162" s="37">
        <f t="shared" si="25"/>
        <v>128.80000000000001</v>
      </c>
      <c r="AW162" s="37"/>
    </row>
    <row r="163" spans="1:49" ht="15.75" hidden="1" customHeight="1" x14ac:dyDescent="0.25">
      <c r="A163" s="6" t="s">
        <v>3764</v>
      </c>
      <c r="B163" s="21" t="s">
        <v>3765</v>
      </c>
      <c r="C163" s="7">
        <v>2</v>
      </c>
      <c r="D163" s="39" t="s">
        <v>3766</v>
      </c>
      <c r="E163" s="7">
        <v>4048</v>
      </c>
      <c r="F163" s="7" t="s">
        <v>3767</v>
      </c>
      <c r="G163" s="23">
        <v>12.6</v>
      </c>
      <c r="H163" s="34">
        <f>Tabela1[[#This Row],[PESO UNI]]*Tabela1[[#This Row],[QTE]]</f>
        <v>25.2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-2</v>
      </c>
      <c r="R163" s="18">
        <f t="shared" si="33"/>
        <v>25.2</v>
      </c>
      <c r="S163" s="18">
        <f t="shared" si="34"/>
        <v>25.2</v>
      </c>
      <c r="T163" s="19">
        <f t="shared" si="35"/>
        <v>0</v>
      </c>
      <c r="U163" s="206">
        <v>2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25.2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 t="shared" si="37"/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25.2</v>
      </c>
      <c r="AV163" s="37">
        <f t="shared" si="25"/>
        <v>25.2</v>
      </c>
      <c r="AW163" s="37"/>
    </row>
    <row r="164" spans="1:49" ht="15.75" hidden="1" customHeight="1" x14ac:dyDescent="0.25">
      <c r="A164" s="6" t="s">
        <v>3764</v>
      </c>
      <c r="B164" s="21" t="s">
        <v>3768</v>
      </c>
      <c r="C164" s="7">
        <v>4</v>
      </c>
      <c r="D164" s="39" t="s">
        <v>3766</v>
      </c>
      <c r="E164" s="7">
        <v>4049</v>
      </c>
      <c r="F164" s="7" t="s">
        <v>3767</v>
      </c>
      <c r="G164" s="23">
        <v>12.6</v>
      </c>
      <c r="H164" s="34">
        <f>Tabela1[[#This Row],[PESO UNI]]*Tabela1[[#This Row],[QTE]]</f>
        <v>50.4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50.4</v>
      </c>
      <c r="S164" s="18">
        <f t="shared" si="34"/>
        <v>50.4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50.4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 t="shared" si="37"/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si="24"/>
        <v>50.4</v>
      </c>
      <c r="AV164" s="37">
        <f t="shared" si="25"/>
        <v>50.4</v>
      </c>
      <c r="AW164" s="37"/>
    </row>
    <row r="165" spans="1:49" ht="15.75" hidden="1" customHeight="1" x14ac:dyDescent="0.25">
      <c r="A165" s="6" t="s">
        <v>3764</v>
      </c>
      <c r="B165" s="21" t="s">
        <v>3769</v>
      </c>
      <c r="C165" s="7">
        <v>4</v>
      </c>
      <c r="D165" s="39" t="s">
        <v>3770</v>
      </c>
      <c r="E165" s="7">
        <v>4050</v>
      </c>
      <c r="F165" s="7" t="s">
        <v>3767</v>
      </c>
      <c r="G165" s="23">
        <v>57.1</v>
      </c>
      <c r="H165" s="34">
        <f>Tabela1[[#This Row],[PESO UNI]]*Tabela1[[#This Row],[QTE]]</f>
        <v>228.4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-4</v>
      </c>
      <c r="R165" s="18">
        <f t="shared" si="33"/>
        <v>228.4</v>
      </c>
      <c r="S165" s="18">
        <f t="shared" si="34"/>
        <v>228.4</v>
      </c>
      <c r="T165" s="19">
        <f t="shared" si="35"/>
        <v>0</v>
      </c>
      <c r="U165" s="206">
        <v>4</v>
      </c>
      <c r="V165" s="12" t="str">
        <f>IFERROR(VLOOKUP(Tabela1[[#This Row],[COD.MDE]],'LISTA DE EMBARQUE'!B:L,11,0),"")</f>
        <v/>
      </c>
      <c r="W165" s="13"/>
      <c r="X165" s="14">
        <f>IFERROR(Tabela1[[#This Row],[QIANTIDADE EXPEDIDA]]*Tabela1[[#This Row],[PESO UNI]],"")</f>
        <v>228.4</v>
      </c>
      <c r="Y165" s="14">
        <f t="shared" si="36"/>
        <v>0</v>
      </c>
      <c r="Z165" s="20">
        <f>Tabela1[[#This Row],[PESO TOTAL]]-Tabela1[[#This Row],[Peso Expedido]]</f>
        <v>0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tr">
        <f t="shared" si="37"/>
        <v>ok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ref="AU165:AU228" si="38">IF(AH165="",0,IF(ISTEXT(AH165),H165*VALUE(SUBSTITUTE(AH165,"%",""))/100,H165*AH165))</f>
        <v>228.4</v>
      </c>
      <c r="AV165" s="37">
        <f t="shared" ref="AV165:AV228" si="39">IF(AG165="",0,IF(ISTEXT(AG165),H165*VALUE(SUBSTITUTE(AG165,"%",""))/100,H165*AG165))</f>
        <v>228.4</v>
      </c>
      <c r="AW165" s="37"/>
    </row>
    <row r="166" spans="1:49" ht="15.75" hidden="1" customHeight="1" x14ac:dyDescent="0.25">
      <c r="A166" s="6" t="s">
        <v>3764</v>
      </c>
      <c r="B166" s="21" t="s">
        <v>3772</v>
      </c>
      <c r="C166" s="7">
        <v>1</v>
      </c>
      <c r="D166" s="39" t="s">
        <v>3770</v>
      </c>
      <c r="E166" s="7">
        <v>4051</v>
      </c>
      <c r="F166" s="7" t="s">
        <v>3767</v>
      </c>
      <c r="G166" s="23">
        <v>128.80000000000001</v>
      </c>
      <c r="H166" s="34">
        <f>Tabela1[[#This Row],[PESO UNI]]*Tabela1[[#This Row],[QTE]]</f>
        <v>128.80000000000001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-1</v>
      </c>
      <c r="R166" s="18">
        <f t="shared" si="33"/>
        <v>128.80000000000001</v>
      </c>
      <c r="S166" s="18">
        <f t="shared" si="34"/>
        <v>128.80000000000001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-1</v>
      </c>
      <c r="Z166" s="20">
        <f>Tabela1[[#This Row],[PESO TOTAL]]-Tabela1[[#This Row],[Peso Expedido]]</f>
        <v>128.80000000000001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/>
      <c r="AI166" s="33" t="str">
        <f t="shared" si="37"/>
        <v/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128.80000000000001</v>
      </c>
      <c r="AU166" s="37">
        <f t="shared" si="38"/>
        <v>0</v>
      </c>
      <c r="AV166" s="37">
        <f t="shared" si="39"/>
        <v>128.80000000000001</v>
      </c>
      <c r="AW166" s="37"/>
    </row>
    <row r="167" spans="1:49" ht="15.75" hidden="1" customHeight="1" x14ac:dyDescent="0.25">
      <c r="A167" s="6" t="s">
        <v>3764</v>
      </c>
      <c r="B167" s="21" t="s">
        <v>3771</v>
      </c>
      <c r="C167" s="7">
        <v>24</v>
      </c>
      <c r="D167" s="39" t="s">
        <v>3770</v>
      </c>
      <c r="E167" s="7">
        <v>4052</v>
      </c>
      <c r="F167" s="7" t="s">
        <v>3767</v>
      </c>
      <c r="G167" s="23">
        <v>0.8</v>
      </c>
      <c r="H167" s="34">
        <f>Tabela1[[#This Row],[PESO UNI]]*Tabela1[[#This Row],[QTE]]</f>
        <v>19.200000000000003</v>
      </c>
      <c r="I167" s="7">
        <v>1</v>
      </c>
      <c r="J167" s="8" t="s">
        <v>2276</v>
      </c>
      <c r="K167" s="8" t="s">
        <v>327</v>
      </c>
      <c r="L167" s="9" t="s">
        <v>2069</v>
      </c>
      <c r="M167" s="10">
        <v>46119</v>
      </c>
      <c r="N167" s="8" t="s">
        <v>327</v>
      </c>
      <c r="O167" s="12"/>
      <c r="P167" s="13"/>
      <c r="Q167" s="14">
        <f>Tabela1[[#This Row],[QTDE/ Fabricação]]-Tabela1[[#This Row],[QTE]]</f>
        <v>-24</v>
      </c>
      <c r="R167" s="18">
        <f t="shared" si="33"/>
        <v>19.200000000000003</v>
      </c>
      <c r="S167" s="18">
        <f t="shared" si="34"/>
        <v>19.200000000000003</v>
      </c>
      <c r="T167" s="19">
        <f t="shared" si="35"/>
        <v>0</v>
      </c>
      <c r="U167" s="16">
        <f>IFERROR(SUMIF('LISTA DE EMBARQUE'!B:B,MICRO!E:E,'LISTA DE EMBARQUE'!G:G),"")</f>
        <v>0</v>
      </c>
      <c r="V167" s="12" t="str">
        <f>IFERROR(VLOOKUP(Tabela1[[#This Row],[COD.MDE]],'LISTA DE EMBARQUE'!B:L,11,0),"")</f>
        <v/>
      </c>
      <c r="W167" s="13" t="str">
        <f>IFERROR(VLOOKUP(Tabela1[[#This Row],[COD.MDE]],'LISTA DE EMBARQUE'!B:M,12,0),"")</f>
        <v/>
      </c>
      <c r="X167" s="14">
        <f>IFERROR(Tabela1[[#This Row],[QIANTIDADE EXPEDIDA]]*Tabela1[[#This Row],[PESO UNI]],"")</f>
        <v>0</v>
      </c>
      <c r="Y167" s="14">
        <f t="shared" si="36"/>
        <v>-24</v>
      </c>
      <c r="Z167" s="20">
        <f>Tabela1[[#This Row],[PESO TOTAL]]-Tabela1[[#This Row],[Peso Expedido]]</f>
        <v>19.200000000000003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/>
      <c r="AI167" s="33" t="str">
        <f t="shared" si="37"/>
        <v/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T-072974-1/1073-TC-007</v>
      </c>
      <c r="AP167" t="str">
        <f>Tabela1[[#This Row],[TAG]]&amp;Tabela1[[#This Row],[PEDIDO]]&amp;Tabela1[[#This Row],[PRODUTO]]</f>
        <v>1073-TC-007P-188RMF</v>
      </c>
      <c r="AQ167" s="22" t="str">
        <f>Tabela1[[#This Row],[PRODUTO]]&amp;Tabela1[[#This Row],[TAG]]</f>
        <v>RMF1073-TC-007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19.200000000000003</v>
      </c>
      <c r="AU167" s="37">
        <f t="shared" si="38"/>
        <v>0</v>
      </c>
      <c r="AV167" s="37">
        <f t="shared" si="39"/>
        <v>19.200000000000003</v>
      </c>
      <c r="AW167" s="37"/>
    </row>
    <row r="168" spans="1:49" ht="15.75" hidden="1" customHeight="1" x14ac:dyDescent="0.25">
      <c r="A168" s="6" t="s">
        <v>3773</v>
      </c>
      <c r="B168" s="21" t="s">
        <v>3774</v>
      </c>
      <c r="C168" s="7">
        <v>1</v>
      </c>
      <c r="D168" s="39" t="s">
        <v>3760</v>
      </c>
      <c r="E168" s="7">
        <v>4053</v>
      </c>
      <c r="F168" s="7" t="s">
        <v>3775</v>
      </c>
      <c r="G168" s="23">
        <v>1137.2</v>
      </c>
      <c r="H168" s="34">
        <f>Tabela1[[#This Row],[PESO UNI]]*Tabela1[[#This Row],[QTE]]</f>
        <v>1137.2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1137.2</v>
      </c>
      <c r="S168" s="18">
        <f t="shared" si="34"/>
        <v>1137.2</v>
      </c>
      <c r="T168" s="19">
        <f t="shared" si="35"/>
        <v>0</v>
      </c>
      <c r="U168" s="206">
        <v>1</v>
      </c>
      <c r="V168" s="12">
        <f>IFERROR(VLOOKUP(Tabela1[[#This Row],[COD.MDE]],'LISTA DE EMBARQUE'!B:L,11,0),"")</f>
        <v>2</v>
      </c>
      <c r="W168" s="13"/>
      <c r="X168" s="14">
        <f>IFERROR(Tabela1[[#This Row],[QIANTIDADE EXPEDIDA]]*Tabela1[[#This Row],[PESO UNI]],"")</f>
        <v>1137.2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1137.2</v>
      </c>
      <c r="AV168" s="37">
        <f t="shared" si="39"/>
        <v>1137.2</v>
      </c>
      <c r="AW168" s="37"/>
    </row>
    <row r="169" spans="1:49" ht="15.75" hidden="1" customHeight="1" x14ac:dyDescent="0.25">
      <c r="A169" s="6" t="s">
        <v>3773</v>
      </c>
      <c r="B169" s="21" t="s">
        <v>3776</v>
      </c>
      <c r="C169" s="7">
        <v>1</v>
      </c>
      <c r="D169" s="39" t="s">
        <v>3777</v>
      </c>
      <c r="E169" s="7">
        <v>4054</v>
      </c>
      <c r="F169" s="7" t="s">
        <v>3775</v>
      </c>
      <c r="G169" s="23">
        <v>142.19999999999999</v>
      </c>
      <c r="H169" s="34">
        <f>Tabela1[[#This Row],[PESO UNI]]*Tabela1[[#This Row],[QTE]]</f>
        <v>142.19999999999999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142.19999999999999</v>
      </c>
      <c r="S169" s="18">
        <f t="shared" si="34"/>
        <v>142.19999999999999</v>
      </c>
      <c r="T169" s="19">
        <f t="shared" si="35"/>
        <v>0</v>
      </c>
      <c r="U169" s="206">
        <v>1</v>
      </c>
      <c r="V169" s="12" t="str">
        <f>IFERROR(VLOOKUP(Tabela1[[#This Row],[COD.MDE]],'LISTA DE EMBARQUE'!B:L,11,0),"")</f>
        <v/>
      </c>
      <c r="W169" s="13"/>
      <c r="X169" s="14">
        <f>IFERROR(Tabela1[[#This Row],[QIANTIDADE EXPEDIDA]]*Tabela1[[#This Row],[PESO UNI]],"")</f>
        <v>142.19999999999999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142.19999999999999</v>
      </c>
      <c r="AV169" s="37">
        <f t="shared" si="39"/>
        <v>142.19999999999999</v>
      </c>
      <c r="AW169" s="37"/>
    </row>
    <row r="170" spans="1:49" ht="15.75" hidden="1" customHeight="1" x14ac:dyDescent="0.25">
      <c r="A170" s="6" t="s">
        <v>3773</v>
      </c>
      <c r="B170" s="21" t="s">
        <v>3778</v>
      </c>
      <c r="C170" s="7">
        <v>1</v>
      </c>
      <c r="D170" s="39" t="s">
        <v>3777</v>
      </c>
      <c r="E170" s="7">
        <v>4055</v>
      </c>
      <c r="F170" s="7" t="s">
        <v>3775</v>
      </c>
      <c r="G170" s="23">
        <v>295.39999999999998</v>
      </c>
      <c r="H170" s="34">
        <f>Tabela1[[#This Row],[PESO UNI]]*Tabela1[[#This Row],[QTE]]</f>
        <v>295.39999999999998</v>
      </c>
      <c r="I170" s="7">
        <v>5</v>
      </c>
      <c r="J170" s="8" t="s">
        <v>2274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295.39999999999998</v>
      </c>
      <c r="S170" s="18">
        <f t="shared" si="34"/>
        <v>295.39999999999998</v>
      </c>
      <c r="T170" s="19">
        <f t="shared" si="35"/>
        <v>0</v>
      </c>
      <c r="U170" s="206">
        <v>1</v>
      </c>
      <c r="V170" s="12" t="str">
        <f>IFERROR(VLOOKUP(Tabela1[[#This Row],[COD.MDE]],'LISTA DE EMBARQUE'!B:L,11,0),"")</f>
        <v/>
      </c>
      <c r="W170" s="13"/>
      <c r="X170" s="14">
        <f>IFERROR(Tabela1[[#This Row],[QIANTIDADE EXPEDIDA]]*Tabela1[[#This Row],[PESO UNI]],"")</f>
        <v>295.39999999999998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T-072953-1/1073-TC-006</v>
      </c>
      <c r="AP170" t="str">
        <f>Tabela1[[#This Row],[TAG]]&amp;Tabela1[[#This Row],[PEDIDO]]&amp;Tabela1[[#This Row],[PRODUTO]]</f>
        <v>1073-TC-006P-188RMF</v>
      </c>
      <c r="AQ170" s="22" t="str">
        <f>Tabela1[[#This Row],[PRODUTO]]&amp;Tabela1[[#This Row],[TAG]]</f>
        <v>RMF1073-TC-006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295.39999999999998</v>
      </c>
      <c r="AV170" s="37">
        <f t="shared" si="39"/>
        <v>295.39999999999998</v>
      </c>
      <c r="AW170" s="37"/>
    </row>
    <row r="171" spans="1:49" ht="15.75" hidden="1" customHeight="1" x14ac:dyDescent="0.25">
      <c r="A171" s="6" t="s">
        <v>3773</v>
      </c>
      <c r="B171" s="21" t="s">
        <v>3774</v>
      </c>
      <c r="C171" s="7">
        <v>1</v>
      </c>
      <c r="D171" s="39" t="s">
        <v>3760</v>
      </c>
      <c r="E171" s="7">
        <v>4056</v>
      </c>
      <c r="F171" s="7" t="s">
        <v>3775</v>
      </c>
      <c r="G171" s="23">
        <v>1137.2</v>
      </c>
      <c r="H171" s="34">
        <f>Tabela1[[#This Row],[PESO UNI]]*Tabela1[[#This Row],[QTE]]</f>
        <v>1137.2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1137.2</v>
      </c>
      <c r="S171" s="18">
        <f t="shared" si="34"/>
        <v>1137.2</v>
      </c>
      <c r="T171" s="19">
        <f t="shared" si="35"/>
        <v>0</v>
      </c>
      <c r="U171" s="206">
        <v>1</v>
      </c>
      <c r="V171" s="12" t="str">
        <f>IFERROR(VLOOKUP(Tabela1[[#This Row],[COD.MDE]],'LISTA DE EMBARQUE'!B:L,11,0),"")</f>
        <v/>
      </c>
      <c r="W171" s="13"/>
      <c r="X171" s="14">
        <f>IFERROR(Tabela1[[#This Row],[QIANTIDADE EXPEDIDA]]*Tabela1[[#This Row],[PESO UNI]],"")</f>
        <v>1137.2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1137.2</v>
      </c>
      <c r="AV171" s="37">
        <f t="shared" si="39"/>
        <v>1137.2</v>
      </c>
      <c r="AW171" s="37"/>
    </row>
    <row r="172" spans="1:49" ht="15.75" hidden="1" customHeight="1" x14ac:dyDescent="0.25">
      <c r="A172" s="6" t="s">
        <v>3773</v>
      </c>
      <c r="B172" s="21" t="s">
        <v>3776</v>
      </c>
      <c r="C172" s="7">
        <v>1</v>
      </c>
      <c r="D172" s="39" t="s">
        <v>3777</v>
      </c>
      <c r="E172" s="7">
        <v>4057</v>
      </c>
      <c r="F172" s="7" t="s">
        <v>3775</v>
      </c>
      <c r="G172" s="23">
        <v>142.19999999999999</v>
      </c>
      <c r="H172" s="34">
        <f>Tabela1[[#This Row],[PESO UNI]]*Tabela1[[#This Row],[QTE]]</f>
        <v>142.19999999999999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142.19999999999999</v>
      </c>
      <c r="S172" s="18">
        <f t="shared" si="34"/>
        <v>142.19999999999999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142.19999999999999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142.19999999999999</v>
      </c>
      <c r="AV172" s="37">
        <f t="shared" si="39"/>
        <v>142.19999999999999</v>
      </c>
      <c r="AW172" s="37"/>
    </row>
    <row r="173" spans="1:49" ht="15.75" hidden="1" customHeight="1" x14ac:dyDescent="0.25">
      <c r="A173" s="6" t="s">
        <v>3773</v>
      </c>
      <c r="B173" s="21" t="s">
        <v>3778</v>
      </c>
      <c r="C173" s="7">
        <v>1</v>
      </c>
      <c r="D173" s="39" t="s">
        <v>3777</v>
      </c>
      <c r="E173" s="7">
        <v>4058</v>
      </c>
      <c r="F173" s="7" t="s">
        <v>3775</v>
      </c>
      <c r="G173" s="23">
        <v>295.39999999999998</v>
      </c>
      <c r="H173" s="34">
        <f>Tabela1[[#This Row],[PESO UNI]]*Tabela1[[#This Row],[QTE]]</f>
        <v>295.39999999999998</v>
      </c>
      <c r="I173" s="7">
        <v>5</v>
      </c>
      <c r="J173" s="8" t="s">
        <v>2276</v>
      </c>
      <c r="K173" s="8" t="s">
        <v>327</v>
      </c>
      <c r="L173" s="9" t="s">
        <v>2069</v>
      </c>
      <c r="M173" s="10">
        <v>46149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295.39999999999998</v>
      </c>
      <c r="S173" s="18">
        <f t="shared" si="34"/>
        <v>295.39999999999998</v>
      </c>
      <c r="T173" s="19">
        <f t="shared" si="35"/>
        <v>0</v>
      </c>
      <c r="U173" s="206">
        <f>IFERROR(SUMIF('LISTA DE EMBARQUE'!B:B,MICRO!E:E,'LISTA DE EMBARQUE'!G:G),"")</f>
        <v>1</v>
      </c>
      <c r="V173" s="12">
        <f>IFERROR(VLOOKUP(Tabela1[[#This Row],[COD.MDE]],'LISTA DE EMBARQUE'!B:L,11,0),"")</f>
        <v>7</v>
      </c>
      <c r="W173" s="13"/>
      <c r="X173" s="14">
        <f>IFERROR(Tabela1[[#This Row],[QIANTIDADE EXPEDIDA]]*Tabela1[[#This Row],[PESO UNI]],"")</f>
        <v>295.39999999999998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T-072953-1/1073-TC-007</v>
      </c>
      <c r="AP173" t="str">
        <f>Tabela1[[#This Row],[TAG]]&amp;Tabela1[[#This Row],[PEDIDO]]&amp;Tabela1[[#This Row],[PRODUTO]]</f>
        <v>1073-TC-007P-188RMF</v>
      </c>
      <c r="AQ173" s="22" t="str">
        <f>Tabela1[[#This Row],[PRODUTO]]&amp;Tabela1[[#This Row],[TAG]]</f>
        <v>RMF1073-TC-007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295.39999999999998</v>
      </c>
      <c r="AV173" s="37">
        <f t="shared" si="39"/>
        <v>295.39999999999998</v>
      </c>
      <c r="AW173" s="37"/>
    </row>
    <row r="174" spans="1:49" ht="15.75" hidden="1" customHeight="1" x14ac:dyDescent="0.25">
      <c r="A174" s="6" t="s">
        <v>3779</v>
      </c>
      <c r="B174" s="21" t="s">
        <v>3780</v>
      </c>
      <c r="C174" s="7">
        <v>1</v>
      </c>
      <c r="D174" s="39" t="s">
        <v>3781</v>
      </c>
      <c r="E174" s="7">
        <v>4059</v>
      </c>
      <c r="F174" s="7" t="s">
        <v>3782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2274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T-072975-1/1073-TC-006</v>
      </c>
      <c r="AP174" t="str">
        <f>Tabela1[[#This Row],[TAG]]&amp;Tabela1[[#This Row],[PEDIDO]]&amp;Tabela1[[#This Row],[PRODUTO]]</f>
        <v>1073-TC-006P-188RMF</v>
      </c>
      <c r="AQ174" s="22" t="str">
        <f>Tabela1[[#This Row],[PRODUTO]]&amp;Tabela1[[#This Row],[TAG]]</f>
        <v>RMF1073-TC-006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3779</v>
      </c>
      <c r="B175" s="21" t="s">
        <v>3780</v>
      </c>
      <c r="C175" s="7">
        <v>1</v>
      </c>
      <c r="D175" s="39" t="s">
        <v>3781</v>
      </c>
      <c r="E175" s="7">
        <v>4060</v>
      </c>
      <c r="F175" s="7" t="s">
        <v>3782</v>
      </c>
      <c r="G175" s="23">
        <v>950.5</v>
      </c>
      <c r="H175" s="34">
        <f>Tabela1[[#This Row],[PESO UNI]]*Tabela1[[#This Row],[QTE]]</f>
        <v>950.5</v>
      </c>
      <c r="I175" s="7">
        <v>1</v>
      </c>
      <c r="J175" s="8" t="s">
        <v>2276</v>
      </c>
      <c r="K175" s="8" t="s">
        <v>327</v>
      </c>
      <c r="L175" s="9" t="s">
        <v>2069</v>
      </c>
      <c r="M175" s="10">
        <v>46139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950.5</v>
      </c>
      <c r="S175" s="18">
        <f t="shared" si="34"/>
        <v>950.5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950.5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T-072975-1/1073-TC-007</v>
      </c>
      <c r="AP175" t="str">
        <f>Tabela1[[#This Row],[TAG]]&amp;Tabela1[[#This Row],[PEDIDO]]&amp;Tabela1[[#This Row],[PRODUTO]]</f>
        <v>1073-TC-007P-188RMF</v>
      </c>
      <c r="AQ175" s="22" t="str">
        <f>Tabela1[[#This Row],[PRODUTO]]&amp;Tabela1[[#This Row],[TAG]]</f>
        <v>RMF1073-TC-007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950.5</v>
      </c>
      <c r="AV175" s="37">
        <f t="shared" si="39"/>
        <v>950.5</v>
      </c>
      <c r="AW175" s="37"/>
    </row>
    <row r="176" spans="1:49" ht="15.75" hidden="1" customHeight="1" x14ac:dyDescent="0.25">
      <c r="A176" s="6" t="s">
        <v>3783</v>
      </c>
      <c r="B176" s="21" t="s">
        <v>3784</v>
      </c>
      <c r="C176" s="7">
        <v>1</v>
      </c>
      <c r="D176" s="39" t="s">
        <v>3781</v>
      </c>
      <c r="E176" s="7">
        <v>4061</v>
      </c>
      <c r="F176" s="7" t="s">
        <v>3785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2274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T-072976-1/1073-TC-006</v>
      </c>
      <c r="AP176" t="str">
        <f>Tabela1[[#This Row],[TAG]]&amp;Tabela1[[#This Row],[PEDIDO]]&amp;Tabela1[[#This Row],[PRODUTO]]</f>
        <v>1073-TC-006P-188RMF</v>
      </c>
      <c r="AQ176" s="22" t="str">
        <f>Tabela1[[#This Row],[PRODUTO]]&amp;Tabela1[[#This Row],[TAG]]</f>
        <v>RMF1073-TC-006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3783</v>
      </c>
      <c r="B177" s="21" t="s">
        <v>3784</v>
      </c>
      <c r="C177" s="7">
        <v>1</v>
      </c>
      <c r="D177" s="39" t="s">
        <v>3781</v>
      </c>
      <c r="E177" s="7">
        <v>4062</v>
      </c>
      <c r="F177" s="7" t="s">
        <v>3785</v>
      </c>
      <c r="G177" s="23">
        <v>675.7</v>
      </c>
      <c r="H177" s="34">
        <f>Tabela1[[#This Row],[PESO UNI]]*Tabela1[[#This Row],[QTE]]</f>
        <v>675.7</v>
      </c>
      <c r="I177" s="7">
        <v>2</v>
      </c>
      <c r="J177" s="8" t="s">
        <v>2276</v>
      </c>
      <c r="K177" s="8" t="s">
        <v>327</v>
      </c>
      <c r="L177" s="9" t="s">
        <v>2069</v>
      </c>
      <c r="M177" s="10">
        <v>46149</v>
      </c>
      <c r="N177" s="8" t="s">
        <v>327</v>
      </c>
      <c r="O177" s="12"/>
      <c r="P177" s="13"/>
      <c r="Q177" s="14">
        <f>Tabela1[[#This Row],[QTDE/ Fabricação]]-Tabela1[[#This Row],[QTE]]</f>
        <v>-1</v>
      </c>
      <c r="R177" s="18">
        <f t="shared" si="33"/>
        <v>675.7</v>
      </c>
      <c r="S177" s="18">
        <f t="shared" si="34"/>
        <v>675.7</v>
      </c>
      <c r="T177" s="19">
        <f t="shared" si="35"/>
        <v>0</v>
      </c>
      <c r="U177" s="206">
        <v>1</v>
      </c>
      <c r="V177" s="12" t="str">
        <f>IFERROR(VLOOKUP(Tabela1[[#This Row],[COD.MDE]],'LISTA DE EMBARQUE'!B:L,11,0),"")</f>
        <v/>
      </c>
      <c r="W177" s="13"/>
      <c r="X177" s="14">
        <f>IFERROR(Tabela1[[#This Row],[QIANTIDADE EXPEDIDA]]*Tabela1[[#This Row],[PESO UNI]],"")</f>
        <v>675.7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T-072976-1/1073-TC-007</v>
      </c>
      <c r="AP177" t="str">
        <f>Tabela1[[#This Row],[TAG]]&amp;Tabela1[[#This Row],[PEDIDO]]&amp;Tabela1[[#This Row],[PRODUTO]]</f>
        <v>1073-TC-007P-188RMF</v>
      </c>
      <c r="AQ177" s="22" t="str">
        <f>Tabela1[[#This Row],[PRODUTO]]&amp;Tabela1[[#This Row],[TAG]]</f>
        <v>RMF1073-TC-007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675.7</v>
      </c>
      <c r="AV177" s="37">
        <f t="shared" si="39"/>
        <v>675.7</v>
      </c>
      <c r="AW177" s="37"/>
    </row>
    <row r="178" spans="1:49" ht="15.75" hidden="1" customHeight="1" x14ac:dyDescent="0.25">
      <c r="A178" s="6" t="s">
        <v>3786</v>
      </c>
      <c r="B178" s="21" t="s">
        <v>3787</v>
      </c>
      <c r="C178" s="7">
        <v>2</v>
      </c>
      <c r="D178" s="39" t="s">
        <v>3788</v>
      </c>
      <c r="E178" s="7">
        <v>4063</v>
      </c>
      <c r="F178" s="7" t="s">
        <v>3789</v>
      </c>
      <c r="G178" s="23">
        <v>0.52</v>
      </c>
      <c r="H178" s="34">
        <f>Tabela1[[#This Row],[PESO UNI]]*Tabela1[[#This Row],[QTE]]</f>
        <v>1.04</v>
      </c>
      <c r="I178" s="7" t="s">
        <v>2</v>
      </c>
      <c r="J178" s="8" t="s">
        <v>3790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1.04</v>
      </c>
      <c r="S178" s="18">
        <f t="shared" si="34"/>
        <v>1.04</v>
      </c>
      <c r="T178" s="19">
        <f t="shared" si="35"/>
        <v>0</v>
      </c>
      <c r="U178" s="16">
        <f>IFERROR(SUMIF('LISTA DE EMBARQUE'!B:B,MICRO!E:E,'LISTA DE EMBARQUE'!G:G),"")</f>
        <v>0</v>
      </c>
      <c r="V178" s="12" t="str">
        <f>IFERROR(VLOOKUP(Tabela1[[#This Row],[COD.MDE]],'LISTA DE EMBARQUE'!B:L,11,0),"")</f>
        <v/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0</v>
      </c>
      <c r="Y178" s="14">
        <f t="shared" si="36"/>
        <v>-2</v>
      </c>
      <c r="Z178" s="20">
        <f>Tabela1[[#This Row],[PESO TOTAL]]-Tabela1[[#This Row],[Peso Expedido]]</f>
        <v>1.04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/>
      <c r="AI178" s="33" t="str">
        <f t="shared" si="37"/>
        <v/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1.04</v>
      </c>
      <c r="AU178" s="37">
        <f t="shared" si="38"/>
        <v>0</v>
      </c>
      <c r="AV178" s="37">
        <f t="shared" si="39"/>
        <v>1.04</v>
      </c>
      <c r="AW178" s="37"/>
    </row>
    <row r="179" spans="1:49" ht="15.75" hidden="1" customHeight="1" x14ac:dyDescent="0.25">
      <c r="A179" s="6" t="s">
        <v>3786</v>
      </c>
      <c r="B179" s="21" t="s">
        <v>3791</v>
      </c>
      <c r="C179" s="7">
        <v>2</v>
      </c>
      <c r="D179" s="39" t="s">
        <v>3788</v>
      </c>
      <c r="E179" s="7">
        <v>4064</v>
      </c>
      <c r="F179" s="7" t="s">
        <v>3789</v>
      </c>
      <c r="G179" s="23">
        <v>0.66</v>
      </c>
      <c r="H179" s="34">
        <f>Tabela1[[#This Row],[PESO UNI]]*Tabela1[[#This Row],[QTE]]</f>
        <v>1.32</v>
      </c>
      <c r="I179" s="7" t="s">
        <v>2</v>
      </c>
      <c r="J179" s="8" t="s">
        <v>3790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-2</v>
      </c>
      <c r="R179" s="18">
        <f t="shared" si="33"/>
        <v>1.32</v>
      </c>
      <c r="S179" s="18">
        <f t="shared" si="34"/>
        <v>1.32</v>
      </c>
      <c r="T179" s="19">
        <f t="shared" si="35"/>
        <v>0</v>
      </c>
      <c r="U179" s="16">
        <f>IFERROR(SUMIF('LISTA DE EMBARQUE'!B:B,MICRO!E:E,'LISTA DE EMBARQUE'!G:G),"")</f>
        <v>0</v>
      </c>
      <c r="V179" s="12" t="str">
        <f>IFERROR(VLOOKUP(Tabela1[[#This Row],[COD.MDE]],'LISTA DE EMBARQUE'!B:L,11,0),"")</f>
        <v/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0</v>
      </c>
      <c r="Y179" s="14">
        <f t="shared" si="36"/>
        <v>-2</v>
      </c>
      <c r="Z179" s="20">
        <f>Tabela1[[#This Row],[PESO TOTAL]]-Tabela1[[#This Row],[Peso Expedido]]</f>
        <v>1.32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/>
      <c r="AI179" s="33" t="str">
        <f t="shared" si="37"/>
        <v/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1.32</v>
      </c>
      <c r="AU179" s="37">
        <f t="shared" si="38"/>
        <v>0</v>
      </c>
      <c r="AV179" s="37">
        <f t="shared" si="39"/>
        <v>1.32</v>
      </c>
      <c r="AW179" s="37"/>
    </row>
    <row r="180" spans="1:49" ht="15.75" hidden="1" customHeight="1" x14ac:dyDescent="0.25">
      <c r="A180" s="6" t="s">
        <v>3786</v>
      </c>
      <c r="B180" s="21" t="s">
        <v>3792</v>
      </c>
      <c r="C180" s="7">
        <v>4</v>
      </c>
      <c r="D180" s="39" t="s">
        <v>3793</v>
      </c>
      <c r="E180" s="7">
        <v>4065</v>
      </c>
      <c r="F180" s="7" t="s">
        <v>3789</v>
      </c>
      <c r="G180" s="23">
        <v>0.51</v>
      </c>
      <c r="H180" s="34">
        <f>Tabela1[[#This Row],[PESO UNI]]*Tabela1[[#This Row],[QTE]]</f>
        <v>2.04</v>
      </c>
      <c r="I180" s="7" t="s">
        <v>2</v>
      </c>
      <c r="J180" s="8" t="s">
        <v>3790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-4</v>
      </c>
      <c r="R180" s="18">
        <f t="shared" si="33"/>
        <v>2.04</v>
      </c>
      <c r="S180" s="18">
        <f t="shared" si="34"/>
        <v>2.04</v>
      </c>
      <c r="T180" s="19">
        <f t="shared" si="35"/>
        <v>0</v>
      </c>
      <c r="U180" s="16">
        <f>IFERROR(SUMIF('LISTA DE EMBARQUE'!B:B,MICRO!E:E,'LISTA DE EMBARQUE'!G:G),"")</f>
        <v>0</v>
      </c>
      <c r="V180" s="12" t="str">
        <f>IFERROR(VLOOKUP(Tabela1[[#This Row],[COD.MDE]],'LISTA DE EMBARQUE'!B:L,11,0),"")</f>
        <v/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</v>
      </c>
      <c r="Y180" s="14">
        <f t="shared" si="36"/>
        <v>-4</v>
      </c>
      <c r="Z180" s="20">
        <f>Tabela1[[#This Row],[PESO TOTAL]]-Tabela1[[#This Row],[Peso Expedido]]</f>
        <v>2.04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/>
      <c r="AI180" s="33" t="str">
        <f t="shared" si="37"/>
        <v/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2.04</v>
      </c>
      <c r="AU180" s="37">
        <f t="shared" si="38"/>
        <v>0</v>
      </c>
      <c r="AV180" s="37">
        <f t="shared" si="39"/>
        <v>2.04</v>
      </c>
      <c r="AW180" s="37"/>
    </row>
    <row r="181" spans="1:49" ht="15.75" hidden="1" customHeight="1" x14ac:dyDescent="0.25">
      <c r="A181" s="6" t="s">
        <v>3786</v>
      </c>
      <c r="B181" s="21" t="s">
        <v>3794</v>
      </c>
      <c r="C181" s="7">
        <v>8</v>
      </c>
      <c r="D181" s="39" t="s">
        <v>3795</v>
      </c>
      <c r="E181" s="7">
        <v>4066</v>
      </c>
      <c r="F181" s="7" t="s">
        <v>3789</v>
      </c>
      <c r="G181" s="23">
        <v>0.05</v>
      </c>
      <c r="H181" s="34">
        <f>Tabela1[[#This Row],[PESO UNI]]*Tabela1[[#This Row],[QTE]]</f>
        <v>0.4</v>
      </c>
      <c r="I181" s="7" t="s">
        <v>2</v>
      </c>
      <c r="J181" s="8" t="s">
        <v>3790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0.4</v>
      </c>
      <c r="S181" s="18">
        <f t="shared" si="34"/>
        <v>0.4</v>
      </c>
      <c r="T181" s="19">
        <f t="shared" si="35"/>
        <v>0</v>
      </c>
      <c r="U181" s="16">
        <f>IFERROR(SUMIF('LISTA DE EMBARQUE'!B:B,MICRO!E:E,'LISTA DE EMBARQUE'!G:G),"")</f>
        <v>0</v>
      </c>
      <c r="V181" s="12" t="str">
        <f>IFERROR(VLOOKUP(Tabela1[[#This Row],[COD.MDE]],'LISTA DE EMBARQUE'!B:L,11,0),"")</f>
        <v/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0</v>
      </c>
      <c r="Y181" s="14">
        <f t="shared" ref="Y181:Y244" si="40">U181-C181</f>
        <v>-8</v>
      </c>
      <c r="Z181" s="20">
        <f>Tabela1[[#This Row],[PESO TOTAL]]-Tabela1[[#This Row],[Peso Expedido]]</f>
        <v>0.4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/>
      <c r="AI181" s="33" t="str">
        <f t="shared" si="37"/>
        <v/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T-072917-1/1073-TC-006/007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0.4</v>
      </c>
      <c r="AU181" s="37">
        <f t="shared" si="38"/>
        <v>0</v>
      </c>
      <c r="AV181" s="37">
        <f t="shared" si="39"/>
        <v>0.4</v>
      </c>
      <c r="AW181" s="37"/>
    </row>
    <row r="182" spans="1:49" ht="15.75" hidden="1" customHeight="1" x14ac:dyDescent="0.25">
      <c r="A182" s="6" t="s">
        <v>3796</v>
      </c>
      <c r="B182" s="21" t="s">
        <v>3797</v>
      </c>
      <c r="C182" s="7">
        <v>8</v>
      </c>
      <c r="D182" s="39" t="s">
        <v>3798</v>
      </c>
      <c r="E182" s="7">
        <v>4067</v>
      </c>
      <c r="F182" s="7" t="s">
        <v>3789</v>
      </c>
      <c r="G182" s="23">
        <v>0.32</v>
      </c>
      <c r="H182" s="34">
        <f>Tabela1[[#This Row],[PESO UNI]]*Tabela1[[#This Row],[QTE]]</f>
        <v>2.56</v>
      </c>
      <c r="I182" s="7" t="s">
        <v>2</v>
      </c>
      <c r="J182" s="8" t="s">
        <v>3790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2.56</v>
      </c>
      <c r="S182" s="18">
        <f t="shared" ref="S182:S245" si="41">IFERROR(H182*AG182,"")</f>
        <v>2.56</v>
      </c>
      <c r="T182" s="19">
        <f t="shared" si="35"/>
        <v>0</v>
      </c>
      <c r="U182" s="16">
        <f>IFERROR(SUMIF('LISTA DE EMBARQUE'!B:B,MICRO!E:E,'LISTA DE EMBARQUE'!G:G),"")</f>
        <v>0</v>
      </c>
      <c r="V182" s="12" t="str">
        <f>IFERROR(VLOOKUP(Tabela1[[#This Row],[COD.MDE]],'LISTA DE EMBARQUE'!B:L,11,0),"")</f>
        <v/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0</v>
      </c>
      <c r="Y182" s="14">
        <f t="shared" si="40"/>
        <v>-8</v>
      </c>
      <c r="Z182" s="20">
        <f>Tabela1[[#This Row],[PESO TOTAL]]-Tabela1[[#This Row],[Peso Expedido]]</f>
        <v>2.56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/>
      <c r="AI182" s="33" t="str">
        <f t="shared" si="37"/>
        <v/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T-072918-1/1073-TC-006/007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2.56</v>
      </c>
      <c r="AU182" s="37">
        <f t="shared" si="38"/>
        <v>0</v>
      </c>
      <c r="AV182" s="37">
        <f t="shared" si="39"/>
        <v>2.56</v>
      </c>
      <c r="AW182" s="37"/>
    </row>
    <row r="183" spans="1:49" ht="15.75" hidden="1" customHeight="1" x14ac:dyDescent="0.25">
      <c r="A183" s="6" t="s">
        <v>3799</v>
      </c>
      <c r="B183" s="21" t="s">
        <v>3800</v>
      </c>
      <c r="C183" s="7">
        <v>8</v>
      </c>
      <c r="D183" s="39" t="s">
        <v>3798</v>
      </c>
      <c r="E183" s="7">
        <v>4068</v>
      </c>
      <c r="F183" s="7" t="s">
        <v>3789</v>
      </c>
      <c r="G183" s="23">
        <v>0.39</v>
      </c>
      <c r="H183" s="34">
        <f>Tabela1[[#This Row],[PESO UNI]]*Tabela1[[#This Row],[QTE]]</f>
        <v>3.12</v>
      </c>
      <c r="I183" s="7" t="s">
        <v>2</v>
      </c>
      <c r="J183" s="8" t="s">
        <v>3790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-8</v>
      </c>
      <c r="R183" s="18">
        <f t="shared" si="33"/>
        <v>3.12</v>
      </c>
      <c r="S183" s="18">
        <f t="shared" si="41"/>
        <v>3.12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-8</v>
      </c>
      <c r="Z183" s="20">
        <f>Tabela1[[#This Row],[PESO TOTAL]]-Tabela1[[#This Row],[Peso Expedido]]</f>
        <v>3.12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>T-072919-1/1073-TC-006/007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3.12</v>
      </c>
      <c r="AU183" s="37">
        <f t="shared" si="38"/>
        <v>0</v>
      </c>
      <c r="AV183" s="37">
        <f t="shared" si="39"/>
        <v>3.12</v>
      </c>
      <c r="AW183" s="37"/>
    </row>
    <row r="184" spans="1:49" ht="15.75" hidden="1" customHeight="1" x14ac:dyDescent="0.25">
      <c r="A184" s="6" t="s">
        <v>3801</v>
      </c>
      <c r="B184" s="21" t="s">
        <v>2996</v>
      </c>
      <c r="C184" s="7">
        <v>2</v>
      </c>
      <c r="D184" s="39" t="s">
        <v>3788</v>
      </c>
      <c r="E184" s="7">
        <v>4069</v>
      </c>
      <c r="F184" s="7" t="s">
        <v>3789</v>
      </c>
      <c r="G184" s="23">
        <v>0.53</v>
      </c>
      <c r="H184" s="34">
        <f>Tabela1[[#This Row],[PESO UNI]]*Tabela1[[#This Row],[QTE]]</f>
        <v>1.06</v>
      </c>
      <c r="I184" s="7" t="s">
        <v>2</v>
      </c>
      <c r="J184" s="8" t="s">
        <v>3790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1.06</v>
      </c>
      <c r="S184" s="18">
        <f t="shared" si="41"/>
        <v>1.06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1.06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1.06</v>
      </c>
      <c r="AU184" s="37">
        <f t="shared" si="38"/>
        <v>0</v>
      </c>
      <c r="AV184" s="37">
        <f t="shared" si="39"/>
        <v>1.06</v>
      </c>
      <c r="AW184" s="37"/>
    </row>
    <row r="185" spans="1:49" ht="15.75" hidden="1" customHeight="1" x14ac:dyDescent="0.25">
      <c r="A185" s="6" t="s">
        <v>3801</v>
      </c>
      <c r="B185" s="21" t="s">
        <v>2997</v>
      </c>
      <c r="C185" s="7">
        <v>2</v>
      </c>
      <c r="D185" s="39" t="s">
        <v>3788</v>
      </c>
      <c r="E185" s="7">
        <v>4070</v>
      </c>
      <c r="F185" s="7" t="s">
        <v>3789</v>
      </c>
      <c r="G185" s="23">
        <v>0.74</v>
      </c>
      <c r="H185" s="34">
        <f>Tabela1[[#This Row],[PESO UNI]]*Tabela1[[#This Row],[QTE]]</f>
        <v>1.48</v>
      </c>
      <c r="I185" s="7" t="s">
        <v>2</v>
      </c>
      <c r="J185" s="8" t="s">
        <v>3790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1.48</v>
      </c>
      <c r="S185" s="18">
        <f t="shared" si="41"/>
        <v>1.48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1.48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1.48</v>
      </c>
      <c r="AU185" s="37">
        <f t="shared" si="38"/>
        <v>0</v>
      </c>
      <c r="AV185" s="37">
        <f t="shared" si="39"/>
        <v>1.48</v>
      </c>
      <c r="AW185" s="37"/>
    </row>
    <row r="186" spans="1:49" ht="15.75" hidden="1" customHeight="1" x14ac:dyDescent="0.25">
      <c r="A186" s="6" t="s">
        <v>3801</v>
      </c>
      <c r="B186" s="21" t="s">
        <v>3800</v>
      </c>
      <c r="C186" s="7">
        <v>2</v>
      </c>
      <c r="D186" s="39" t="s">
        <v>3793</v>
      </c>
      <c r="E186" s="7">
        <v>4071</v>
      </c>
      <c r="F186" s="7" t="s">
        <v>3789</v>
      </c>
      <c r="G186" s="23">
        <v>0.51</v>
      </c>
      <c r="H186" s="34">
        <f>Tabela1[[#This Row],[PESO UNI]]*Tabela1[[#This Row],[QTE]]</f>
        <v>1.02</v>
      </c>
      <c r="I186" s="7" t="s">
        <v>2</v>
      </c>
      <c r="J186" s="8" t="s">
        <v>3790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-2</v>
      </c>
      <c r="R186" s="18">
        <f t="shared" si="33"/>
        <v>1.02</v>
      </c>
      <c r="S186" s="18">
        <f t="shared" si="41"/>
        <v>1.02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-2</v>
      </c>
      <c r="Z186" s="20">
        <f>Tabela1[[#This Row],[PESO TOTAL]]-Tabela1[[#This Row],[Peso Expedido]]</f>
        <v>1.02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1.02</v>
      </c>
      <c r="AU186" s="37">
        <f t="shared" si="38"/>
        <v>0</v>
      </c>
      <c r="AV186" s="37">
        <f t="shared" si="39"/>
        <v>1.02</v>
      </c>
      <c r="AW186" s="37"/>
    </row>
    <row r="187" spans="1:49" ht="15.75" hidden="1" customHeight="1" x14ac:dyDescent="0.25">
      <c r="A187" s="6" t="s">
        <v>3801</v>
      </c>
      <c r="B187" s="21" t="s">
        <v>3797</v>
      </c>
      <c r="C187" s="7">
        <v>6</v>
      </c>
      <c r="D187" s="39" t="s">
        <v>3795</v>
      </c>
      <c r="E187" s="7">
        <v>4072</v>
      </c>
      <c r="F187" s="7" t="s">
        <v>3789</v>
      </c>
      <c r="G187" s="23">
        <v>0.05</v>
      </c>
      <c r="H187" s="34">
        <f>Tabela1[[#This Row],[PESO UNI]]*Tabela1[[#This Row],[QTE]]</f>
        <v>0.30000000000000004</v>
      </c>
      <c r="I187" s="7" t="s">
        <v>2</v>
      </c>
      <c r="J187" s="8" t="s">
        <v>3790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-6</v>
      </c>
      <c r="R187" s="18">
        <f t="shared" si="33"/>
        <v>0.30000000000000004</v>
      </c>
      <c r="S187" s="18">
        <f t="shared" si="41"/>
        <v>0.30000000000000004</v>
      </c>
      <c r="T187" s="19">
        <f t="shared" si="35"/>
        <v>0</v>
      </c>
      <c r="U187" s="16">
        <f>IFERROR(SUMIF('LISTA DE EMBARQUE'!B:B,MICRO!E:E,'LISTA DE EMBARQUE'!G:G),"")</f>
        <v>0</v>
      </c>
      <c r="V187" s="12" t="str">
        <f>IFERROR(VLOOKUP(Tabela1[[#This Row],[COD.MDE]],'LISTA DE EMBARQUE'!B:L,11,0),"")</f>
        <v/>
      </c>
      <c r="W187" s="13" t="str">
        <f>IFERROR(VLOOKUP(Tabela1[[#This Row],[COD.MDE]],'LISTA DE EMBARQUE'!B:M,12,0),"")</f>
        <v/>
      </c>
      <c r="X187" s="14">
        <f>IFERROR(Tabela1[[#This Row],[QIANTIDADE EXPEDIDA]]*Tabela1[[#This Row],[PESO UNI]],"")</f>
        <v>0</v>
      </c>
      <c r="Y187" s="14">
        <f t="shared" si="40"/>
        <v>-6</v>
      </c>
      <c r="Z187" s="20">
        <f>Tabela1[[#This Row],[PESO TOTAL]]-Tabela1[[#This Row],[Peso Expedido]]</f>
        <v>0.30000000000000004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/>
      <c r="AI187" s="33" t="str">
        <f t="shared" si="37"/>
        <v/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 xml:space="preserve"> T-072923-1/1073-TC-006/007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0.30000000000000004</v>
      </c>
      <c r="AU187" s="37">
        <f t="shared" si="38"/>
        <v>0</v>
      </c>
      <c r="AV187" s="37">
        <f t="shared" si="39"/>
        <v>0.30000000000000004</v>
      </c>
      <c r="AW187" s="37"/>
    </row>
    <row r="188" spans="1:49" ht="15.75" hidden="1" customHeight="1" x14ac:dyDescent="0.25">
      <c r="A188" s="6" t="s">
        <v>3802</v>
      </c>
      <c r="B188" s="21" t="s">
        <v>3803</v>
      </c>
      <c r="C188" s="7">
        <v>2</v>
      </c>
      <c r="D188" s="39" t="s">
        <v>3804</v>
      </c>
      <c r="E188" s="7">
        <v>4073</v>
      </c>
      <c r="F188" s="7" t="s">
        <v>3789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3790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3802</v>
      </c>
      <c r="B189" s="21" t="s">
        <v>3805</v>
      </c>
      <c r="C189" s="7">
        <v>2</v>
      </c>
      <c r="D189" s="39" t="s">
        <v>3806</v>
      </c>
      <c r="E189" s="7">
        <v>4074</v>
      </c>
      <c r="F189" s="7" t="s">
        <v>3789</v>
      </c>
      <c r="G189" s="23">
        <v>161.66999999999999</v>
      </c>
      <c r="H189" s="34">
        <f>Tabela1[[#This Row],[PESO UNI]]*Tabela1[[#This Row],[QTE]]</f>
        <v>323.33999999999997</v>
      </c>
      <c r="I189" s="7">
        <v>1</v>
      </c>
      <c r="J189" s="8" t="s">
        <v>3790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-2</v>
      </c>
      <c r="R189" s="18">
        <f t="shared" si="33"/>
        <v>323.33999999999997</v>
      </c>
      <c r="S189" s="18">
        <f t="shared" si="41"/>
        <v>323.33999999999997</v>
      </c>
      <c r="T189" s="19">
        <f t="shared" si="35"/>
        <v>0</v>
      </c>
      <c r="U189" s="206">
        <v>2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323.33999999999997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323.33999999999997</v>
      </c>
      <c r="AV189" s="37">
        <f t="shared" si="39"/>
        <v>323.33999999999997</v>
      </c>
      <c r="AW189" s="37"/>
    </row>
    <row r="190" spans="1:49" ht="15.75" hidden="1" customHeight="1" x14ac:dyDescent="0.25">
      <c r="A190" s="6" t="s">
        <v>3802</v>
      </c>
      <c r="B190" s="21" t="s">
        <v>3807</v>
      </c>
      <c r="C190" s="7">
        <v>8</v>
      </c>
      <c r="D190" s="39" t="s">
        <v>3808</v>
      </c>
      <c r="E190" s="7">
        <v>4075</v>
      </c>
      <c r="F190" s="7" t="s">
        <v>3789</v>
      </c>
      <c r="G190" s="23">
        <v>23.68</v>
      </c>
      <c r="H190" s="34">
        <f>Tabela1[[#This Row],[PESO UNI]]*Tabela1[[#This Row],[QTE]]</f>
        <v>189.44</v>
      </c>
      <c r="I190" s="7">
        <v>1</v>
      </c>
      <c r="J190" s="8" t="s">
        <v>3790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-8</v>
      </c>
      <c r="R190" s="18">
        <f t="shared" si="33"/>
        <v>189.44</v>
      </c>
      <c r="S190" s="18">
        <f t="shared" si="41"/>
        <v>189.44</v>
      </c>
      <c r="T190" s="19">
        <f t="shared" si="35"/>
        <v>0</v>
      </c>
      <c r="U190" s="206">
        <v>8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189.44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189.44</v>
      </c>
      <c r="AV190" s="37">
        <f t="shared" si="39"/>
        <v>189.44</v>
      </c>
      <c r="AW190" s="37"/>
    </row>
    <row r="191" spans="1:49" ht="15.75" hidden="1" customHeight="1" x14ac:dyDescent="0.25">
      <c r="A191" s="6" t="s">
        <v>3802</v>
      </c>
      <c r="B191" s="21" t="s">
        <v>3809</v>
      </c>
      <c r="C191" s="7">
        <v>2</v>
      </c>
      <c r="D191" s="39" t="s">
        <v>3808</v>
      </c>
      <c r="E191" s="7">
        <v>4076</v>
      </c>
      <c r="F191" s="7" t="s">
        <v>3789</v>
      </c>
      <c r="G191" s="23">
        <v>25.94</v>
      </c>
      <c r="H191" s="34">
        <f>Tabela1[[#This Row],[PESO UNI]]*Tabela1[[#This Row],[QTE]]</f>
        <v>51.88</v>
      </c>
      <c r="I191" s="7">
        <v>1</v>
      </c>
      <c r="J191" s="8" t="s">
        <v>3790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-2</v>
      </c>
      <c r="R191" s="18">
        <f t="shared" si="33"/>
        <v>51.88</v>
      </c>
      <c r="S191" s="18">
        <f t="shared" si="41"/>
        <v>51.88</v>
      </c>
      <c r="T191" s="19">
        <f t="shared" si="35"/>
        <v>0</v>
      </c>
      <c r="U191" s="206">
        <v>2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51.88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51.88</v>
      </c>
      <c r="AV191" s="37">
        <f t="shared" si="39"/>
        <v>51.88</v>
      </c>
      <c r="AW191" s="37"/>
    </row>
    <row r="192" spans="1:49" ht="15.75" hidden="1" customHeight="1" x14ac:dyDescent="0.25">
      <c r="A192" s="6" t="s">
        <v>3802</v>
      </c>
      <c r="B192" s="21" t="s">
        <v>3810</v>
      </c>
      <c r="C192" s="7">
        <v>4</v>
      </c>
      <c r="D192" s="39" t="s">
        <v>3808</v>
      </c>
      <c r="E192" s="7">
        <v>4077</v>
      </c>
      <c r="F192" s="7" t="s">
        <v>3789</v>
      </c>
      <c r="G192" s="23">
        <v>33.410000000000004</v>
      </c>
      <c r="H192" s="34">
        <f>Tabela1[[#This Row],[PESO UNI]]*Tabela1[[#This Row],[QTE]]</f>
        <v>133.64000000000001</v>
      </c>
      <c r="I192" s="7">
        <v>1</v>
      </c>
      <c r="J192" s="8" t="s">
        <v>3790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-4</v>
      </c>
      <c r="R192" s="18">
        <f t="shared" si="33"/>
        <v>133.64000000000001</v>
      </c>
      <c r="S192" s="18">
        <f t="shared" si="41"/>
        <v>133.64000000000001</v>
      </c>
      <c r="T192" s="19">
        <f t="shared" si="35"/>
        <v>0</v>
      </c>
      <c r="U192" s="206">
        <v>4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133.64000000000001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133.64000000000001</v>
      </c>
      <c r="AV192" s="37">
        <f t="shared" si="39"/>
        <v>133.64000000000001</v>
      </c>
      <c r="AW192" s="37"/>
    </row>
    <row r="193" spans="1:49" ht="15.75" hidden="1" customHeight="1" x14ac:dyDescent="0.25">
      <c r="A193" s="6" t="s">
        <v>3802</v>
      </c>
      <c r="B193" s="21" t="s">
        <v>3811</v>
      </c>
      <c r="C193" s="7">
        <v>2</v>
      </c>
      <c r="D193" s="39" t="s">
        <v>3808</v>
      </c>
      <c r="E193" s="7">
        <v>4078</v>
      </c>
      <c r="F193" s="7" t="s">
        <v>3789</v>
      </c>
      <c r="G193" s="23">
        <v>25.94</v>
      </c>
      <c r="H193" s="34">
        <f>Tabela1[[#This Row],[PESO UNI]]*Tabela1[[#This Row],[QTE]]</f>
        <v>51.88</v>
      </c>
      <c r="I193" s="7">
        <v>1</v>
      </c>
      <c r="J193" s="8" t="s">
        <v>3790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-2</v>
      </c>
      <c r="R193" s="18">
        <f t="shared" si="33"/>
        <v>51.88</v>
      </c>
      <c r="S193" s="18">
        <f t="shared" si="41"/>
        <v>51.88</v>
      </c>
      <c r="T193" s="19">
        <f t="shared" si="35"/>
        <v>0</v>
      </c>
      <c r="U193" s="206">
        <v>2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51.88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T-072954-1/1073-TC-006/007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51.88</v>
      </c>
      <c r="AV193" s="37">
        <f t="shared" si="39"/>
        <v>51.88</v>
      </c>
      <c r="AW193" s="37"/>
    </row>
    <row r="194" spans="1:49" ht="15.75" hidden="1" customHeight="1" x14ac:dyDescent="0.25">
      <c r="A194" s="6" t="s">
        <v>3812</v>
      </c>
      <c r="B194" s="21" t="s">
        <v>3813</v>
      </c>
      <c r="C194" s="7">
        <v>4</v>
      </c>
      <c r="D194" s="39" t="s">
        <v>3814</v>
      </c>
      <c r="E194" s="7">
        <v>4079</v>
      </c>
      <c r="F194" s="7" t="s">
        <v>3789</v>
      </c>
      <c r="G194" s="23">
        <v>48.94</v>
      </c>
      <c r="H194" s="34">
        <f>Tabela1[[#This Row],[PESO UNI]]*Tabela1[[#This Row],[QTE]]</f>
        <v>195.76</v>
      </c>
      <c r="I194" s="7">
        <v>1</v>
      </c>
      <c r="J194" s="8" t="s">
        <v>3790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195.76</v>
      </c>
      <c r="S194" s="18">
        <f t="shared" si="41"/>
        <v>195.76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195.76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195.76</v>
      </c>
      <c r="AV194" s="37">
        <f t="shared" si="39"/>
        <v>195.76</v>
      </c>
      <c r="AW194" s="37"/>
    </row>
    <row r="195" spans="1:49" ht="15.75" hidden="1" customHeight="1" x14ac:dyDescent="0.25">
      <c r="A195" s="6" t="s">
        <v>3812</v>
      </c>
      <c r="B195" s="21" t="s">
        <v>3815</v>
      </c>
      <c r="C195" s="7">
        <v>4</v>
      </c>
      <c r="D195" s="39" t="s">
        <v>3816</v>
      </c>
      <c r="E195" s="7">
        <v>4080</v>
      </c>
      <c r="F195" s="7" t="s">
        <v>3789</v>
      </c>
      <c r="G195" s="23">
        <v>81.91</v>
      </c>
      <c r="H195" s="34">
        <f>Tabela1[[#This Row],[PESO UNI]]*Tabela1[[#This Row],[QTE]]</f>
        <v>327.64</v>
      </c>
      <c r="I195" s="7">
        <v>1</v>
      </c>
      <c r="J195" s="8" t="s">
        <v>3790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327.64</v>
      </c>
      <c r="S195" s="18">
        <f t="shared" si="41"/>
        <v>327.64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327.64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327.64</v>
      </c>
      <c r="AV195" s="37">
        <f t="shared" si="39"/>
        <v>327.64</v>
      </c>
      <c r="AW195" s="37"/>
    </row>
    <row r="196" spans="1:49" ht="15.75" hidden="1" customHeight="1" x14ac:dyDescent="0.25">
      <c r="A196" s="6" t="s">
        <v>3812</v>
      </c>
      <c r="B196" s="21" t="s">
        <v>3817</v>
      </c>
      <c r="C196" s="7">
        <v>4</v>
      </c>
      <c r="D196" s="39" t="s">
        <v>3818</v>
      </c>
      <c r="E196" s="7">
        <v>4081</v>
      </c>
      <c r="F196" s="7" t="s">
        <v>3789</v>
      </c>
      <c r="G196" s="23">
        <v>46.53</v>
      </c>
      <c r="H196" s="34">
        <f>Tabela1[[#This Row],[PESO UNI]]*Tabela1[[#This Row],[QTE]]</f>
        <v>186.12</v>
      </c>
      <c r="I196" s="7">
        <v>1</v>
      </c>
      <c r="J196" s="8" t="s">
        <v>3790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186.12</v>
      </c>
      <c r="S196" s="18">
        <f t="shared" si="41"/>
        <v>186.12</v>
      </c>
      <c r="T196" s="19">
        <f t="shared" si="35"/>
        <v>0</v>
      </c>
      <c r="U196" s="206">
        <v>4</v>
      </c>
      <c r="V196" s="12" t="str">
        <f>IFERROR(VLOOKUP(Tabela1[[#This Row],[COD.MDE]],'LISTA DE EMBARQUE'!B:L,11,0),"")</f>
        <v/>
      </c>
      <c r="W196" s="13"/>
      <c r="X196" s="14">
        <f>IFERROR(Tabela1[[#This Row],[QIANTIDADE EXPEDIDA]]*Tabela1[[#This Row],[PESO UNI]],"")</f>
        <v>186.12</v>
      </c>
      <c r="Y196" s="14">
        <f t="shared" si="40"/>
        <v>0</v>
      </c>
      <c r="Z196" s="20">
        <f>Tabela1[[#This Row],[PESO TOTAL]]-Tabela1[[#This Row],[Peso Expedido]]</f>
        <v>0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>
        <v>1</v>
      </c>
      <c r="AI196" s="33" t="str">
        <f t="shared" si="37"/>
        <v>ok</v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si="30"/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0</v>
      </c>
      <c r="AU196" s="37">
        <f t="shared" si="38"/>
        <v>186.12</v>
      </c>
      <c r="AV196" s="37">
        <f t="shared" si="39"/>
        <v>186.12</v>
      </c>
      <c r="AW196" s="37"/>
    </row>
    <row r="197" spans="1:49" ht="15.75" hidden="1" customHeight="1" x14ac:dyDescent="0.25">
      <c r="A197" s="6" t="s">
        <v>3812</v>
      </c>
      <c r="B197" s="21" t="s">
        <v>3819</v>
      </c>
      <c r="C197" s="7">
        <v>4</v>
      </c>
      <c r="D197" s="39" t="s">
        <v>3820</v>
      </c>
      <c r="E197" s="7">
        <v>4082</v>
      </c>
      <c r="F197" s="7" t="s">
        <v>3789</v>
      </c>
      <c r="G197" s="23">
        <v>49.87</v>
      </c>
      <c r="H197" s="34">
        <f>Tabela1[[#This Row],[PESO UNI]]*Tabela1[[#This Row],[QTE]]</f>
        <v>199.48</v>
      </c>
      <c r="I197" s="7">
        <v>1</v>
      </c>
      <c r="J197" s="8" t="s">
        <v>3790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-4</v>
      </c>
      <c r="R197" s="18">
        <f t="shared" si="33"/>
        <v>199.48</v>
      </c>
      <c r="S197" s="18">
        <f t="shared" si="41"/>
        <v>199.48</v>
      </c>
      <c r="T197" s="19">
        <f t="shared" si="35"/>
        <v>0</v>
      </c>
      <c r="U197" s="16">
        <f>IFERROR(SUMIF('LISTA DE EMBARQUE'!B:B,MICRO!E:E,'LISTA DE EMBARQUE'!G:G),"")</f>
        <v>0</v>
      </c>
      <c r="V197" s="12" t="str">
        <f>IFERROR(VLOOKUP(Tabela1[[#This Row],[COD.MDE]],'LISTA DE EMBARQUE'!B:L,11,0),"")</f>
        <v/>
      </c>
      <c r="W197" s="13" t="str">
        <f>IFERROR(VLOOKUP(Tabela1[[#This Row],[COD.MDE]],'LISTA DE EMBARQUE'!B:M,12,0),"")</f>
        <v/>
      </c>
      <c r="X197" s="14">
        <f>IFERROR(Tabela1[[#This Row],[QIANTIDADE EXPEDIDA]]*Tabela1[[#This Row],[PESO UNI]],"")</f>
        <v>0</v>
      </c>
      <c r="Y197" s="14">
        <f t="shared" si="40"/>
        <v>-4</v>
      </c>
      <c r="Z197" s="20">
        <f>Tabela1[[#This Row],[PESO TOTAL]]-Tabela1[[#This Row],[Peso Expedido]]</f>
        <v>199.48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/>
      <c r="AI197" s="33" t="str">
        <f t="shared" si="37"/>
        <v/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ref="AO197:AO260" si="42">A197&amp;"/"&amp;J197</f>
        <v>T-072955-1/1073-TC-006/007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199.48</v>
      </c>
      <c r="AU197" s="37">
        <f t="shared" si="38"/>
        <v>0</v>
      </c>
      <c r="AV197" s="37">
        <f t="shared" si="39"/>
        <v>199.48</v>
      </c>
      <c r="AW197" s="37"/>
    </row>
    <row r="198" spans="1:49" ht="15.75" hidden="1" customHeight="1" x14ac:dyDescent="0.25">
      <c r="A198" s="6" t="s">
        <v>3821</v>
      </c>
      <c r="B198" s="21" t="s">
        <v>3822</v>
      </c>
      <c r="C198" s="7">
        <v>2</v>
      </c>
      <c r="D198" s="39" t="s">
        <v>3804</v>
      </c>
      <c r="E198" s="7">
        <v>4083</v>
      </c>
      <c r="F198" s="7" t="s">
        <v>3789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3790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3821</v>
      </c>
      <c r="B199" s="21" t="s">
        <v>3823</v>
      </c>
      <c r="C199" s="7">
        <v>2</v>
      </c>
      <c r="D199" s="39" t="s">
        <v>3806</v>
      </c>
      <c r="E199" s="7">
        <v>4084</v>
      </c>
      <c r="F199" s="7" t="s">
        <v>3789</v>
      </c>
      <c r="G199" s="23">
        <v>159.25</v>
      </c>
      <c r="H199" s="34">
        <f>Tabela1[[#This Row],[PESO UNI]]*Tabela1[[#This Row],[QTE]]</f>
        <v>318.5</v>
      </c>
      <c r="I199" s="7">
        <v>1</v>
      </c>
      <c r="J199" s="8" t="s">
        <v>3790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318.5</v>
      </c>
      <c r="S199" s="18">
        <f t="shared" si="41"/>
        <v>318.5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318.5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318.5</v>
      </c>
      <c r="AV199" s="37">
        <f t="shared" si="39"/>
        <v>318.5</v>
      </c>
      <c r="AW199" s="37"/>
    </row>
    <row r="200" spans="1:49" ht="15.75" hidden="1" customHeight="1" x14ac:dyDescent="0.25">
      <c r="A200" s="6" t="s">
        <v>3821</v>
      </c>
      <c r="B200" s="21" t="s">
        <v>3824</v>
      </c>
      <c r="C200" s="7">
        <v>2</v>
      </c>
      <c r="D200" s="39" t="s">
        <v>3808</v>
      </c>
      <c r="E200" s="7">
        <v>4085</v>
      </c>
      <c r="F200" s="7" t="s">
        <v>3789</v>
      </c>
      <c r="G200" s="23">
        <v>33.409999999999997</v>
      </c>
      <c r="H200" s="34">
        <f>Tabela1[[#This Row],[PESO UNI]]*Tabela1[[#This Row],[QTE]]</f>
        <v>66.819999999999993</v>
      </c>
      <c r="I200" s="7">
        <v>1</v>
      </c>
      <c r="J200" s="8" t="s">
        <v>3790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66.819999999999993</v>
      </c>
      <c r="S200" s="18">
        <f t="shared" si="41"/>
        <v>66.819999999999993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66.819999999999993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66.819999999999993</v>
      </c>
      <c r="AV200" s="37">
        <f t="shared" si="39"/>
        <v>66.819999999999993</v>
      </c>
      <c r="AW200" s="37"/>
    </row>
    <row r="201" spans="1:49" ht="15.75" hidden="1" customHeight="1" x14ac:dyDescent="0.25">
      <c r="A201" s="6" t="s">
        <v>3821</v>
      </c>
      <c r="B201" s="21" t="s">
        <v>3825</v>
      </c>
      <c r="C201" s="7">
        <v>2</v>
      </c>
      <c r="D201" s="39" t="s">
        <v>3808</v>
      </c>
      <c r="E201" s="7">
        <v>4086</v>
      </c>
      <c r="F201" s="7" t="s">
        <v>3789</v>
      </c>
      <c r="G201" s="23">
        <v>23.68</v>
      </c>
      <c r="H201" s="34">
        <f>Tabela1[[#This Row],[PESO UNI]]*Tabela1[[#This Row],[QTE]]</f>
        <v>47.36</v>
      </c>
      <c r="I201" s="7">
        <v>1</v>
      </c>
      <c r="J201" s="8" t="s">
        <v>3790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-2</v>
      </c>
      <c r="R201" s="18">
        <f t="shared" si="33"/>
        <v>47.36</v>
      </c>
      <c r="S201" s="18">
        <f t="shared" si="41"/>
        <v>47.36</v>
      </c>
      <c r="T201" s="19">
        <f t="shared" si="35"/>
        <v>0</v>
      </c>
      <c r="U201" s="206">
        <v>2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47.36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47.36</v>
      </c>
      <c r="AV201" s="37">
        <f t="shared" si="39"/>
        <v>47.36</v>
      </c>
      <c r="AW201" s="37"/>
    </row>
    <row r="202" spans="1:49" ht="15.75" hidden="1" customHeight="1" x14ac:dyDescent="0.25">
      <c r="A202" s="6" t="s">
        <v>3821</v>
      </c>
      <c r="B202" s="21" t="s">
        <v>3826</v>
      </c>
      <c r="C202" s="7">
        <v>6</v>
      </c>
      <c r="D202" s="39" t="s">
        <v>3808</v>
      </c>
      <c r="E202" s="7">
        <v>4087</v>
      </c>
      <c r="F202" s="7" t="s">
        <v>3789</v>
      </c>
      <c r="G202" s="23">
        <v>23.68</v>
      </c>
      <c r="H202" s="34">
        <f>Tabela1[[#This Row],[PESO UNI]]*Tabela1[[#This Row],[QTE]]</f>
        <v>142.07999999999998</v>
      </c>
      <c r="I202" s="7">
        <v>1</v>
      </c>
      <c r="J202" s="8" t="s">
        <v>3790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-6</v>
      </c>
      <c r="R202" s="18">
        <f t="shared" si="33"/>
        <v>142.07999999999998</v>
      </c>
      <c r="S202" s="18">
        <f t="shared" si="41"/>
        <v>142.07999999999998</v>
      </c>
      <c r="T202" s="19">
        <f t="shared" si="35"/>
        <v>0</v>
      </c>
      <c r="U202" s="206">
        <v>6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142.07999999999998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142.07999999999998</v>
      </c>
      <c r="AV202" s="37">
        <f t="shared" si="39"/>
        <v>142.07999999999998</v>
      </c>
      <c r="AW202" s="37"/>
    </row>
    <row r="203" spans="1:49" ht="15.75" hidden="1" customHeight="1" x14ac:dyDescent="0.25">
      <c r="A203" s="6" t="s">
        <v>3821</v>
      </c>
      <c r="B203" s="21" t="s">
        <v>3827</v>
      </c>
      <c r="C203" s="7">
        <v>4</v>
      </c>
      <c r="D203" s="39" t="s">
        <v>3808</v>
      </c>
      <c r="E203" s="7">
        <v>4088</v>
      </c>
      <c r="F203" s="7" t="s">
        <v>3789</v>
      </c>
      <c r="G203" s="23">
        <v>25.94</v>
      </c>
      <c r="H203" s="34">
        <f>Tabela1[[#This Row],[PESO UNI]]*Tabela1[[#This Row],[QTE]]</f>
        <v>103.76</v>
      </c>
      <c r="I203" s="7">
        <v>1</v>
      </c>
      <c r="J203" s="8" t="s">
        <v>3790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103.76</v>
      </c>
      <c r="S203" s="18">
        <f t="shared" si="41"/>
        <v>103.76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103.76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T-072956-1/1073-TC-006/007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103.76</v>
      </c>
      <c r="AV203" s="37">
        <f t="shared" si="39"/>
        <v>103.76</v>
      </c>
      <c r="AW203" s="37"/>
    </row>
    <row r="204" spans="1:49" ht="15.75" hidden="1" customHeight="1" x14ac:dyDescent="0.25">
      <c r="A204" s="6" t="s">
        <v>3828</v>
      </c>
      <c r="B204" s="21" t="s">
        <v>3829</v>
      </c>
      <c r="C204" s="7">
        <v>4</v>
      </c>
      <c r="D204" s="39" t="s">
        <v>3814</v>
      </c>
      <c r="E204" s="7">
        <v>4089</v>
      </c>
      <c r="F204" s="7" t="s">
        <v>3789</v>
      </c>
      <c r="G204" s="23">
        <v>77</v>
      </c>
      <c r="H204" s="34">
        <f>Tabela1[[#This Row],[PESO UNI]]*Tabela1[[#This Row],[QTE]]</f>
        <v>308</v>
      </c>
      <c r="I204" s="7">
        <v>1</v>
      </c>
      <c r="J204" s="8" t="s">
        <v>3790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308</v>
      </c>
      <c r="S204" s="18">
        <f t="shared" si="41"/>
        <v>308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308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308</v>
      </c>
      <c r="AV204" s="37">
        <f t="shared" si="39"/>
        <v>308</v>
      </c>
      <c r="AW204" s="37"/>
    </row>
    <row r="205" spans="1:49" ht="15.75" hidden="1" customHeight="1" x14ac:dyDescent="0.25">
      <c r="A205" s="6" t="s">
        <v>3828</v>
      </c>
      <c r="B205" s="21" t="s">
        <v>3830</v>
      </c>
      <c r="C205" s="7">
        <v>4</v>
      </c>
      <c r="D205" s="39" t="s">
        <v>3816</v>
      </c>
      <c r="E205" s="7">
        <v>4090</v>
      </c>
      <c r="F205" s="7" t="s">
        <v>3789</v>
      </c>
      <c r="G205" s="23">
        <v>85</v>
      </c>
      <c r="H205" s="34">
        <f>Tabela1[[#This Row],[PESO UNI]]*Tabela1[[#This Row],[QTE]]</f>
        <v>340</v>
      </c>
      <c r="I205" s="7">
        <v>1</v>
      </c>
      <c r="J205" s="8" t="s">
        <v>3790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340</v>
      </c>
      <c r="S205" s="18">
        <f t="shared" si="41"/>
        <v>340</v>
      </c>
      <c r="T205" s="19">
        <f t="shared" si="35"/>
        <v>0</v>
      </c>
      <c r="U205" s="206">
        <v>4</v>
      </c>
      <c r="V205" s="12" t="str">
        <f>IFERROR(VLOOKUP(Tabela1[[#This Row],[COD.MDE]],'LISTA DE EMBARQUE'!B:L,11,0),"")</f>
        <v/>
      </c>
      <c r="W205" s="13"/>
      <c r="X205" s="14">
        <f>IFERROR(Tabela1[[#This Row],[QIANTIDADE EXPEDIDA]]*Tabela1[[#This Row],[PESO UNI]],"")</f>
        <v>340</v>
      </c>
      <c r="Y205" s="14">
        <f t="shared" si="40"/>
        <v>0</v>
      </c>
      <c r="Z205" s="20">
        <f>Tabela1[[#This Row],[PESO TOTAL]]-Tabela1[[#This Row],[Peso Expedido]]</f>
        <v>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>
        <v>1</v>
      </c>
      <c r="AI205" s="33" t="str">
        <f t="shared" si="37"/>
        <v>ok</v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0</v>
      </c>
      <c r="AU205" s="37">
        <f t="shared" si="38"/>
        <v>340</v>
      </c>
      <c r="AV205" s="37">
        <f t="shared" si="39"/>
        <v>340</v>
      </c>
      <c r="AW205" s="37"/>
    </row>
    <row r="206" spans="1:49" ht="15.75" hidden="1" customHeight="1" x14ac:dyDescent="0.25">
      <c r="A206" s="6" t="s">
        <v>3828</v>
      </c>
      <c r="B206" s="21" t="s">
        <v>3831</v>
      </c>
      <c r="C206" s="7">
        <v>4</v>
      </c>
      <c r="D206" s="39" t="s">
        <v>3818</v>
      </c>
      <c r="E206" s="7">
        <v>4091</v>
      </c>
      <c r="F206" s="7" t="s">
        <v>3789</v>
      </c>
      <c r="G206" s="23">
        <v>50</v>
      </c>
      <c r="H206" s="34">
        <f>Tabela1[[#This Row],[PESO UNI]]*Tabela1[[#This Row],[QTE]]</f>
        <v>200</v>
      </c>
      <c r="I206" s="7">
        <v>1</v>
      </c>
      <c r="J206" s="8" t="s">
        <v>3790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-4</v>
      </c>
      <c r="R206" s="18">
        <f t="shared" si="33"/>
        <v>200</v>
      </c>
      <c r="S206" s="18">
        <f t="shared" si="41"/>
        <v>200</v>
      </c>
      <c r="T206" s="19">
        <f t="shared" si="35"/>
        <v>0</v>
      </c>
      <c r="U206" s="16">
        <f>IFERROR(SUMIF('LISTA DE EMBARQUE'!B:B,MICRO!E:E,'LISTA DE EMBARQUE'!G:G),"")</f>
        <v>0</v>
      </c>
      <c r="V206" s="12" t="str">
        <f>IFERROR(VLOOKUP(Tabela1[[#This Row],[COD.MDE]],'LISTA DE EMBARQUE'!B:L,11,0),"")</f>
        <v/>
      </c>
      <c r="W206" s="13" t="str">
        <f>IFERROR(VLOOKUP(Tabela1[[#This Row],[COD.MDE]],'LISTA DE EMBARQUE'!B:M,12,0),"")</f>
        <v/>
      </c>
      <c r="X206" s="14">
        <f>IFERROR(Tabela1[[#This Row],[QIANTIDADE EXPEDIDA]]*Tabela1[[#This Row],[PESO UNI]],"")</f>
        <v>0</v>
      </c>
      <c r="Y206" s="14">
        <f t="shared" si="40"/>
        <v>-4</v>
      </c>
      <c r="Z206" s="20">
        <f>Tabela1[[#This Row],[PESO TOTAL]]-Tabela1[[#This Row],[Peso Expedido]]</f>
        <v>200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/>
      <c r="AI206" s="33" t="str">
        <f t="shared" si="37"/>
        <v/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T-072957-1/1073-TC-006/007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200</v>
      </c>
      <c r="AU206" s="37">
        <f t="shared" si="38"/>
        <v>0</v>
      </c>
      <c r="AV206" s="37">
        <f t="shared" si="39"/>
        <v>200</v>
      </c>
      <c r="AW206" s="37"/>
    </row>
    <row r="207" spans="1:49" ht="15.75" hidden="1" customHeight="1" x14ac:dyDescent="0.25">
      <c r="A207" s="6" t="s">
        <v>3832</v>
      </c>
      <c r="B207" s="21" t="s">
        <v>3833</v>
      </c>
      <c r="C207" s="7">
        <v>2</v>
      </c>
      <c r="D207" s="39" t="s">
        <v>3814</v>
      </c>
      <c r="E207" s="7">
        <v>4092</v>
      </c>
      <c r="F207" s="7" t="s">
        <v>3789</v>
      </c>
      <c r="G207" s="23">
        <v>81.680000000000007</v>
      </c>
      <c r="H207" s="34">
        <f>Tabela1[[#This Row],[PESO UNI]]*Tabela1[[#This Row],[QTE]]</f>
        <v>163.36000000000001</v>
      </c>
      <c r="I207" s="7">
        <v>0</v>
      </c>
      <c r="J207" s="8" t="s">
        <v>3790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163.36000000000001</v>
      </c>
      <c r="S207" s="18">
        <f t="shared" si="41"/>
        <v>163.36000000000001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163.36000000000001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163.36000000000001</v>
      </c>
      <c r="AV207" s="37">
        <f t="shared" si="39"/>
        <v>163.36000000000001</v>
      </c>
      <c r="AW207" s="37"/>
    </row>
    <row r="208" spans="1:49" ht="15.75" hidden="1" customHeight="1" x14ac:dyDescent="0.25">
      <c r="A208" s="6" t="s">
        <v>3832</v>
      </c>
      <c r="B208" s="21" t="s">
        <v>3834</v>
      </c>
      <c r="C208" s="7">
        <v>2</v>
      </c>
      <c r="D208" s="39" t="s">
        <v>3816</v>
      </c>
      <c r="E208" s="7">
        <v>4093</v>
      </c>
      <c r="F208" s="7" t="s">
        <v>3789</v>
      </c>
      <c r="G208" s="23">
        <v>83.17</v>
      </c>
      <c r="H208" s="34">
        <f>Tabela1[[#This Row],[PESO UNI]]*Tabela1[[#This Row],[QTE]]</f>
        <v>166.34</v>
      </c>
      <c r="I208" s="7">
        <v>0</v>
      </c>
      <c r="J208" s="8" t="s">
        <v>3790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166.34</v>
      </c>
      <c r="S208" s="18">
        <f t="shared" si="41"/>
        <v>166.34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166.34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166.34</v>
      </c>
      <c r="AV208" s="37">
        <f t="shared" si="39"/>
        <v>166.34</v>
      </c>
      <c r="AW208" s="37"/>
    </row>
    <row r="209" spans="1:49" ht="15.75" hidden="1" customHeight="1" x14ac:dyDescent="0.25">
      <c r="A209" s="6" t="s">
        <v>3832</v>
      </c>
      <c r="B209" s="21" t="s">
        <v>3835</v>
      </c>
      <c r="C209" s="7">
        <v>2</v>
      </c>
      <c r="D209" s="39" t="s">
        <v>3818</v>
      </c>
      <c r="E209" s="7">
        <v>4094</v>
      </c>
      <c r="F209" s="7" t="s">
        <v>3789</v>
      </c>
      <c r="G209" s="23">
        <v>115.1</v>
      </c>
      <c r="H209" s="34">
        <f>Tabela1[[#This Row],[PESO UNI]]*Tabela1[[#This Row],[QTE]]</f>
        <v>230.2</v>
      </c>
      <c r="I209" s="7">
        <v>0</v>
      </c>
      <c r="J209" s="8" t="s">
        <v>3790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230.2</v>
      </c>
      <c r="S209" s="18">
        <f t="shared" si="41"/>
        <v>230.2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230.2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230.2</v>
      </c>
      <c r="AV209" s="37">
        <f t="shared" si="39"/>
        <v>230.2</v>
      </c>
      <c r="AW209" s="37"/>
    </row>
    <row r="210" spans="1:49" ht="15.75" hidden="1" customHeight="1" x14ac:dyDescent="0.25">
      <c r="A210" s="6" t="s">
        <v>3832</v>
      </c>
      <c r="B210" s="21" t="s">
        <v>3836</v>
      </c>
      <c r="C210" s="7">
        <v>2</v>
      </c>
      <c r="D210" s="39" t="s">
        <v>3820</v>
      </c>
      <c r="E210" s="7">
        <v>4095</v>
      </c>
      <c r="F210" s="7" t="s">
        <v>3789</v>
      </c>
      <c r="G210" s="23">
        <v>44.32</v>
      </c>
      <c r="H210" s="34">
        <f>Tabela1[[#This Row],[PESO UNI]]*Tabela1[[#This Row],[QTE]]</f>
        <v>88.64</v>
      </c>
      <c r="I210" s="7">
        <v>0</v>
      </c>
      <c r="J210" s="8" t="s">
        <v>3790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88.64</v>
      </c>
      <c r="S210" s="18">
        <f t="shared" si="41"/>
        <v>88.64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88.64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T-072960-1/1073-TC-006/007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88.64</v>
      </c>
      <c r="AV210" s="37">
        <f t="shared" si="39"/>
        <v>88.64</v>
      </c>
      <c r="AW210" s="37"/>
    </row>
    <row r="211" spans="1:49" ht="15.75" hidden="1" customHeight="1" x14ac:dyDescent="0.25">
      <c r="A211" s="6" t="s">
        <v>3837</v>
      </c>
      <c r="B211" s="21" t="s">
        <v>3838</v>
      </c>
      <c r="C211" s="7">
        <v>2</v>
      </c>
      <c r="D211" s="39" t="s">
        <v>3814</v>
      </c>
      <c r="E211" s="7">
        <v>4096</v>
      </c>
      <c r="F211" s="7" t="s">
        <v>3789</v>
      </c>
      <c r="G211" s="23">
        <v>101.75</v>
      </c>
      <c r="H211" s="34">
        <f>Tabela1[[#This Row],[PESO UNI]]*Tabela1[[#This Row],[QTE]]</f>
        <v>203.5</v>
      </c>
      <c r="I211" s="7">
        <v>0</v>
      </c>
      <c r="J211" s="8" t="s">
        <v>3790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-2</v>
      </c>
      <c r="R211" s="18">
        <f t="shared" si="33"/>
        <v>203.5</v>
      </c>
      <c r="S211" s="18">
        <f t="shared" si="41"/>
        <v>203.5</v>
      </c>
      <c r="T211" s="19">
        <f t="shared" si="35"/>
        <v>0</v>
      </c>
      <c r="U211" s="206">
        <v>2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203.5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203.5</v>
      </c>
      <c r="AV211" s="37">
        <f t="shared" si="39"/>
        <v>203.5</v>
      </c>
      <c r="AW211" s="37"/>
    </row>
    <row r="212" spans="1:49" ht="15.75" hidden="1" customHeight="1" x14ac:dyDescent="0.25">
      <c r="A212" s="6" t="s">
        <v>3837</v>
      </c>
      <c r="B212" s="21" t="s">
        <v>3839</v>
      </c>
      <c r="C212" s="7">
        <v>4</v>
      </c>
      <c r="D212" s="39" t="s">
        <v>3816</v>
      </c>
      <c r="E212" s="7">
        <v>4097</v>
      </c>
      <c r="F212" s="7" t="s">
        <v>3789</v>
      </c>
      <c r="G212" s="23">
        <v>31.39</v>
      </c>
      <c r="H212" s="34">
        <f>Tabela1[[#This Row],[PESO UNI]]*Tabela1[[#This Row],[QTE]]</f>
        <v>125.56</v>
      </c>
      <c r="I212" s="7">
        <v>0</v>
      </c>
      <c r="J212" s="8" t="s">
        <v>3790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-4</v>
      </c>
      <c r="R212" s="18">
        <f t="shared" si="33"/>
        <v>125.56</v>
      </c>
      <c r="S212" s="18">
        <f t="shared" si="41"/>
        <v>125.56</v>
      </c>
      <c r="T212" s="19">
        <f t="shared" si="35"/>
        <v>0</v>
      </c>
      <c r="U212" s="206">
        <v>4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125.56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125.56</v>
      </c>
      <c r="AV212" s="37">
        <f t="shared" si="39"/>
        <v>125.56</v>
      </c>
      <c r="AW212" s="37"/>
    </row>
    <row r="213" spans="1:49" ht="15.75" hidden="1" customHeight="1" x14ac:dyDescent="0.25">
      <c r="A213" s="6" t="s">
        <v>3837</v>
      </c>
      <c r="B213" s="21" t="s">
        <v>3840</v>
      </c>
      <c r="C213" s="7">
        <v>2</v>
      </c>
      <c r="D213" s="39" t="s">
        <v>3818</v>
      </c>
      <c r="E213" s="7">
        <v>4098</v>
      </c>
      <c r="F213" s="7" t="s">
        <v>3789</v>
      </c>
      <c r="G213" s="23">
        <v>62.12</v>
      </c>
      <c r="H213" s="34">
        <f>Tabela1[[#This Row],[PESO UNI]]*Tabela1[[#This Row],[QTE]]</f>
        <v>124.24</v>
      </c>
      <c r="I213" s="7">
        <v>0</v>
      </c>
      <c r="J213" s="8" t="s">
        <v>3790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124.24</v>
      </c>
      <c r="S213" s="18">
        <f t="shared" si="41"/>
        <v>124.24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124.24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124.24</v>
      </c>
      <c r="AV213" s="37">
        <f t="shared" si="39"/>
        <v>124.24</v>
      </c>
      <c r="AW213" s="37"/>
    </row>
    <row r="214" spans="1:49" ht="15.75" hidden="1" customHeight="1" x14ac:dyDescent="0.25">
      <c r="A214" s="6" t="s">
        <v>3837</v>
      </c>
      <c r="B214" s="21" t="s">
        <v>3841</v>
      </c>
      <c r="C214" s="7">
        <v>2</v>
      </c>
      <c r="D214" s="39" t="s">
        <v>3820</v>
      </c>
      <c r="E214" s="7">
        <v>4099</v>
      </c>
      <c r="F214" s="7" t="s">
        <v>3789</v>
      </c>
      <c r="G214" s="23">
        <v>40.82</v>
      </c>
      <c r="H214" s="34">
        <f>Tabela1[[#This Row],[PESO UNI]]*Tabela1[[#This Row],[QTE]]</f>
        <v>81.64</v>
      </c>
      <c r="I214" s="7">
        <v>0</v>
      </c>
      <c r="J214" s="8" t="s">
        <v>3790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81.64</v>
      </c>
      <c r="S214" s="18">
        <f t="shared" si="41"/>
        <v>81.64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81.64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T-072964-1/1073-TC-006/007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81.64</v>
      </c>
      <c r="AV214" s="37">
        <f t="shared" si="39"/>
        <v>81.64</v>
      </c>
      <c r="AW214" s="37"/>
    </row>
    <row r="215" spans="1:49" ht="15.75" hidden="1" customHeight="1" x14ac:dyDescent="0.25">
      <c r="A215" s="6" t="s">
        <v>3842</v>
      </c>
      <c r="B215" s="21" t="s">
        <v>3843</v>
      </c>
      <c r="C215" s="7">
        <v>2</v>
      </c>
      <c r="D215" s="39" t="s">
        <v>3844</v>
      </c>
      <c r="E215" s="7">
        <v>4100</v>
      </c>
      <c r="F215" s="7" t="s">
        <v>3789</v>
      </c>
      <c r="G215" s="23">
        <v>39.380000000000003</v>
      </c>
      <c r="H215" s="34">
        <f>Tabela1[[#This Row],[PESO UNI]]*Tabela1[[#This Row],[QTE]]</f>
        <v>78.760000000000005</v>
      </c>
      <c r="I215" s="7">
        <v>2</v>
      </c>
      <c r="J215" s="8" t="s">
        <v>3790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-2</v>
      </c>
      <c r="R215" s="18">
        <f t="shared" si="33"/>
        <v>78.760000000000005</v>
      </c>
      <c r="S215" s="18">
        <f t="shared" si="41"/>
        <v>78.760000000000005</v>
      </c>
      <c r="T215" s="19">
        <f t="shared" si="35"/>
        <v>0</v>
      </c>
      <c r="U215" s="206">
        <v>2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78.760000000000005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78.760000000000005</v>
      </c>
      <c r="AV215" s="37">
        <f t="shared" si="39"/>
        <v>78.760000000000005</v>
      </c>
      <c r="AW215" s="37"/>
    </row>
    <row r="216" spans="1:49" ht="15.75" hidden="1" customHeight="1" x14ac:dyDescent="0.25">
      <c r="A216" s="6" t="s">
        <v>3842</v>
      </c>
      <c r="B216" s="21" t="s">
        <v>3845</v>
      </c>
      <c r="C216" s="7">
        <v>4</v>
      </c>
      <c r="D216" s="39" t="s">
        <v>3846</v>
      </c>
      <c r="E216" s="7">
        <v>4101</v>
      </c>
      <c r="F216" s="7" t="s">
        <v>3789</v>
      </c>
      <c r="G216" s="23">
        <v>39.78</v>
      </c>
      <c r="H216" s="34">
        <f>Tabela1[[#This Row],[PESO UNI]]*Tabela1[[#This Row],[QTE]]</f>
        <v>159.12</v>
      </c>
      <c r="I216" s="7">
        <v>2</v>
      </c>
      <c r="J216" s="8" t="s">
        <v>3790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159.12</v>
      </c>
      <c r="S216" s="18">
        <f t="shared" si="41"/>
        <v>159.12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159.12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159.12</v>
      </c>
      <c r="AV216" s="37">
        <f t="shared" si="39"/>
        <v>159.12</v>
      </c>
      <c r="AW216" s="37"/>
    </row>
    <row r="217" spans="1:49" ht="15.75" hidden="1" customHeight="1" x14ac:dyDescent="0.25">
      <c r="A217" s="6" t="s">
        <v>3842</v>
      </c>
      <c r="B217" s="21" t="s">
        <v>3847</v>
      </c>
      <c r="C217" s="7">
        <v>4</v>
      </c>
      <c r="D217" s="39" t="s">
        <v>3848</v>
      </c>
      <c r="E217" s="7">
        <v>4102</v>
      </c>
      <c r="F217" s="7" t="s">
        <v>3789</v>
      </c>
      <c r="G217" s="23">
        <v>134.97999999999999</v>
      </c>
      <c r="H217" s="34">
        <f>Tabela1[[#This Row],[PESO UNI]]*Tabela1[[#This Row],[QTE]]</f>
        <v>539.91999999999996</v>
      </c>
      <c r="I217" s="7">
        <v>2</v>
      </c>
      <c r="J217" s="8" t="s">
        <v>3790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si="33"/>
        <v>539.91999999999996</v>
      </c>
      <c r="S217" s="18">
        <f t="shared" si="41"/>
        <v>539.91999999999996</v>
      </c>
      <c r="T217" s="19">
        <f t="shared" si="35"/>
        <v>0</v>
      </c>
      <c r="U217" s="206">
        <v>4</v>
      </c>
      <c r="V217" s="12" t="str">
        <f>IFERROR(VLOOKUP(Tabela1[[#This Row],[COD.MDE]],'LISTA DE EMBARQUE'!B:L,11,0),"")</f>
        <v/>
      </c>
      <c r="W217" s="13"/>
      <c r="X217" s="14">
        <f>IFERROR(Tabela1[[#This Row],[QIANTIDADE EXPEDIDA]]*Tabela1[[#This Row],[PESO UNI]],"")</f>
        <v>539.91999999999996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T-072965-1/1073-TC-006/007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539.91999999999996</v>
      </c>
      <c r="AV217" s="37">
        <f t="shared" si="39"/>
        <v>539.91999999999996</v>
      </c>
      <c r="AW217" s="37"/>
    </row>
    <row r="218" spans="1:49" ht="15.75" hidden="1" customHeight="1" x14ac:dyDescent="0.25">
      <c r="A218" s="6" t="s">
        <v>3849</v>
      </c>
      <c r="B218" s="21" t="s">
        <v>3850</v>
      </c>
      <c r="C218" s="7">
        <v>4</v>
      </c>
      <c r="D218" s="39" t="s">
        <v>3814</v>
      </c>
      <c r="E218" s="7">
        <v>4103</v>
      </c>
      <c r="F218" s="7" t="s">
        <v>3789</v>
      </c>
      <c r="G218" s="23">
        <v>47.47</v>
      </c>
      <c r="H218" s="34">
        <f>Tabela1[[#This Row],[PESO UNI]]*Tabela1[[#This Row],[QTE]]</f>
        <v>189.88</v>
      </c>
      <c r="I218" s="7">
        <v>0</v>
      </c>
      <c r="J218" s="8" t="s">
        <v>3790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-4</v>
      </c>
      <c r="R218" s="18">
        <f t="shared" ref="R218:R281" si="43">IFERROR(H218*((AA218*0.25)+(AC218*0.25)+(AD218*0.225)+(AE218*0.225)+(AF218*0.05)),"")</f>
        <v>189.88</v>
      </c>
      <c r="S218" s="18">
        <f t="shared" si="41"/>
        <v>189.88</v>
      </c>
      <c r="T218" s="19">
        <f t="shared" ref="T218:T281" si="44">IFERROR(S218-H218,"")</f>
        <v>0</v>
      </c>
      <c r="U218" s="206">
        <v>4</v>
      </c>
      <c r="V218" s="12" t="str">
        <f>IFERROR(VLOOKUP(Tabela1[[#This Row],[COD.MDE]],'LISTA DE EMBARQUE'!B:L,11,0),"")</f>
        <v/>
      </c>
      <c r="W218" s="13"/>
      <c r="X218" s="14">
        <f>IFERROR(Tabela1[[#This Row],[QIANTIDADE EXPEDIDA]]*Tabela1[[#This Row],[PESO UNI]],"")</f>
        <v>189.88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189.88</v>
      </c>
      <c r="AV218" s="37">
        <f t="shared" si="39"/>
        <v>189.88</v>
      </c>
      <c r="AW218" s="37"/>
    </row>
    <row r="219" spans="1:49" ht="15.75" hidden="1" customHeight="1" x14ac:dyDescent="0.25">
      <c r="A219" s="6" t="s">
        <v>3849</v>
      </c>
      <c r="B219" s="21" t="s">
        <v>3851</v>
      </c>
      <c r="C219" s="7">
        <v>2</v>
      </c>
      <c r="D219" s="39" t="s">
        <v>3816</v>
      </c>
      <c r="E219" s="7">
        <v>4104</v>
      </c>
      <c r="F219" s="7" t="s">
        <v>3789</v>
      </c>
      <c r="G219" s="23">
        <v>50.82</v>
      </c>
      <c r="H219" s="34">
        <f>Tabela1[[#This Row],[PESO UNI]]*Tabela1[[#This Row],[QTE]]</f>
        <v>101.64</v>
      </c>
      <c r="I219" s="7">
        <v>0</v>
      </c>
      <c r="J219" s="8" t="s">
        <v>3790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101.64</v>
      </c>
      <c r="S219" s="18">
        <f t="shared" si="41"/>
        <v>101.64</v>
      </c>
      <c r="T219" s="19">
        <f t="shared" si="44"/>
        <v>0</v>
      </c>
      <c r="U219" s="206">
        <v>2</v>
      </c>
      <c r="V219" s="12" t="str">
        <f>IFERROR(VLOOKUP(Tabela1[[#This Row],[COD.MDE]],'LISTA DE EMBARQUE'!B:L,11,0),"")</f>
        <v/>
      </c>
      <c r="W219" s="13"/>
      <c r="X219" s="14">
        <f>IFERROR(Tabela1[[#This Row],[QIANTIDADE EXPEDIDA]]*Tabela1[[#This Row],[PESO UNI]],"")</f>
        <v>101.64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si="37"/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101.64</v>
      </c>
      <c r="AV219" s="37">
        <f t="shared" si="39"/>
        <v>101.64</v>
      </c>
      <c r="AW219" s="37"/>
    </row>
    <row r="220" spans="1:49" ht="15.75" hidden="1" customHeight="1" x14ac:dyDescent="0.25">
      <c r="A220" s="6" t="s">
        <v>3849</v>
      </c>
      <c r="B220" s="21" t="s">
        <v>3852</v>
      </c>
      <c r="C220" s="7">
        <v>2</v>
      </c>
      <c r="D220" s="39" t="s">
        <v>3818</v>
      </c>
      <c r="E220" s="7">
        <v>4105</v>
      </c>
      <c r="F220" s="7" t="s">
        <v>3789</v>
      </c>
      <c r="G220" s="23">
        <v>55.81</v>
      </c>
      <c r="H220" s="34">
        <f>Tabela1[[#This Row],[PESO UNI]]*Tabela1[[#This Row],[QTE]]</f>
        <v>111.62</v>
      </c>
      <c r="I220" s="7">
        <v>0</v>
      </c>
      <c r="J220" s="8" t="s">
        <v>3790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111.62</v>
      </c>
      <c r="S220" s="18">
        <f t="shared" si="41"/>
        <v>111.62</v>
      </c>
      <c r="T220" s="19">
        <f t="shared" si="44"/>
        <v>0</v>
      </c>
      <c r="U220" s="206">
        <v>2</v>
      </c>
      <c r="V220" s="12" t="str">
        <f>IFERROR(VLOOKUP(Tabela1[[#This Row],[COD.MDE]],'LISTA DE EMBARQUE'!B:L,11,0),"")</f>
        <v/>
      </c>
      <c r="W220" s="13"/>
      <c r="X220" s="14">
        <f>IFERROR(Tabela1[[#This Row],[QIANTIDADE EXPEDIDA]]*Tabela1[[#This Row],[PESO UNI]],"")</f>
        <v>111.62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ref="AI220:AI283" si="45">IF(Z220&lt;=0,"ok","")</f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111.62</v>
      </c>
      <c r="AV220" s="37">
        <f t="shared" si="39"/>
        <v>111.62</v>
      </c>
      <c r="AW220" s="37"/>
    </row>
    <row r="221" spans="1:49" ht="15.75" hidden="1" customHeight="1" x14ac:dyDescent="0.25">
      <c r="A221" s="6" t="s">
        <v>3849</v>
      </c>
      <c r="B221" s="21" t="s">
        <v>3853</v>
      </c>
      <c r="C221" s="7">
        <v>2</v>
      </c>
      <c r="D221" s="39" t="s">
        <v>3820</v>
      </c>
      <c r="E221" s="7">
        <v>4106</v>
      </c>
      <c r="F221" s="7" t="s">
        <v>3789</v>
      </c>
      <c r="G221" s="23">
        <v>78.33</v>
      </c>
      <c r="H221" s="34">
        <f>Tabela1[[#This Row],[PESO UNI]]*Tabela1[[#This Row],[QTE]]</f>
        <v>156.66</v>
      </c>
      <c r="I221" s="7">
        <v>0</v>
      </c>
      <c r="J221" s="8" t="s">
        <v>3790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156.66</v>
      </c>
      <c r="S221" s="18">
        <f t="shared" si="41"/>
        <v>156.66</v>
      </c>
      <c r="T221" s="19">
        <f t="shared" si="44"/>
        <v>0</v>
      </c>
      <c r="U221" s="206">
        <v>2</v>
      </c>
      <c r="V221" s="12" t="str">
        <f>IFERROR(VLOOKUP(Tabela1[[#This Row],[COD.MDE]],'LISTA DE EMBARQUE'!B:L,11,0),"")</f>
        <v/>
      </c>
      <c r="W221" s="13"/>
      <c r="X221" s="14">
        <f>IFERROR(Tabela1[[#This Row],[QIANTIDADE EXPEDIDA]]*Tabela1[[#This Row],[PESO UNI]],"")</f>
        <v>156.66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156.66</v>
      </c>
      <c r="AV221" s="37">
        <f t="shared" si="39"/>
        <v>156.66</v>
      </c>
      <c r="AW221" s="37"/>
    </row>
    <row r="222" spans="1:49" ht="15.75" hidden="1" customHeight="1" x14ac:dyDescent="0.25">
      <c r="A222" s="6" t="s">
        <v>3849</v>
      </c>
      <c r="B222" s="21" t="s">
        <v>3854</v>
      </c>
      <c r="C222" s="7">
        <v>2</v>
      </c>
      <c r="D222" s="39" t="s">
        <v>3844</v>
      </c>
      <c r="E222" s="7">
        <v>4107</v>
      </c>
      <c r="F222" s="7" t="s">
        <v>3789</v>
      </c>
      <c r="G222" s="23">
        <v>75.52</v>
      </c>
      <c r="H222" s="34">
        <f>Tabela1[[#This Row],[PESO UNI]]*Tabela1[[#This Row],[QTE]]</f>
        <v>151.04</v>
      </c>
      <c r="I222" s="7">
        <v>0</v>
      </c>
      <c r="J222" s="8" t="s">
        <v>3790</v>
      </c>
      <c r="K222" s="8" t="s">
        <v>327</v>
      </c>
      <c r="L222" s="9" t="s">
        <v>2069</v>
      </c>
      <c r="M222" s="10">
        <v>46127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151.04</v>
      </c>
      <c r="S222" s="18">
        <f t="shared" si="41"/>
        <v>151.04</v>
      </c>
      <c r="T222" s="19">
        <f t="shared" si="44"/>
        <v>0</v>
      </c>
      <c r="U222" s="206">
        <v>2</v>
      </c>
      <c r="V222" s="12" t="str">
        <f>IFERROR(VLOOKUP(Tabela1[[#This Row],[COD.MDE]],'LISTA DE EMBARQUE'!B:L,11,0),"")</f>
        <v/>
      </c>
      <c r="W222" s="13"/>
      <c r="X222" s="14">
        <f>IFERROR(Tabela1[[#This Row],[QIANTIDADE EXPEDIDA]]*Tabela1[[#This Row],[PESO UNI]],"")</f>
        <v>151.04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T-072966-1/1073-TC-006/007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151.04</v>
      </c>
      <c r="AV222" s="37">
        <f t="shared" si="39"/>
        <v>151.04</v>
      </c>
      <c r="AW222" s="37"/>
    </row>
    <row r="223" spans="1:49" ht="15.75" hidden="1" customHeight="1" x14ac:dyDescent="0.25">
      <c r="A223" s="6" t="s">
        <v>3855</v>
      </c>
      <c r="B223" s="21" t="s">
        <v>3856</v>
      </c>
      <c r="C223" s="7">
        <v>2</v>
      </c>
      <c r="D223" s="39" t="s">
        <v>3857</v>
      </c>
      <c r="E223" s="7">
        <v>4108</v>
      </c>
      <c r="F223" s="7" t="s">
        <v>3789</v>
      </c>
      <c r="G223" s="23">
        <v>175.04</v>
      </c>
      <c r="H223" s="34">
        <f>Tabela1[[#This Row],[PESO UNI]]*Tabela1[[#This Row],[QTE]]</f>
        <v>350.08</v>
      </c>
      <c r="I223" s="7">
        <v>1</v>
      </c>
      <c r="J223" s="8" t="s">
        <v>3790</v>
      </c>
      <c r="K223" s="8" t="s">
        <v>327</v>
      </c>
      <c r="L223" s="9" t="s">
        <v>2069</v>
      </c>
      <c r="M223" s="10">
        <v>46153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350.08</v>
      </c>
      <c r="S223" s="18">
        <f t="shared" si="41"/>
        <v>350.08</v>
      </c>
      <c r="T223" s="19">
        <f t="shared" si="44"/>
        <v>0</v>
      </c>
      <c r="U223" s="16">
        <f>IFERROR(SUMIF('LISTA DE EMBARQUE'!B:B,MICRO!E:E,'LISTA DE EMBARQUE'!G:G),"")</f>
        <v>0</v>
      </c>
      <c r="V223" s="12" t="str">
        <f>IFERROR(VLOOKUP(Tabela1[[#This Row],[COD.MDE]],'LISTA DE EMBARQUE'!B:L,11,0),"")</f>
        <v/>
      </c>
      <c r="W223" s="13" t="str">
        <f>IFERROR(VLOOKUP(Tabela1[[#This Row],[COD.MDE]],'LISTA DE EMBARQUE'!B:M,12,0),"")</f>
        <v/>
      </c>
      <c r="X223" s="14">
        <f>IFERROR(Tabela1[[#This Row],[QIANTIDADE EXPEDIDA]]*Tabela1[[#This Row],[PESO UNI]],"")</f>
        <v>0</v>
      </c>
      <c r="Y223" s="14">
        <f t="shared" si="40"/>
        <v>-2</v>
      </c>
      <c r="Z223" s="20">
        <f>Tabela1[[#This Row],[PESO TOTAL]]-Tabela1[[#This Row],[Peso Expedido]]</f>
        <v>350.08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/>
      <c r="AI223" s="33" t="str">
        <f t="shared" si="45"/>
        <v/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T-072963-1/1073-TC-006/007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350.08</v>
      </c>
      <c r="AU223" s="37">
        <f t="shared" si="38"/>
        <v>0</v>
      </c>
      <c r="AV223" s="37">
        <f t="shared" si="39"/>
        <v>350.08</v>
      </c>
      <c r="AW223" s="37"/>
    </row>
    <row r="224" spans="1:49" ht="15.75" hidden="1" customHeight="1" x14ac:dyDescent="0.25">
      <c r="A224" s="6" t="s">
        <v>3858</v>
      </c>
      <c r="B224" s="21" t="s">
        <v>3859</v>
      </c>
      <c r="C224" s="7">
        <v>2</v>
      </c>
      <c r="D224" s="39" t="s">
        <v>3804</v>
      </c>
      <c r="E224" s="7">
        <v>4109</v>
      </c>
      <c r="F224" s="7" t="s">
        <v>3789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3790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3858</v>
      </c>
      <c r="B225" s="21" t="s">
        <v>3860</v>
      </c>
      <c r="C225" s="7">
        <v>2</v>
      </c>
      <c r="D225" s="39" t="s">
        <v>3806</v>
      </c>
      <c r="E225" s="7">
        <v>4110</v>
      </c>
      <c r="F225" s="7" t="s">
        <v>3789</v>
      </c>
      <c r="G225" s="23">
        <v>152.22</v>
      </c>
      <c r="H225" s="34">
        <f>Tabela1[[#This Row],[PESO UNI]]*Tabela1[[#This Row],[QTE]]</f>
        <v>304.44</v>
      </c>
      <c r="I225" s="7">
        <v>0</v>
      </c>
      <c r="J225" s="8" t="s">
        <v>3790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-2</v>
      </c>
      <c r="R225" s="18">
        <f t="shared" si="43"/>
        <v>304.44</v>
      </c>
      <c r="S225" s="18">
        <f t="shared" si="41"/>
        <v>304.44</v>
      </c>
      <c r="T225" s="19">
        <f t="shared" si="44"/>
        <v>0</v>
      </c>
      <c r="U225" s="206">
        <v>2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304.44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304.44</v>
      </c>
      <c r="AV225" s="37">
        <f t="shared" si="39"/>
        <v>304.44</v>
      </c>
      <c r="AW225" s="37"/>
    </row>
    <row r="226" spans="1:49" ht="15.75" hidden="1" customHeight="1" x14ac:dyDescent="0.25">
      <c r="A226" s="6" t="s">
        <v>3858</v>
      </c>
      <c r="B226" s="21" t="s">
        <v>3861</v>
      </c>
      <c r="C226" s="7">
        <v>10</v>
      </c>
      <c r="D226" s="39" t="s">
        <v>3808</v>
      </c>
      <c r="E226" s="7">
        <v>4111</v>
      </c>
      <c r="F226" s="7" t="s">
        <v>3789</v>
      </c>
      <c r="G226" s="23">
        <v>27.9</v>
      </c>
      <c r="H226" s="34">
        <f>Tabela1[[#This Row],[PESO UNI]]*Tabela1[[#This Row],[QTE]]</f>
        <v>279</v>
      </c>
      <c r="I226" s="7">
        <v>0</v>
      </c>
      <c r="J226" s="8" t="s">
        <v>3790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-10</v>
      </c>
      <c r="R226" s="18">
        <f t="shared" si="43"/>
        <v>279</v>
      </c>
      <c r="S226" s="18">
        <f t="shared" si="41"/>
        <v>279</v>
      </c>
      <c r="T226" s="19">
        <f t="shared" si="44"/>
        <v>0</v>
      </c>
      <c r="U226" s="206">
        <v>10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279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279</v>
      </c>
      <c r="AV226" s="37">
        <f t="shared" si="39"/>
        <v>279</v>
      </c>
      <c r="AW226" s="37"/>
    </row>
    <row r="227" spans="1:49" ht="15.75" hidden="1" customHeight="1" x14ac:dyDescent="0.25">
      <c r="A227" s="6" t="s">
        <v>3858</v>
      </c>
      <c r="B227" s="21" t="s">
        <v>3862</v>
      </c>
      <c r="C227" s="7">
        <v>2</v>
      </c>
      <c r="D227" s="39" t="s">
        <v>3808</v>
      </c>
      <c r="E227" s="7">
        <v>4112</v>
      </c>
      <c r="F227" s="7" t="s">
        <v>3789</v>
      </c>
      <c r="G227" s="23">
        <v>25.02</v>
      </c>
      <c r="H227" s="34">
        <f>Tabela1[[#This Row],[PESO UNI]]*Tabela1[[#This Row],[QTE]]</f>
        <v>50.04</v>
      </c>
      <c r="I227" s="7">
        <v>0</v>
      </c>
      <c r="J227" s="8" t="s">
        <v>3790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50.04</v>
      </c>
      <c r="S227" s="18">
        <f t="shared" si="41"/>
        <v>50.04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50.04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50.04</v>
      </c>
      <c r="AV227" s="37">
        <f t="shared" si="39"/>
        <v>50.04</v>
      </c>
      <c r="AW227" s="37"/>
    </row>
    <row r="228" spans="1:49" ht="15.75" hidden="1" customHeight="1" x14ac:dyDescent="0.25">
      <c r="A228" s="6" t="s">
        <v>3858</v>
      </c>
      <c r="B228" s="21" t="s">
        <v>3863</v>
      </c>
      <c r="C228" s="7">
        <v>2</v>
      </c>
      <c r="D228" s="39" t="s">
        <v>3808</v>
      </c>
      <c r="E228" s="7">
        <v>4113</v>
      </c>
      <c r="F228" s="7" t="s">
        <v>3789</v>
      </c>
      <c r="G228" s="23">
        <v>23.68</v>
      </c>
      <c r="H228" s="34">
        <f>Tabela1[[#This Row],[PESO UNI]]*Tabela1[[#This Row],[QTE]]</f>
        <v>47.36</v>
      </c>
      <c r="I228" s="7">
        <v>0</v>
      </c>
      <c r="J228" s="8" t="s">
        <v>3790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47.36</v>
      </c>
      <c r="S228" s="18">
        <f t="shared" si="41"/>
        <v>47.36</v>
      </c>
      <c r="T228" s="19">
        <f t="shared" si="44"/>
        <v>0</v>
      </c>
      <c r="U228" s="206">
        <v>2</v>
      </c>
      <c r="V228" s="12" t="str">
        <f>IFERROR(VLOOKUP(Tabela1[[#This Row],[COD.MDE]],'LISTA DE EMBARQUE'!B:L,11,0),"")</f>
        <v/>
      </c>
      <c r="W228" s="13"/>
      <c r="X228" s="14">
        <f>IFERROR(Tabela1[[#This Row],[QIANTIDADE EXPEDIDA]]*Tabela1[[#This Row],[PESO UNI]],"")</f>
        <v>47.36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T-072959-1/1073-TC-006/007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si="38"/>
        <v>47.36</v>
      </c>
      <c r="AV228" s="37">
        <f t="shared" si="39"/>
        <v>47.36</v>
      </c>
      <c r="AW228" s="37"/>
    </row>
    <row r="229" spans="1:49" ht="15.75" hidden="1" customHeight="1" x14ac:dyDescent="0.25">
      <c r="A229" s="6" t="s">
        <v>3864</v>
      </c>
      <c r="B229" s="21" t="s">
        <v>3865</v>
      </c>
      <c r="C229" s="7">
        <v>2</v>
      </c>
      <c r="D229" s="39" t="s">
        <v>3804</v>
      </c>
      <c r="E229" s="7">
        <v>4114</v>
      </c>
      <c r="F229" s="7" t="s">
        <v>3789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3790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 t="str">
        <f>IFERROR(VLOOKUP(Tabela1[[#This Row],[COD.MDE]],'LISTA DE EMBARQUE'!B:L,11,0),"")</f>
        <v/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ref="AU229:AU292" si="46">IF(AH229="",0,IF(ISTEXT(AH229),H229*VALUE(SUBSTITUTE(AH229,"%",""))/100,H229*AH229))</f>
        <v>245.96</v>
      </c>
      <c r="AV229" s="37">
        <f t="shared" ref="AV229:AV292" si="47">IF(AG229="",0,IF(ISTEXT(AG229),H229*VALUE(SUBSTITUTE(AG229,"%",""))/100,H229*AG229))</f>
        <v>245.96</v>
      </c>
      <c r="AW229" s="37"/>
    </row>
    <row r="230" spans="1:49" ht="15.75" hidden="1" customHeight="1" x14ac:dyDescent="0.25">
      <c r="A230" s="6" t="s">
        <v>3864</v>
      </c>
      <c r="B230" s="21" t="s">
        <v>3866</v>
      </c>
      <c r="C230" s="7">
        <v>2</v>
      </c>
      <c r="D230" s="39" t="s">
        <v>3806</v>
      </c>
      <c r="E230" s="7">
        <v>4115</v>
      </c>
      <c r="F230" s="7" t="s">
        <v>3789</v>
      </c>
      <c r="G230" s="23">
        <v>122.98</v>
      </c>
      <c r="H230" s="34">
        <f>Tabela1[[#This Row],[PESO UNI]]*Tabela1[[#This Row],[QTE]]</f>
        <v>245.96</v>
      </c>
      <c r="I230" s="7">
        <v>0</v>
      </c>
      <c r="J230" s="8" t="s">
        <v>3790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245.96</v>
      </c>
      <c r="S230" s="18">
        <f t="shared" si="41"/>
        <v>245.96</v>
      </c>
      <c r="T230" s="19">
        <f t="shared" si="44"/>
        <v>0</v>
      </c>
      <c r="U230" s="206">
        <v>2</v>
      </c>
      <c r="V230" s="12" t="str">
        <f>IFERROR(VLOOKUP(Tabela1[[#This Row],[COD.MDE]],'LISTA DE EMBARQUE'!B:L,11,0),"")</f>
        <v/>
      </c>
      <c r="W230" s="13"/>
      <c r="X230" s="14">
        <f>IFERROR(Tabela1[[#This Row],[QIANTIDADE EXPEDIDA]]*Tabela1[[#This Row],[PESO UNI]],"")</f>
        <v>245.96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245.96</v>
      </c>
      <c r="AV230" s="37">
        <f t="shared" si="47"/>
        <v>245.96</v>
      </c>
      <c r="AW230" s="37"/>
    </row>
    <row r="231" spans="1:49" ht="15.75" hidden="1" customHeight="1" x14ac:dyDescent="0.25">
      <c r="A231" s="6" t="s">
        <v>3864</v>
      </c>
      <c r="B231" s="21" t="s">
        <v>3867</v>
      </c>
      <c r="C231" s="7">
        <v>2</v>
      </c>
      <c r="D231" s="39" t="s">
        <v>3808</v>
      </c>
      <c r="E231" s="7">
        <v>4116</v>
      </c>
      <c r="F231" s="7" t="s">
        <v>3789</v>
      </c>
      <c r="G231" s="23">
        <v>34.4</v>
      </c>
      <c r="H231" s="34">
        <f>Tabela1[[#This Row],[PESO UNI]]*Tabela1[[#This Row],[QTE]]</f>
        <v>68.8</v>
      </c>
      <c r="I231" s="7">
        <v>0</v>
      </c>
      <c r="J231" s="8" t="s">
        <v>3790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68.8</v>
      </c>
      <c r="S231" s="18">
        <f t="shared" si="41"/>
        <v>68.8</v>
      </c>
      <c r="T231" s="19">
        <f t="shared" si="44"/>
        <v>0</v>
      </c>
      <c r="U231" s="206">
        <v>2</v>
      </c>
      <c r="V231" s="12" t="str">
        <f>IFERROR(VLOOKUP(Tabela1[[#This Row],[COD.MDE]],'LISTA DE EMBARQUE'!B:L,11,0),"")</f>
        <v/>
      </c>
      <c r="W231" s="13"/>
      <c r="X231" s="14">
        <f>IFERROR(Tabela1[[#This Row],[QIANTIDADE EXPEDIDA]]*Tabela1[[#This Row],[PESO UNI]],"")</f>
        <v>68.8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68.8</v>
      </c>
      <c r="AV231" s="37">
        <f t="shared" si="47"/>
        <v>68.8</v>
      </c>
      <c r="AW231" s="37"/>
    </row>
    <row r="232" spans="1:49" ht="15.75" hidden="1" customHeight="1" x14ac:dyDescent="0.25">
      <c r="A232" s="6" t="s">
        <v>3864</v>
      </c>
      <c r="B232" s="21" t="s">
        <v>3868</v>
      </c>
      <c r="C232" s="7">
        <v>2</v>
      </c>
      <c r="D232" s="39" t="s">
        <v>3808</v>
      </c>
      <c r="E232" s="7">
        <v>4117</v>
      </c>
      <c r="F232" s="7" t="s">
        <v>3789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3790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 t="str">
        <f>IFERROR(VLOOKUP(Tabela1[[#This Row],[COD.MDE]],'LISTA DE EMBARQUE'!B:L,11,0),"")</f>
        <v/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3864</v>
      </c>
      <c r="B233" s="21" t="s">
        <v>3869</v>
      </c>
      <c r="C233" s="7">
        <v>2</v>
      </c>
      <c r="D233" s="39" t="s">
        <v>3808</v>
      </c>
      <c r="E233" s="7">
        <v>4118</v>
      </c>
      <c r="F233" s="7" t="s">
        <v>3789</v>
      </c>
      <c r="G233" s="23">
        <v>34.369999999999997</v>
      </c>
      <c r="H233" s="34">
        <f>Tabela1[[#This Row],[PESO UNI]]*Tabela1[[#This Row],[QTE]]</f>
        <v>68.739999999999995</v>
      </c>
      <c r="I233" s="7">
        <v>0</v>
      </c>
      <c r="J233" s="8" t="s">
        <v>3790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68.739999999999995</v>
      </c>
      <c r="S233" s="18">
        <f t="shared" si="41"/>
        <v>68.739999999999995</v>
      </c>
      <c r="T233" s="19">
        <f t="shared" si="44"/>
        <v>0</v>
      </c>
      <c r="U233" s="206">
        <v>2</v>
      </c>
      <c r="V233" s="12" t="str">
        <f>IFERROR(VLOOKUP(Tabela1[[#This Row],[COD.MDE]],'LISTA DE EMBARQUE'!B:L,11,0),"")</f>
        <v/>
      </c>
      <c r="W233" s="13"/>
      <c r="X233" s="14">
        <f>IFERROR(Tabela1[[#This Row],[QIANTIDADE EXPEDIDA]]*Tabela1[[#This Row],[PESO UNI]],"")</f>
        <v>68.739999999999995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68.739999999999995</v>
      </c>
      <c r="AV233" s="37">
        <f t="shared" si="47"/>
        <v>68.739999999999995</v>
      </c>
      <c r="AW233" s="37"/>
    </row>
    <row r="234" spans="1:49" ht="15.75" hidden="1" customHeight="1" x14ac:dyDescent="0.25">
      <c r="A234" s="6" t="s">
        <v>3864</v>
      </c>
      <c r="B234" s="21" t="s">
        <v>3870</v>
      </c>
      <c r="C234" s="7">
        <v>2</v>
      </c>
      <c r="D234" s="39" t="s">
        <v>3808</v>
      </c>
      <c r="E234" s="7">
        <v>4119</v>
      </c>
      <c r="F234" s="7" t="s">
        <v>3789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3790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 t="str">
        <f>IFERROR(VLOOKUP(Tabela1[[#This Row],[COD.MDE]],'LISTA DE EMBARQUE'!B:L,11,0),"")</f>
        <v/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3864</v>
      </c>
      <c r="B235" s="21" t="s">
        <v>3871</v>
      </c>
      <c r="C235" s="7">
        <v>2</v>
      </c>
      <c r="D235" s="39" t="s">
        <v>3808</v>
      </c>
      <c r="E235" s="7">
        <v>4120</v>
      </c>
      <c r="F235" s="7" t="s">
        <v>3789</v>
      </c>
      <c r="G235" s="23">
        <v>27.01</v>
      </c>
      <c r="H235" s="34">
        <f>Tabela1[[#This Row],[PESO UNI]]*Tabela1[[#This Row],[QTE]]</f>
        <v>54.02</v>
      </c>
      <c r="I235" s="7">
        <v>0</v>
      </c>
      <c r="J235" s="8" t="s">
        <v>3790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-2</v>
      </c>
      <c r="R235" s="18">
        <f t="shared" si="43"/>
        <v>54.02</v>
      </c>
      <c r="S235" s="18">
        <f t="shared" si="41"/>
        <v>54.02</v>
      </c>
      <c r="T235" s="19">
        <f t="shared" si="44"/>
        <v>0</v>
      </c>
      <c r="U235" s="206">
        <v>2</v>
      </c>
      <c r="V235" s="12" t="str">
        <f>IFERROR(VLOOKUP(Tabela1[[#This Row],[COD.MDE]],'LISTA DE EMBARQUE'!B:L,11,0),"")</f>
        <v/>
      </c>
      <c r="W235" s="13"/>
      <c r="X235" s="14">
        <f>IFERROR(Tabela1[[#This Row],[QIANTIDADE EXPEDIDA]]*Tabela1[[#This Row],[PESO UNI]],"")</f>
        <v>54.02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54.02</v>
      </c>
      <c r="AV235" s="37">
        <f t="shared" si="47"/>
        <v>54.02</v>
      </c>
      <c r="AW235" s="37"/>
    </row>
    <row r="236" spans="1:49" ht="15.75" hidden="1" customHeight="1" x14ac:dyDescent="0.25">
      <c r="A236" s="6" t="s">
        <v>3864</v>
      </c>
      <c r="B236" s="21" t="s">
        <v>3872</v>
      </c>
      <c r="C236" s="7">
        <v>4</v>
      </c>
      <c r="D236" s="39" t="s">
        <v>3808</v>
      </c>
      <c r="E236" s="7">
        <v>4121</v>
      </c>
      <c r="F236" s="7" t="s">
        <v>3789</v>
      </c>
      <c r="G236" s="23">
        <v>23.75</v>
      </c>
      <c r="H236" s="34">
        <f>Tabela1[[#This Row],[PESO UNI]]*Tabela1[[#This Row],[QTE]]</f>
        <v>95</v>
      </c>
      <c r="I236" s="7">
        <v>0</v>
      </c>
      <c r="J236" s="8" t="s">
        <v>3790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-4</v>
      </c>
      <c r="R236" s="18">
        <f t="shared" si="43"/>
        <v>95</v>
      </c>
      <c r="S236" s="18">
        <f t="shared" si="41"/>
        <v>95</v>
      </c>
      <c r="T236" s="19">
        <f t="shared" si="44"/>
        <v>0</v>
      </c>
      <c r="U236" s="206">
        <v>4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95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T-072962-1/1073-TC-006/007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95</v>
      </c>
      <c r="AV236" s="37">
        <f t="shared" si="47"/>
        <v>95</v>
      </c>
      <c r="AW236" s="37"/>
    </row>
    <row r="237" spans="1:49" ht="15.75" hidden="1" customHeight="1" x14ac:dyDescent="0.25">
      <c r="A237" s="6" t="s">
        <v>3873</v>
      </c>
      <c r="B237" s="21" t="s">
        <v>3829</v>
      </c>
      <c r="C237" s="7">
        <v>2</v>
      </c>
      <c r="D237" s="39" t="s">
        <v>3804</v>
      </c>
      <c r="E237" s="7">
        <v>4122</v>
      </c>
      <c r="F237" s="7" t="s">
        <v>3789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3790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3873</v>
      </c>
      <c r="B238" s="21" t="s">
        <v>3830</v>
      </c>
      <c r="C238" s="7">
        <v>2</v>
      </c>
      <c r="D238" s="39" t="s">
        <v>3806</v>
      </c>
      <c r="E238" s="7">
        <v>4123</v>
      </c>
      <c r="F238" s="7" t="s">
        <v>3789</v>
      </c>
      <c r="G238" s="23">
        <v>129.09</v>
      </c>
      <c r="H238" s="34">
        <f>Tabela1[[#This Row],[PESO UNI]]*Tabela1[[#This Row],[QTE]]</f>
        <v>258.18</v>
      </c>
      <c r="I238" s="7">
        <v>0</v>
      </c>
      <c r="J238" s="8" t="s">
        <v>3790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-2</v>
      </c>
      <c r="R238" s="18">
        <f t="shared" si="43"/>
        <v>258.18</v>
      </c>
      <c r="S238" s="18">
        <f t="shared" si="41"/>
        <v>258.18</v>
      </c>
      <c r="T238" s="19">
        <f t="shared" si="44"/>
        <v>0</v>
      </c>
      <c r="U238" s="206">
        <v>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258.18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258.18</v>
      </c>
      <c r="AV238" s="37">
        <f t="shared" si="47"/>
        <v>258.18</v>
      </c>
      <c r="AW238" s="37"/>
    </row>
    <row r="239" spans="1:49" ht="15.75" hidden="1" customHeight="1" x14ac:dyDescent="0.25">
      <c r="A239" s="6" t="s">
        <v>3873</v>
      </c>
      <c r="B239" s="21" t="s">
        <v>3874</v>
      </c>
      <c r="C239" s="7">
        <v>12</v>
      </c>
      <c r="D239" s="39" t="s">
        <v>3808</v>
      </c>
      <c r="E239" s="7">
        <v>4124</v>
      </c>
      <c r="F239" s="7" t="s">
        <v>3789</v>
      </c>
      <c r="G239" s="23">
        <v>23.68</v>
      </c>
      <c r="H239" s="34">
        <f>Tabela1[[#This Row],[PESO UNI]]*Tabela1[[#This Row],[QTE]]</f>
        <v>284.15999999999997</v>
      </c>
      <c r="I239" s="7">
        <v>0</v>
      </c>
      <c r="J239" s="8" t="s">
        <v>3790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-12</v>
      </c>
      <c r="R239" s="18">
        <f t="shared" si="43"/>
        <v>284.15999999999997</v>
      </c>
      <c r="S239" s="18">
        <f t="shared" si="41"/>
        <v>284.15999999999997</v>
      </c>
      <c r="T239" s="19">
        <f t="shared" si="44"/>
        <v>0</v>
      </c>
      <c r="U239" s="206">
        <v>12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284.15999999999997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284.15999999999997</v>
      </c>
      <c r="AV239" s="37">
        <f t="shared" si="47"/>
        <v>284.15999999999997</v>
      </c>
      <c r="AW239" s="37"/>
    </row>
    <row r="240" spans="1:49" ht="15.75" hidden="1" customHeight="1" x14ac:dyDescent="0.25">
      <c r="A240" s="6" t="s">
        <v>3873</v>
      </c>
      <c r="B240" s="21" t="s">
        <v>3830</v>
      </c>
      <c r="C240" s="7">
        <v>4</v>
      </c>
      <c r="D240" s="39" t="s">
        <v>3814</v>
      </c>
      <c r="E240" s="7">
        <v>4125</v>
      </c>
      <c r="F240" s="7" t="s">
        <v>3789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3790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3873</v>
      </c>
      <c r="B241" s="21" t="s">
        <v>3831</v>
      </c>
      <c r="C241" s="7">
        <v>4</v>
      </c>
      <c r="D241" s="39" t="s">
        <v>3816</v>
      </c>
      <c r="E241" s="7">
        <v>4126</v>
      </c>
      <c r="F241" s="7" t="s">
        <v>3789</v>
      </c>
      <c r="G241" s="23">
        <v>71.44</v>
      </c>
      <c r="H241" s="34">
        <f>Tabela1[[#This Row],[PESO UNI]]*Tabela1[[#This Row],[QTE]]</f>
        <v>285.76</v>
      </c>
      <c r="I241" s="7">
        <v>0</v>
      </c>
      <c r="J241" s="8" t="s">
        <v>3790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-4</v>
      </c>
      <c r="R241" s="18">
        <f t="shared" si="43"/>
        <v>285.76</v>
      </c>
      <c r="S241" s="18">
        <f t="shared" si="41"/>
        <v>285.76</v>
      </c>
      <c r="T241" s="19">
        <f t="shared" si="44"/>
        <v>0</v>
      </c>
      <c r="U241" s="206">
        <v>4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285.76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T-072967-1/1073-TC-006/007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285.76</v>
      </c>
      <c r="AV241" s="37">
        <f t="shared" si="47"/>
        <v>285.76</v>
      </c>
      <c r="AW241" s="37"/>
    </row>
    <row r="242" spans="1:49" ht="15.75" hidden="1" customHeight="1" x14ac:dyDescent="0.25">
      <c r="A242" s="6" t="s">
        <v>3875</v>
      </c>
      <c r="B242" s="21" t="s">
        <v>3876</v>
      </c>
      <c r="C242" s="7">
        <v>2</v>
      </c>
      <c r="D242" s="39" t="s">
        <v>3804</v>
      </c>
      <c r="E242" s="7">
        <v>4127</v>
      </c>
      <c r="F242" s="7" t="s">
        <v>3789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3790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3875</v>
      </c>
      <c r="B243" s="21" t="s">
        <v>3877</v>
      </c>
      <c r="C243" s="7">
        <v>2</v>
      </c>
      <c r="D243" s="39" t="s">
        <v>3806</v>
      </c>
      <c r="E243" s="7">
        <v>4128</v>
      </c>
      <c r="F243" s="7" t="s">
        <v>3789</v>
      </c>
      <c r="G243" s="23">
        <v>128.86000000000001</v>
      </c>
      <c r="H243" s="34">
        <f>Tabela1[[#This Row],[PESO UNI]]*Tabela1[[#This Row],[QTE]]</f>
        <v>257.72000000000003</v>
      </c>
      <c r="I243" s="7">
        <v>0</v>
      </c>
      <c r="J243" s="8" t="s">
        <v>3790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-2</v>
      </c>
      <c r="R243" s="18">
        <f t="shared" si="43"/>
        <v>257.72000000000003</v>
      </c>
      <c r="S243" s="18">
        <f t="shared" si="41"/>
        <v>257.72000000000003</v>
      </c>
      <c r="T243" s="19">
        <f t="shared" si="44"/>
        <v>0</v>
      </c>
      <c r="U243" s="206">
        <v>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257.72000000000003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257.72000000000003</v>
      </c>
      <c r="AV243" s="37">
        <f t="shared" si="47"/>
        <v>257.72000000000003</v>
      </c>
      <c r="AW243" s="37"/>
    </row>
    <row r="244" spans="1:49" ht="15.75" hidden="1" customHeight="1" x14ac:dyDescent="0.25">
      <c r="A244" s="6" t="s">
        <v>3875</v>
      </c>
      <c r="B244" s="21" t="s">
        <v>3878</v>
      </c>
      <c r="C244" s="7">
        <v>12</v>
      </c>
      <c r="D244" s="39" t="s">
        <v>3808</v>
      </c>
      <c r="E244" s="7">
        <v>4129</v>
      </c>
      <c r="F244" s="7" t="s">
        <v>3789</v>
      </c>
      <c r="G244" s="23">
        <v>23.68</v>
      </c>
      <c r="H244" s="34">
        <f>Tabela1[[#This Row],[PESO UNI]]*Tabela1[[#This Row],[QTE]]</f>
        <v>284.15999999999997</v>
      </c>
      <c r="I244" s="7">
        <v>0</v>
      </c>
      <c r="J244" s="8" t="s">
        <v>3790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-12</v>
      </c>
      <c r="R244" s="18">
        <f t="shared" si="43"/>
        <v>284.15999999999997</v>
      </c>
      <c r="S244" s="18">
        <f t="shared" si="41"/>
        <v>284.15999999999997</v>
      </c>
      <c r="T244" s="19">
        <f t="shared" si="44"/>
        <v>0</v>
      </c>
      <c r="U244" s="206">
        <v>12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284.15999999999997</v>
      </c>
      <c r="Y244" s="14">
        <f t="shared" si="40"/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284.15999999999997</v>
      </c>
      <c r="AV244" s="37">
        <f t="shared" si="47"/>
        <v>284.15999999999997</v>
      </c>
      <c r="AW244" s="37"/>
    </row>
    <row r="245" spans="1:49" ht="15.75" hidden="1" customHeight="1" x14ac:dyDescent="0.25">
      <c r="A245" s="6" t="s">
        <v>3875</v>
      </c>
      <c r="B245" s="21" t="s">
        <v>3830</v>
      </c>
      <c r="C245" s="7">
        <v>8</v>
      </c>
      <c r="D245" s="39" t="s">
        <v>3879</v>
      </c>
      <c r="E245" s="7">
        <v>4130</v>
      </c>
      <c r="F245" s="7" t="s">
        <v>3789</v>
      </c>
      <c r="G245" s="23">
        <v>71.44</v>
      </c>
      <c r="H245" s="34">
        <f>Tabela1[[#This Row],[PESO UNI]]*Tabela1[[#This Row],[QTE]]</f>
        <v>571.52</v>
      </c>
      <c r="I245" s="7">
        <v>0</v>
      </c>
      <c r="J245" s="8" t="s">
        <v>3790</v>
      </c>
      <c r="K245" s="8" t="s">
        <v>327</v>
      </c>
      <c r="L245" s="9" t="s">
        <v>2069</v>
      </c>
      <c r="M245" s="10">
        <v>46127</v>
      </c>
      <c r="N245" s="8" t="s">
        <v>327</v>
      </c>
      <c r="O245" s="12"/>
      <c r="P245" s="13"/>
      <c r="Q245" s="14">
        <f>Tabela1[[#This Row],[QTDE/ Fabricação]]-Tabela1[[#This Row],[QTE]]</f>
        <v>-8</v>
      </c>
      <c r="R245" s="18">
        <f t="shared" si="43"/>
        <v>571.52</v>
      </c>
      <c r="S245" s="18">
        <f t="shared" si="41"/>
        <v>571.52</v>
      </c>
      <c r="T245" s="19">
        <f t="shared" si="44"/>
        <v>0</v>
      </c>
      <c r="U245" s="206">
        <v>8</v>
      </c>
      <c r="V245" s="12" t="str">
        <f>IFERROR(VLOOKUP(Tabela1[[#This Row],[COD.MDE]],'LISTA DE EMBARQUE'!B:L,11,0),"")</f>
        <v/>
      </c>
      <c r="W245" s="13"/>
      <c r="X245" s="14">
        <f>IFERROR(Tabela1[[#This Row],[QIANTIDADE EXPEDIDA]]*Tabela1[[#This Row],[PESO UNI]],"")</f>
        <v>571.52</v>
      </c>
      <c r="Y245" s="14">
        <f t="shared" ref="Y245:Y308" si="48">U245-C245</f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T-072958-1/1073-TC-006/007</v>
      </c>
      <c r="AP245" t="str">
        <f>Tabela1[[#This Row],[TAG]]&amp;Tabela1[[#This Row],[PEDIDO]]&amp;Tabela1[[#This Row],[PRODUTO]]</f>
        <v>1073-TC-006/007P-188RMF</v>
      </c>
      <c r="AQ245" s="22" t="str">
        <f>Tabela1[[#This Row],[PRODUTO]]&amp;Tabela1[[#This Row],[TAG]]</f>
        <v>RMF1073-TC-006/007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571.52</v>
      </c>
      <c r="AV245" s="37">
        <f t="shared" si="47"/>
        <v>571.52</v>
      </c>
      <c r="AW245" s="37"/>
    </row>
    <row r="246" spans="1:49" ht="15.75" hidden="1" customHeight="1" x14ac:dyDescent="0.25">
      <c r="A246" s="6" t="s">
        <v>3880</v>
      </c>
      <c r="B246" s="21" t="s">
        <v>3881</v>
      </c>
      <c r="C246" s="7">
        <v>1</v>
      </c>
      <c r="D246" s="39" t="s">
        <v>3882</v>
      </c>
      <c r="E246" s="7">
        <v>4131</v>
      </c>
      <c r="F246" s="7" t="s">
        <v>3883</v>
      </c>
      <c r="G246" s="23">
        <v>383.4</v>
      </c>
      <c r="H246" s="34">
        <f>Tabela1[[#This Row],[PESO UNI]]*Tabela1[[#This Row],[QTE]]</f>
        <v>383.4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-1</v>
      </c>
      <c r="R246" s="18">
        <f t="shared" si="43"/>
        <v>383.4</v>
      </c>
      <c r="S246" s="18">
        <f t="shared" ref="S246:S309" si="49">IFERROR(H246*AG246,"")</f>
        <v>383.4</v>
      </c>
      <c r="T246" s="19">
        <f t="shared" si="44"/>
        <v>0</v>
      </c>
      <c r="U246" s="206">
        <v>1</v>
      </c>
      <c r="V246" s="12">
        <f>IFERROR(VLOOKUP(Tabela1[[#This Row],[COD.MDE]],'LISTA DE EMBARQUE'!B:L,11,0),"")</f>
        <v>0</v>
      </c>
      <c r="W246" s="13"/>
      <c r="X246" s="14">
        <f>IFERROR(Tabela1[[#This Row],[QIANTIDADE EXPEDIDA]]*Tabela1[[#This Row],[PESO UNI]],"")</f>
        <v>383.4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383.4</v>
      </c>
      <c r="AV246" s="37">
        <f t="shared" si="47"/>
        <v>383.4</v>
      </c>
      <c r="AW246" s="37"/>
    </row>
    <row r="247" spans="1:49" ht="15.75" hidden="1" customHeight="1" x14ac:dyDescent="0.25">
      <c r="A247" s="6" t="s">
        <v>3880</v>
      </c>
      <c r="B247" s="21" t="s">
        <v>3884</v>
      </c>
      <c r="C247" s="7">
        <v>4</v>
      </c>
      <c r="D247" s="39" t="s">
        <v>3885</v>
      </c>
      <c r="E247" s="7">
        <v>4132</v>
      </c>
      <c r="F247" s="7" t="s">
        <v>3883</v>
      </c>
      <c r="G247" s="23">
        <v>0.3</v>
      </c>
      <c r="H247" s="34">
        <f>Tabela1[[#This Row],[PESO UNI]]*Tabela1[[#This Row],[QTE]]</f>
        <v>1.2</v>
      </c>
      <c r="I247" s="7">
        <v>2</v>
      </c>
      <c r="J247" s="8" t="s">
        <v>2274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-4</v>
      </c>
      <c r="R247" s="18">
        <f t="shared" si="43"/>
        <v>1.2</v>
      </c>
      <c r="S247" s="18">
        <f t="shared" si="49"/>
        <v>1.2</v>
      </c>
      <c r="T247" s="19">
        <f t="shared" si="44"/>
        <v>0</v>
      </c>
      <c r="U247" s="206">
        <v>4</v>
      </c>
      <c r="V247" s="12" t="str">
        <f>IFERROR(VLOOKUP(Tabela1[[#This Row],[COD.MDE]],'LISTA DE EMBARQUE'!B:L,11,0),"")</f>
        <v/>
      </c>
      <c r="W247" s="13"/>
      <c r="X247" s="14">
        <f>IFERROR(Tabela1[[#This Row],[QIANTIDADE EXPEDIDA]]*Tabela1[[#This Row],[PESO UNI]],"")</f>
        <v>1.2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T-072978-1/1073-TC-006</v>
      </c>
      <c r="AP247" t="str">
        <f>Tabela1[[#This Row],[TAG]]&amp;Tabela1[[#This Row],[PEDIDO]]&amp;Tabela1[[#This Row],[PRODUTO]]</f>
        <v>1073-TC-006P-188RMF</v>
      </c>
      <c r="AQ247" s="22" t="str">
        <f>Tabela1[[#This Row],[PRODUTO]]&amp;Tabela1[[#This Row],[TAG]]</f>
        <v>RMF1073-TC-006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1.2</v>
      </c>
      <c r="AV247" s="37">
        <f t="shared" si="47"/>
        <v>1.2</v>
      </c>
      <c r="AW247" s="37"/>
    </row>
    <row r="248" spans="1:49" ht="15.75" hidden="1" customHeight="1" x14ac:dyDescent="0.25">
      <c r="A248" s="6" t="s">
        <v>3880</v>
      </c>
      <c r="B248" s="21" t="s">
        <v>3881</v>
      </c>
      <c r="C248" s="7">
        <v>1</v>
      </c>
      <c r="D248" s="39" t="s">
        <v>3882</v>
      </c>
      <c r="E248" s="7">
        <v>4133</v>
      </c>
      <c r="F248" s="7" t="s">
        <v>3883</v>
      </c>
      <c r="G248" s="23">
        <v>383.4</v>
      </c>
      <c r="H248" s="34">
        <f>Tabela1[[#This Row],[PESO UNI]]*Tabela1[[#This Row],[QTE]]</f>
        <v>383.4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-1</v>
      </c>
      <c r="R248" s="18">
        <f t="shared" si="43"/>
        <v>383.4</v>
      </c>
      <c r="S248" s="18">
        <f t="shared" si="49"/>
        <v>383.4</v>
      </c>
      <c r="T248" s="19">
        <f t="shared" si="44"/>
        <v>0</v>
      </c>
      <c r="U248" s="206">
        <v>1</v>
      </c>
      <c r="V248" s="12">
        <f>IFERROR(VLOOKUP(Tabela1[[#This Row],[COD.MDE]],'LISTA DE EMBARQUE'!B:L,11,0),"")</f>
        <v>0</v>
      </c>
      <c r="W248" s="13"/>
      <c r="X248" s="14">
        <f>IFERROR(Tabela1[[#This Row],[QIANTIDADE EXPEDIDA]]*Tabela1[[#This Row],[PESO UNI]],"")</f>
        <v>383.4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383.4</v>
      </c>
      <c r="AV248" s="37">
        <f t="shared" si="47"/>
        <v>383.4</v>
      </c>
      <c r="AW248" s="37"/>
    </row>
    <row r="249" spans="1:49" ht="15.75" hidden="1" customHeight="1" x14ac:dyDescent="0.25">
      <c r="A249" s="6" t="s">
        <v>3880</v>
      </c>
      <c r="B249" s="21" t="s">
        <v>3884</v>
      </c>
      <c r="C249" s="7">
        <v>4</v>
      </c>
      <c r="D249" s="39" t="s">
        <v>3885</v>
      </c>
      <c r="E249" s="7">
        <v>4134</v>
      </c>
      <c r="F249" s="7" t="s">
        <v>3883</v>
      </c>
      <c r="G249" s="23">
        <v>0.3</v>
      </c>
      <c r="H249" s="34">
        <f>Tabela1[[#This Row],[PESO UNI]]*Tabela1[[#This Row],[QTE]]</f>
        <v>1.2</v>
      </c>
      <c r="I249" s="7">
        <v>2</v>
      </c>
      <c r="J249" s="8" t="s">
        <v>2276</v>
      </c>
      <c r="K249" s="8" t="s">
        <v>327</v>
      </c>
      <c r="L249" s="9" t="s">
        <v>2069</v>
      </c>
      <c r="M249" s="10">
        <v>46150</v>
      </c>
      <c r="N249" s="8" t="s">
        <v>327</v>
      </c>
      <c r="O249" s="12"/>
      <c r="P249" s="13"/>
      <c r="Q249" s="14">
        <f>Tabela1[[#This Row],[QTDE/ Fabricação]]-Tabela1[[#This Row],[QTE]]</f>
        <v>-4</v>
      </c>
      <c r="R249" s="18">
        <f t="shared" si="43"/>
        <v>1.2</v>
      </c>
      <c r="S249" s="18">
        <f t="shared" si="49"/>
        <v>1.2</v>
      </c>
      <c r="T249" s="19">
        <f t="shared" si="44"/>
        <v>0</v>
      </c>
      <c r="U249" s="206">
        <v>4</v>
      </c>
      <c r="V249" s="12" t="str">
        <f>IFERROR(VLOOKUP(Tabela1[[#This Row],[COD.MDE]],'LISTA DE EMBARQUE'!B:L,11,0),"")</f>
        <v/>
      </c>
      <c r="W249" s="13"/>
      <c r="X249" s="14">
        <f>IFERROR(Tabela1[[#This Row],[QIANTIDADE EXPEDIDA]]*Tabela1[[#This Row],[PESO UNI]],"")</f>
        <v>1.2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T-072978-1/1073-TC-007</v>
      </c>
      <c r="AP249" t="str">
        <f>Tabela1[[#This Row],[TAG]]&amp;Tabela1[[#This Row],[PEDIDO]]&amp;Tabela1[[#This Row],[PRODUTO]]</f>
        <v>1073-TC-007P-188RMF</v>
      </c>
      <c r="AQ249" s="22" t="str">
        <f>Tabela1[[#This Row],[PRODUTO]]&amp;Tabela1[[#This Row],[TAG]]</f>
        <v>RMF1073-TC-007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1.2</v>
      </c>
      <c r="AV249" s="37">
        <f t="shared" si="47"/>
        <v>1.2</v>
      </c>
      <c r="AW249" s="37"/>
    </row>
    <row r="250" spans="1:49" ht="15.75" hidden="1" customHeight="1" x14ac:dyDescent="0.25">
      <c r="A250" s="6" t="s">
        <v>3886</v>
      </c>
      <c r="B250" s="21" t="s">
        <v>3887</v>
      </c>
      <c r="C250" s="7">
        <v>1</v>
      </c>
      <c r="D250" s="39" t="s">
        <v>3888</v>
      </c>
      <c r="E250" s="7">
        <v>4135</v>
      </c>
      <c r="F250" s="7" t="s">
        <v>3889</v>
      </c>
      <c r="G250" s="23">
        <v>638</v>
      </c>
      <c r="H250" s="34">
        <f>Tabela1[[#This Row],[PESO UNI]]*Tabela1[[#This Row],[QTE]]</f>
        <v>638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-1</v>
      </c>
      <c r="R250" s="18">
        <f t="shared" si="43"/>
        <v>638</v>
      </c>
      <c r="S250" s="18">
        <f t="shared" si="49"/>
        <v>638</v>
      </c>
      <c r="T250" s="19">
        <f t="shared" si="44"/>
        <v>0</v>
      </c>
      <c r="U250" s="16">
        <f>IFERROR(SUMIF('LISTA DE EMBARQUE'!B:B,MICRO!E:E,'LISTA DE EMBARQUE'!G:G),"")</f>
        <v>0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0</v>
      </c>
      <c r="Y250" s="14">
        <f t="shared" si="48"/>
        <v>-1</v>
      </c>
      <c r="Z250" s="20">
        <f>Tabela1[[#This Row],[PESO TOTAL]]-Tabela1[[#This Row],[Peso Expedido]]</f>
        <v>638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/>
      <c r="AI250" s="33" t="str">
        <f t="shared" si="45"/>
        <v/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638</v>
      </c>
      <c r="AU250" s="37">
        <f t="shared" si="46"/>
        <v>0</v>
      </c>
      <c r="AV250" s="37">
        <f t="shared" si="47"/>
        <v>638</v>
      </c>
      <c r="AW250" s="37"/>
    </row>
    <row r="251" spans="1:49" ht="15.75" hidden="1" customHeight="1" x14ac:dyDescent="0.25">
      <c r="A251" s="6" t="s">
        <v>3886</v>
      </c>
      <c r="B251" s="21" t="s">
        <v>3890</v>
      </c>
      <c r="C251" s="7">
        <v>4</v>
      </c>
      <c r="D251" s="39" t="s">
        <v>3891</v>
      </c>
      <c r="E251" s="7">
        <v>4136</v>
      </c>
      <c r="F251" s="7" t="s">
        <v>3889</v>
      </c>
      <c r="G251" s="23">
        <v>4.5</v>
      </c>
      <c r="H251" s="34">
        <f>Tabela1[[#This Row],[PESO UNI]]*Tabela1[[#This Row],[QTE]]</f>
        <v>18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18</v>
      </c>
      <c r="S251" s="18">
        <f t="shared" si="49"/>
        <v>18</v>
      </c>
      <c r="T251" s="19">
        <f t="shared" si="44"/>
        <v>0</v>
      </c>
      <c r="U251" s="16">
        <f>IFERROR(SUMIF('LISTA DE EMBARQUE'!B:B,MICRO!E:E,'LISTA DE EMBARQUE'!G:G),"")</f>
        <v>0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0</v>
      </c>
      <c r="Y251" s="14">
        <f t="shared" si="48"/>
        <v>-4</v>
      </c>
      <c r="Z251" s="20">
        <f>Tabela1[[#This Row],[PESO TOTAL]]-Tabela1[[#This Row],[Peso Expedido]]</f>
        <v>18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/>
      <c r="AI251" s="33" t="str">
        <f t="shared" si="45"/>
        <v/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18</v>
      </c>
      <c r="AU251" s="37">
        <f t="shared" si="46"/>
        <v>0</v>
      </c>
      <c r="AV251" s="37">
        <f t="shared" si="47"/>
        <v>18</v>
      </c>
      <c r="AW251" s="37"/>
    </row>
    <row r="252" spans="1:49" ht="15.75" hidden="1" customHeight="1" x14ac:dyDescent="0.25">
      <c r="A252" s="6" t="s">
        <v>3886</v>
      </c>
      <c r="B252" s="21" t="s">
        <v>3892</v>
      </c>
      <c r="C252" s="7">
        <v>4</v>
      </c>
      <c r="D252" s="39" t="s">
        <v>3893</v>
      </c>
      <c r="E252" s="7">
        <v>4137</v>
      </c>
      <c r="F252" s="7" t="s">
        <v>3889</v>
      </c>
      <c r="G252" s="23">
        <v>5.8</v>
      </c>
      <c r="H252" s="34">
        <f>Tabela1[[#This Row],[PESO UNI]]*Tabela1[[#This Row],[QTE]]</f>
        <v>23.2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-4</v>
      </c>
      <c r="R252" s="18">
        <f t="shared" si="43"/>
        <v>23.2</v>
      </c>
      <c r="S252" s="18">
        <f t="shared" si="49"/>
        <v>23.2</v>
      </c>
      <c r="T252" s="19">
        <f t="shared" si="44"/>
        <v>0</v>
      </c>
      <c r="U252" s="16">
        <f>IFERROR(SUMIF('LISTA DE EMBARQUE'!B:B,MICRO!E:E,'LISTA DE EMBARQUE'!G:G),"")</f>
        <v>0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</v>
      </c>
      <c r="Y252" s="14">
        <f t="shared" si="48"/>
        <v>-4</v>
      </c>
      <c r="Z252" s="20">
        <f>Tabela1[[#This Row],[PESO TOTAL]]-Tabela1[[#This Row],[Peso Expedido]]</f>
        <v>23.2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/>
      <c r="AI252" s="33" t="str">
        <f t="shared" si="45"/>
        <v/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23.2</v>
      </c>
      <c r="AU252" s="37">
        <f t="shared" si="46"/>
        <v>0</v>
      </c>
      <c r="AV252" s="37">
        <f t="shared" si="47"/>
        <v>23.2</v>
      </c>
      <c r="AW252" s="37"/>
    </row>
    <row r="253" spans="1:49" ht="15.75" hidden="1" customHeight="1" x14ac:dyDescent="0.25">
      <c r="A253" s="6" t="s">
        <v>3886</v>
      </c>
      <c r="B253" s="21" t="s">
        <v>3894</v>
      </c>
      <c r="C253" s="7">
        <v>8</v>
      </c>
      <c r="D253" s="39" t="s">
        <v>3895</v>
      </c>
      <c r="E253" s="7">
        <v>4138</v>
      </c>
      <c r="F253" s="7" t="s">
        <v>3889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f>IFERROR(SUMIF('LISTA DE EMBARQUE'!B:B,MICRO!E:E,'LISTA DE EMBARQUE'!G:G),"")</f>
        <v>0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</v>
      </c>
      <c r="Y253" s="14">
        <f t="shared" si="48"/>
        <v>-8</v>
      </c>
      <c r="Z253" s="20">
        <f>Tabela1[[#This Row],[PESO TOTAL]]-Tabela1[[#This Row],[Peso Expedido]]</f>
        <v>0.8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/>
      <c r="AI253" s="33" t="str">
        <f t="shared" si="45"/>
        <v/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0.8</v>
      </c>
      <c r="AU253" s="37">
        <f t="shared" si="46"/>
        <v>0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3886</v>
      </c>
      <c r="B254" s="21" t="s">
        <v>3896</v>
      </c>
      <c r="C254" s="7">
        <v>8</v>
      </c>
      <c r="D254" s="39" t="s">
        <v>3897</v>
      </c>
      <c r="E254" s="7">
        <v>4139</v>
      </c>
      <c r="F254" s="7" t="s">
        <v>3889</v>
      </c>
      <c r="G254" s="23">
        <v>0.1</v>
      </c>
      <c r="H254" s="34">
        <f>Tabela1[[#This Row],[PESO UNI]]*Tabela1[[#This Row],[QTE]]</f>
        <v>0.8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-8</v>
      </c>
      <c r="R254" s="18">
        <f t="shared" si="43"/>
        <v>0.8</v>
      </c>
      <c r="S254" s="18">
        <f t="shared" si="49"/>
        <v>0.8</v>
      </c>
      <c r="T254" s="19">
        <f t="shared" si="44"/>
        <v>0</v>
      </c>
      <c r="U254" s="16">
        <f>IFERROR(SUMIF('LISTA DE EMBARQUE'!B:B,MICRO!E:E,'LISTA DE EMBARQUE'!G:G),"")</f>
        <v>0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</v>
      </c>
      <c r="Y254" s="14">
        <f t="shared" si="48"/>
        <v>-8</v>
      </c>
      <c r="Z254" s="20">
        <f>Tabela1[[#This Row],[PESO TOTAL]]-Tabela1[[#This Row],[Peso Expedido]]</f>
        <v>0.8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/>
      <c r="AI254" s="33" t="str">
        <f t="shared" si="45"/>
        <v/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0.8</v>
      </c>
      <c r="AU254" s="37">
        <f t="shared" si="46"/>
        <v>0</v>
      </c>
      <c r="AV254" s="37">
        <f t="shared" si="47"/>
        <v>0.8</v>
      </c>
      <c r="AW254" s="37"/>
    </row>
    <row r="255" spans="1:49" ht="15.75" hidden="1" customHeight="1" x14ac:dyDescent="0.25">
      <c r="A255" s="6" t="s">
        <v>3886</v>
      </c>
      <c r="B255" s="21" t="s">
        <v>3898</v>
      </c>
      <c r="C255" s="7">
        <v>4</v>
      </c>
      <c r="D255" s="39" t="s">
        <v>3897</v>
      </c>
      <c r="E255" s="7">
        <v>4140</v>
      </c>
      <c r="F255" s="7" t="s">
        <v>3889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f>IFERROR(SUMIF('LISTA DE EMBARQUE'!B:B,MICRO!E:E,'LISTA DE EMBARQUE'!G:G),"")</f>
        <v>0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</v>
      </c>
      <c r="Y255" s="14">
        <f t="shared" si="48"/>
        <v>-4</v>
      </c>
      <c r="Z255" s="20">
        <f>Tabela1[[#This Row],[PESO TOTAL]]-Tabela1[[#This Row],[Peso Expedido]]</f>
        <v>0.4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/>
      <c r="AI255" s="33" t="str">
        <f t="shared" si="45"/>
        <v/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0.4</v>
      </c>
      <c r="AU255" s="37">
        <f t="shared" si="46"/>
        <v>0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3886</v>
      </c>
      <c r="B256" s="21" t="s">
        <v>3899</v>
      </c>
      <c r="C256" s="7">
        <v>4</v>
      </c>
      <c r="D256" s="39" t="s">
        <v>3897</v>
      </c>
      <c r="E256" s="7">
        <v>4141</v>
      </c>
      <c r="F256" s="7" t="s">
        <v>3889</v>
      </c>
      <c r="G256" s="23">
        <v>0.1</v>
      </c>
      <c r="H256" s="34">
        <f>Tabela1[[#This Row],[PESO UNI]]*Tabela1[[#This Row],[QTE]]</f>
        <v>0.4</v>
      </c>
      <c r="I256" s="7">
        <v>3</v>
      </c>
      <c r="J256" s="8" t="s">
        <v>2274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-4</v>
      </c>
      <c r="R256" s="18">
        <f t="shared" si="43"/>
        <v>0.4</v>
      </c>
      <c r="S256" s="18">
        <f t="shared" si="49"/>
        <v>0.4</v>
      </c>
      <c r="T256" s="19">
        <f t="shared" si="44"/>
        <v>0</v>
      </c>
      <c r="U256" s="16">
        <f>IFERROR(SUMIF('LISTA DE EMBARQUE'!B:B,MICRO!E:E,'LISTA DE EMBARQUE'!G:G),"")</f>
        <v>0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0</v>
      </c>
      <c r="Y256" s="14">
        <f t="shared" si="48"/>
        <v>-4</v>
      </c>
      <c r="Z256" s="20">
        <f>Tabela1[[#This Row],[PESO TOTAL]]-Tabela1[[#This Row],[Peso Expedido]]</f>
        <v>0.4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/>
      <c r="AI256" s="33" t="str">
        <f t="shared" si="45"/>
        <v/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T-072979-1/1073-TC-006</v>
      </c>
      <c r="AP256" t="str">
        <f>Tabela1[[#This Row],[TAG]]&amp;Tabela1[[#This Row],[PEDIDO]]&amp;Tabela1[[#This Row],[PRODUTO]]</f>
        <v>1073-TC-006P-188RMF</v>
      </c>
      <c r="AQ256" s="22" t="str">
        <f>Tabela1[[#This Row],[PRODUTO]]&amp;Tabela1[[#This Row],[TAG]]</f>
        <v>RMF1073-TC-006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0.4</v>
      </c>
      <c r="AU256" s="37">
        <f t="shared" si="46"/>
        <v>0</v>
      </c>
      <c r="AV256" s="37">
        <f t="shared" si="47"/>
        <v>0.4</v>
      </c>
      <c r="AW256" s="37"/>
    </row>
    <row r="257" spans="1:49" ht="15.75" hidden="1" customHeight="1" x14ac:dyDescent="0.25">
      <c r="A257" s="6" t="s">
        <v>3886</v>
      </c>
      <c r="B257" s="21" t="s">
        <v>3887</v>
      </c>
      <c r="C257" s="7">
        <v>1</v>
      </c>
      <c r="D257" s="39" t="s">
        <v>3888</v>
      </c>
      <c r="E257" s="7">
        <v>4142</v>
      </c>
      <c r="F257" s="7" t="s">
        <v>3889</v>
      </c>
      <c r="G257" s="23">
        <v>638</v>
      </c>
      <c r="H257" s="34">
        <f>Tabela1[[#This Row],[PESO UNI]]*Tabela1[[#This Row],[QTE]]</f>
        <v>638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-1</v>
      </c>
      <c r="R257" s="18">
        <f t="shared" si="43"/>
        <v>638</v>
      </c>
      <c r="S257" s="18">
        <f t="shared" si="49"/>
        <v>638</v>
      </c>
      <c r="T257" s="19">
        <f t="shared" si="44"/>
        <v>0</v>
      </c>
      <c r="U257" s="16">
        <f>IFERROR(SUMIF('LISTA DE EMBARQUE'!B:B,MICRO!E:E,'LISTA DE EMBARQUE'!G:G),"")</f>
        <v>0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0</v>
      </c>
      <c r="Y257" s="14">
        <f t="shared" si="48"/>
        <v>-1</v>
      </c>
      <c r="Z257" s="20">
        <f>Tabela1[[#This Row],[PESO TOTAL]]-Tabela1[[#This Row],[Peso Expedido]]</f>
        <v>638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/>
      <c r="AI257" s="33" t="str">
        <f t="shared" si="45"/>
        <v/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638</v>
      </c>
      <c r="AU257" s="37">
        <f t="shared" si="46"/>
        <v>0</v>
      </c>
      <c r="AV257" s="37">
        <f t="shared" si="47"/>
        <v>638</v>
      </c>
      <c r="AW257" s="37"/>
    </row>
    <row r="258" spans="1:49" ht="15.75" hidden="1" customHeight="1" x14ac:dyDescent="0.25">
      <c r="A258" s="6" t="s">
        <v>3886</v>
      </c>
      <c r="B258" s="21" t="s">
        <v>3890</v>
      </c>
      <c r="C258" s="7">
        <v>4</v>
      </c>
      <c r="D258" s="39" t="s">
        <v>3891</v>
      </c>
      <c r="E258" s="7">
        <v>4143</v>
      </c>
      <c r="F258" s="7" t="s">
        <v>3889</v>
      </c>
      <c r="G258" s="23">
        <v>4.5</v>
      </c>
      <c r="H258" s="34">
        <f>Tabela1[[#This Row],[PESO UNI]]*Tabela1[[#This Row],[QTE]]</f>
        <v>18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18</v>
      </c>
      <c r="S258" s="18">
        <f t="shared" si="49"/>
        <v>18</v>
      </c>
      <c r="T258" s="19">
        <f t="shared" si="44"/>
        <v>0</v>
      </c>
      <c r="U258" s="16">
        <f>IFERROR(SUMIF('LISTA DE EMBARQUE'!B:B,MICRO!E:E,'LISTA DE EMBARQUE'!G:G),"")</f>
        <v>0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0</v>
      </c>
      <c r="Y258" s="14">
        <f t="shared" si="48"/>
        <v>-4</v>
      </c>
      <c r="Z258" s="20">
        <f>Tabela1[[#This Row],[PESO TOTAL]]-Tabela1[[#This Row],[Peso Expedido]]</f>
        <v>18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/>
      <c r="AI258" s="33" t="str">
        <f t="shared" si="45"/>
        <v/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18</v>
      </c>
      <c r="AU258" s="37">
        <f t="shared" si="46"/>
        <v>0</v>
      </c>
      <c r="AV258" s="37">
        <f t="shared" si="47"/>
        <v>18</v>
      </c>
      <c r="AW258" s="37"/>
    </row>
    <row r="259" spans="1:49" ht="15.75" hidden="1" customHeight="1" x14ac:dyDescent="0.25">
      <c r="A259" s="6" t="s">
        <v>3886</v>
      </c>
      <c r="B259" s="21" t="s">
        <v>3892</v>
      </c>
      <c r="C259" s="7">
        <v>4</v>
      </c>
      <c r="D259" s="39" t="s">
        <v>3893</v>
      </c>
      <c r="E259" s="7">
        <v>4144</v>
      </c>
      <c r="F259" s="7" t="s">
        <v>3889</v>
      </c>
      <c r="G259" s="23">
        <v>5.8</v>
      </c>
      <c r="H259" s="34">
        <f>Tabela1[[#This Row],[PESO UNI]]*Tabela1[[#This Row],[QTE]]</f>
        <v>23.2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-4</v>
      </c>
      <c r="R259" s="18">
        <f t="shared" si="43"/>
        <v>23.2</v>
      </c>
      <c r="S259" s="18">
        <f t="shared" si="49"/>
        <v>23.2</v>
      </c>
      <c r="T259" s="19">
        <f t="shared" si="44"/>
        <v>0</v>
      </c>
      <c r="U259" s="16">
        <f>IFERROR(SUMIF('LISTA DE EMBARQUE'!B:B,MICRO!E:E,'LISTA DE EMBARQUE'!G:G),"")</f>
        <v>0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</v>
      </c>
      <c r="Y259" s="14">
        <f t="shared" si="48"/>
        <v>-4</v>
      </c>
      <c r="Z259" s="20">
        <f>Tabela1[[#This Row],[PESO TOTAL]]-Tabela1[[#This Row],[Peso Expedido]]</f>
        <v>23.2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/>
      <c r="AI259" s="33" t="str">
        <f t="shared" si="45"/>
        <v/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23.2</v>
      </c>
      <c r="AU259" s="37">
        <f t="shared" si="46"/>
        <v>0</v>
      </c>
      <c r="AV259" s="37">
        <f t="shared" si="47"/>
        <v>23.2</v>
      </c>
      <c r="AW259" s="37"/>
    </row>
    <row r="260" spans="1:49" ht="15.75" hidden="1" customHeight="1" x14ac:dyDescent="0.25">
      <c r="A260" s="6" t="s">
        <v>3886</v>
      </c>
      <c r="B260" s="21" t="s">
        <v>3894</v>
      </c>
      <c r="C260" s="7">
        <v>8</v>
      </c>
      <c r="D260" s="39" t="s">
        <v>3895</v>
      </c>
      <c r="E260" s="7">
        <v>4145</v>
      </c>
      <c r="F260" s="7" t="s">
        <v>3889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f>IFERROR(SUMIF('LISTA DE EMBARQUE'!B:B,MICRO!E:E,'LISTA DE EMBARQUE'!G:G),"")</f>
        <v>0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</v>
      </c>
      <c r="Y260" s="14">
        <f t="shared" si="48"/>
        <v>-8</v>
      </c>
      <c r="Z260" s="20">
        <f>Tabela1[[#This Row],[PESO TOTAL]]-Tabela1[[#This Row],[Peso Expedido]]</f>
        <v>0.8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/>
      <c r="AI260" s="33" t="str">
        <f t="shared" si="45"/>
        <v/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si="42"/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0.8</v>
      </c>
      <c r="AU260" s="37">
        <f t="shared" si="46"/>
        <v>0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3886</v>
      </c>
      <c r="B261" s="21" t="s">
        <v>3896</v>
      </c>
      <c r="C261" s="7">
        <v>8</v>
      </c>
      <c r="D261" s="39" t="s">
        <v>3897</v>
      </c>
      <c r="E261" s="7">
        <v>4146</v>
      </c>
      <c r="F261" s="7" t="s">
        <v>3889</v>
      </c>
      <c r="G261" s="23">
        <v>0.1</v>
      </c>
      <c r="H261" s="34">
        <f>Tabela1[[#This Row],[PESO UNI]]*Tabela1[[#This Row],[QTE]]</f>
        <v>0.8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-8</v>
      </c>
      <c r="R261" s="18">
        <f t="shared" si="43"/>
        <v>0.8</v>
      </c>
      <c r="S261" s="18">
        <f t="shared" si="49"/>
        <v>0.8</v>
      </c>
      <c r="T261" s="19">
        <f t="shared" si="44"/>
        <v>0</v>
      </c>
      <c r="U261" s="16">
        <f>IFERROR(SUMIF('LISTA DE EMBARQUE'!B:B,MICRO!E:E,'LISTA DE EMBARQUE'!G:G),"")</f>
        <v>0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</v>
      </c>
      <c r="Y261" s="14">
        <f t="shared" si="48"/>
        <v>-8</v>
      </c>
      <c r="Z261" s="20">
        <f>Tabela1[[#This Row],[PESO TOTAL]]-Tabela1[[#This Row],[Peso Expedido]]</f>
        <v>0.8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/>
      <c r="AI261" s="33" t="str">
        <f t="shared" si="45"/>
        <v/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ref="AO261:AO324" si="50">A261&amp;"/"&amp;J261</f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0.8</v>
      </c>
      <c r="AU261" s="37">
        <f t="shared" si="46"/>
        <v>0</v>
      </c>
      <c r="AV261" s="37">
        <f t="shared" si="47"/>
        <v>0.8</v>
      </c>
      <c r="AW261" s="37"/>
    </row>
    <row r="262" spans="1:49" ht="15.75" hidden="1" customHeight="1" x14ac:dyDescent="0.25">
      <c r="A262" s="6" t="s">
        <v>3886</v>
      </c>
      <c r="B262" s="21" t="s">
        <v>3898</v>
      </c>
      <c r="C262" s="7">
        <v>4</v>
      </c>
      <c r="D262" s="39" t="s">
        <v>3897</v>
      </c>
      <c r="E262" s="7">
        <v>4147</v>
      </c>
      <c r="F262" s="7" t="s">
        <v>3889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2276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f>IFERROR(SUMIF('LISTA DE EMBARQUE'!B:B,MICRO!E:E,'LISTA DE EMBARQUE'!G:G),"")</f>
        <v>0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</v>
      </c>
      <c r="Y262" s="14">
        <f t="shared" si="48"/>
        <v>-4</v>
      </c>
      <c r="Z262" s="20">
        <f>Tabela1[[#This Row],[PESO TOTAL]]-Tabela1[[#This Row],[Peso Expedido]]</f>
        <v>0.4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/>
      <c r="AI262" s="33" t="str">
        <f t="shared" si="45"/>
        <v/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T-072979-1/1073-TC-007</v>
      </c>
      <c r="AP262" t="str">
        <f>Tabela1[[#This Row],[TAG]]&amp;Tabela1[[#This Row],[PEDIDO]]&amp;Tabela1[[#This Row],[PRODUTO]]</f>
        <v>1073-TC-007P-188RMF</v>
      </c>
      <c r="AQ262" s="22" t="str">
        <f>Tabela1[[#This Row],[PRODUTO]]&amp;Tabela1[[#This Row],[TAG]]</f>
        <v>RMF1073-TC-007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0.4</v>
      </c>
      <c r="AU262" s="37">
        <f t="shared" si="46"/>
        <v>0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3886</v>
      </c>
      <c r="B263" s="21" t="s">
        <v>3899</v>
      </c>
      <c r="C263" s="7">
        <v>4</v>
      </c>
      <c r="D263" s="39" t="s">
        <v>3897</v>
      </c>
      <c r="E263" s="7">
        <v>4148</v>
      </c>
      <c r="F263" s="7" t="s">
        <v>3889</v>
      </c>
      <c r="G263" s="23">
        <v>0.1</v>
      </c>
      <c r="H263" s="34">
        <f>Tabela1[[#This Row],[PESO UNI]]*Tabela1[[#This Row],[QTE]]</f>
        <v>0.4</v>
      </c>
      <c r="I263" s="7">
        <v>3</v>
      </c>
      <c r="J263" s="8" t="s">
        <v>2274</v>
      </c>
      <c r="K263" s="8" t="s">
        <v>327</v>
      </c>
      <c r="L263" s="9" t="s">
        <v>2069</v>
      </c>
      <c r="M263" s="10">
        <v>46192</v>
      </c>
      <c r="N263" s="8" t="s">
        <v>327</v>
      </c>
      <c r="O263" s="12"/>
      <c r="P263" s="13"/>
      <c r="Q263" s="14">
        <f>Tabela1[[#This Row],[QTDE/ Fabricação]]-Tabela1[[#This Row],[QTE]]</f>
        <v>-4</v>
      </c>
      <c r="R263" s="18">
        <f t="shared" si="43"/>
        <v>0.4</v>
      </c>
      <c r="S263" s="18">
        <f t="shared" si="49"/>
        <v>0.4</v>
      </c>
      <c r="T263" s="19">
        <f t="shared" si="44"/>
        <v>0</v>
      </c>
      <c r="U263" s="16">
        <f>IFERROR(SUMIF('LISTA DE EMBARQUE'!B:B,MICRO!E:E,'LISTA DE EMBARQUE'!G:G),"")</f>
        <v>0</v>
      </c>
      <c r="V263" s="12" t="str">
        <f>IFERROR(VLOOKUP(Tabela1[[#This Row],[COD.MDE]],'LISTA DE EMBARQUE'!B:L,11,0),"")</f>
        <v/>
      </c>
      <c r="W263" s="13" t="str">
        <f>IFERROR(VLOOKUP(Tabela1[[#This Row],[COD.MDE]],'LISTA DE EMBARQUE'!B:M,12,0),"")</f>
        <v/>
      </c>
      <c r="X263" s="14">
        <f>IFERROR(Tabela1[[#This Row],[QIANTIDADE EXPEDIDA]]*Tabela1[[#This Row],[PESO UNI]],"")</f>
        <v>0</v>
      </c>
      <c r="Y263" s="14">
        <f t="shared" si="48"/>
        <v>-4</v>
      </c>
      <c r="Z263" s="20">
        <f>Tabela1[[#This Row],[PESO TOTAL]]-Tabela1[[#This Row],[Peso Expedido]]</f>
        <v>0.4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/>
      <c r="AI263" s="33" t="str">
        <f t="shared" si="45"/>
        <v/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T-072979-1/1073-TC-006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0.4</v>
      </c>
      <c r="AU263" s="37">
        <f t="shared" si="46"/>
        <v>0</v>
      </c>
      <c r="AV263" s="37">
        <f t="shared" si="47"/>
        <v>0.4</v>
      </c>
      <c r="AW263" s="37"/>
    </row>
    <row r="264" spans="1:49" ht="15.75" hidden="1" customHeight="1" x14ac:dyDescent="0.25">
      <c r="A264" s="6" t="s">
        <v>3900</v>
      </c>
      <c r="B264" s="21" t="s">
        <v>3901</v>
      </c>
      <c r="C264" s="7">
        <v>1</v>
      </c>
      <c r="D264" s="39" t="s">
        <v>3902</v>
      </c>
      <c r="E264" s="7">
        <v>4149</v>
      </c>
      <c r="F264" s="7" t="s">
        <v>3903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2274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T-072981-1/1073-TC-006</v>
      </c>
      <c r="AP264" t="str">
        <f>Tabela1[[#This Row],[TAG]]&amp;Tabela1[[#This Row],[PEDIDO]]&amp;Tabela1[[#This Row],[PRODUTO]]</f>
        <v>1073-TC-006P-188RMF</v>
      </c>
      <c r="AQ264" s="22" t="str">
        <f>Tabela1[[#This Row],[PRODUTO]]&amp;Tabela1[[#This Row],[TAG]]</f>
        <v>RMF1073-TC-006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3900</v>
      </c>
      <c r="B265" s="21" t="s">
        <v>3901</v>
      </c>
      <c r="C265" s="7">
        <v>1</v>
      </c>
      <c r="D265" s="39" t="s">
        <v>3902</v>
      </c>
      <c r="E265" s="7">
        <v>4150</v>
      </c>
      <c r="F265" s="7" t="s">
        <v>3903</v>
      </c>
      <c r="G265" s="23">
        <v>300.39999999999998</v>
      </c>
      <c r="H265" s="34">
        <f>Tabela1[[#This Row],[PESO UNI]]*Tabela1[[#This Row],[QTE]]</f>
        <v>300.39999999999998</v>
      </c>
      <c r="I265" s="7">
        <v>0</v>
      </c>
      <c r="J265" s="8" t="s">
        <v>2276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300.39999999999998</v>
      </c>
      <c r="S265" s="18">
        <f t="shared" si="49"/>
        <v>300.39999999999998</v>
      </c>
      <c r="T265" s="19">
        <f t="shared" si="44"/>
        <v>0</v>
      </c>
      <c r="U265" s="206">
        <v>1</v>
      </c>
      <c r="V265" s="12" t="str">
        <f>IFERROR(VLOOKUP(Tabela1[[#This Row],[COD.MDE]],'LISTA DE EMBARQUE'!B:L,11,0),"")</f>
        <v/>
      </c>
      <c r="W265" s="13"/>
      <c r="X265" s="14">
        <f>IFERROR(Tabela1[[#This Row],[QIANTIDADE EXPEDIDA]]*Tabela1[[#This Row],[PESO UNI]],"")</f>
        <v>300.39999999999998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T-072981-1/1073-TC-007</v>
      </c>
      <c r="AP265" t="str">
        <f>Tabela1[[#This Row],[TAG]]&amp;Tabela1[[#This Row],[PEDIDO]]&amp;Tabela1[[#This Row],[PRODUTO]]</f>
        <v>1073-TC-007P-188RMF</v>
      </c>
      <c r="AQ265" s="22" t="str">
        <f>Tabela1[[#This Row],[PRODUTO]]&amp;Tabela1[[#This Row],[TAG]]</f>
        <v>RMF1073-TC-007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300.39999999999998</v>
      </c>
      <c r="AV265" s="37">
        <f t="shared" si="47"/>
        <v>300.39999999999998</v>
      </c>
      <c r="AW265" s="37"/>
    </row>
    <row r="266" spans="1:49" ht="15.75" hidden="1" customHeight="1" x14ac:dyDescent="0.25">
      <c r="A266" s="6" t="s">
        <v>3904</v>
      </c>
      <c r="B266" s="21" t="s">
        <v>3905</v>
      </c>
      <c r="C266" s="7">
        <v>1</v>
      </c>
      <c r="D266" s="39" t="s">
        <v>3906</v>
      </c>
      <c r="E266" s="7">
        <v>4151</v>
      </c>
      <c r="F266" s="7" t="s">
        <v>3903</v>
      </c>
      <c r="G266" s="23">
        <v>273.2</v>
      </c>
      <c r="H266" s="34">
        <f>Tabela1[[#This Row],[PESO UNI]]*Tabela1[[#This Row],[QTE]]</f>
        <v>273.2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273.2</v>
      </c>
      <c r="S266" s="18">
        <f t="shared" si="49"/>
        <v>273.2</v>
      </c>
      <c r="T266" s="19">
        <f t="shared" si="44"/>
        <v>0</v>
      </c>
      <c r="U266" s="206">
        <v>1</v>
      </c>
      <c r="V266" s="12" t="str">
        <f>IFERROR(VLOOKUP(Tabela1[[#This Row],[COD.MDE]],'LISTA DE EMBARQUE'!B:L,11,0),"")</f>
        <v/>
      </c>
      <c r="W266" s="13"/>
      <c r="X266" s="14">
        <f>IFERROR(Tabela1[[#This Row],[QIANTIDADE EXPEDIDA]]*Tabela1[[#This Row],[PESO UNI]],"")</f>
        <v>273.2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273.2</v>
      </c>
      <c r="AV266" s="37">
        <f t="shared" si="47"/>
        <v>273.2</v>
      </c>
      <c r="AW266" s="37"/>
    </row>
    <row r="267" spans="1:49" ht="15.75" hidden="1" customHeight="1" x14ac:dyDescent="0.25">
      <c r="A267" s="6" t="s">
        <v>3904</v>
      </c>
      <c r="B267" s="21" t="s">
        <v>3907</v>
      </c>
      <c r="C267" s="7">
        <v>1</v>
      </c>
      <c r="D267" s="39" t="s">
        <v>3908</v>
      </c>
      <c r="E267" s="7">
        <v>4152</v>
      </c>
      <c r="F267" s="7" t="s">
        <v>3903</v>
      </c>
      <c r="G267" s="23">
        <v>97.8</v>
      </c>
      <c r="H267" s="34">
        <f>Tabela1[[#This Row],[PESO UNI]]*Tabela1[[#This Row],[QTE]]</f>
        <v>97.8</v>
      </c>
      <c r="I267" s="7">
        <v>1</v>
      </c>
      <c r="J267" s="8" t="s">
        <v>2274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97.8</v>
      </c>
      <c r="S267" s="18">
        <f t="shared" si="49"/>
        <v>97.8</v>
      </c>
      <c r="T267" s="19">
        <f t="shared" si="44"/>
        <v>0</v>
      </c>
      <c r="U267" s="206">
        <v>1</v>
      </c>
      <c r="V267" s="12" t="str">
        <f>IFERROR(VLOOKUP(Tabela1[[#This Row],[COD.MDE]],'LISTA DE EMBARQUE'!B:L,11,0),"")</f>
        <v/>
      </c>
      <c r="W267" s="13"/>
      <c r="X267" s="14">
        <f>IFERROR(Tabela1[[#This Row],[QIANTIDADE EXPEDIDA]]*Tabela1[[#This Row],[PESO UNI]],"")</f>
        <v>97.8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T-072982-1/1073-TC-006</v>
      </c>
      <c r="AP267" t="str">
        <f>Tabela1[[#This Row],[TAG]]&amp;Tabela1[[#This Row],[PEDIDO]]&amp;Tabela1[[#This Row],[PRODUTO]]</f>
        <v>1073-TC-006P-188RMF</v>
      </c>
      <c r="AQ267" s="22" t="str">
        <f>Tabela1[[#This Row],[PRODUTO]]&amp;Tabela1[[#This Row],[TAG]]</f>
        <v>RMF1073-TC-006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97.8</v>
      </c>
      <c r="AV267" s="37">
        <f t="shared" si="47"/>
        <v>97.8</v>
      </c>
      <c r="AW267" s="37"/>
    </row>
    <row r="268" spans="1:49" ht="15.75" hidden="1" customHeight="1" x14ac:dyDescent="0.25">
      <c r="A268" s="6" t="s">
        <v>3904</v>
      </c>
      <c r="B268" s="21" t="s">
        <v>3905</v>
      </c>
      <c r="C268" s="7">
        <v>1</v>
      </c>
      <c r="D268" s="39" t="s">
        <v>3906</v>
      </c>
      <c r="E268" s="7">
        <v>4153</v>
      </c>
      <c r="F268" s="7" t="s">
        <v>3903</v>
      </c>
      <c r="G268" s="23">
        <v>273.2</v>
      </c>
      <c r="H268" s="34">
        <f>Tabela1[[#This Row],[PESO UNI]]*Tabela1[[#This Row],[QTE]]</f>
        <v>273.2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273.2</v>
      </c>
      <c r="S268" s="18">
        <f t="shared" si="49"/>
        <v>273.2</v>
      </c>
      <c r="T268" s="19">
        <f t="shared" si="44"/>
        <v>0</v>
      </c>
      <c r="U268" s="16">
        <f>IFERROR(SUMIF('LISTA DE EMBARQUE'!B:B,MICRO!E:E,'LISTA DE EMBARQUE'!G:G),"")</f>
        <v>0</v>
      </c>
      <c r="V268" s="12" t="str">
        <f>IFERROR(VLOOKUP(Tabela1[[#This Row],[COD.MDE]],'LISTA DE EMBARQUE'!B:L,11,0),"")</f>
        <v/>
      </c>
      <c r="W268" s="13" t="str">
        <f>IFERROR(VLOOKUP(Tabela1[[#This Row],[COD.MDE]],'LISTA DE EMBARQUE'!B:M,12,0),"")</f>
        <v/>
      </c>
      <c r="X268" s="14">
        <f>IFERROR(Tabela1[[#This Row],[QIANTIDADE EXPEDIDA]]*Tabela1[[#This Row],[PESO UNI]],"")</f>
        <v>0</v>
      </c>
      <c r="Y268" s="14">
        <f t="shared" si="48"/>
        <v>-1</v>
      </c>
      <c r="Z268" s="20">
        <f>Tabela1[[#This Row],[PESO TOTAL]]-Tabela1[[#This Row],[Peso Expedido]]</f>
        <v>273.2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/>
      <c r="AI268" s="33" t="str">
        <f t="shared" si="45"/>
        <v/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273.2</v>
      </c>
      <c r="AU268" s="37">
        <f t="shared" si="46"/>
        <v>0</v>
      </c>
      <c r="AV268" s="37">
        <f t="shared" si="47"/>
        <v>273.2</v>
      </c>
      <c r="AW268" s="37"/>
    </row>
    <row r="269" spans="1:49" ht="15.75" hidden="1" customHeight="1" x14ac:dyDescent="0.25">
      <c r="A269" s="6" t="s">
        <v>3904</v>
      </c>
      <c r="B269" s="21" t="s">
        <v>3907</v>
      </c>
      <c r="C269" s="7">
        <v>1</v>
      </c>
      <c r="D269" s="39" t="s">
        <v>3908</v>
      </c>
      <c r="E269" s="7">
        <v>4154</v>
      </c>
      <c r="F269" s="7" t="s">
        <v>3903</v>
      </c>
      <c r="G269" s="23">
        <v>97.8</v>
      </c>
      <c r="H269" s="34">
        <f>Tabela1[[#This Row],[PESO UNI]]*Tabela1[[#This Row],[QTE]]</f>
        <v>97.8</v>
      </c>
      <c r="I269" s="7">
        <v>1</v>
      </c>
      <c r="J269" s="8" t="s">
        <v>2276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97.8</v>
      </c>
      <c r="S269" s="18">
        <f t="shared" si="49"/>
        <v>97.8</v>
      </c>
      <c r="T269" s="19">
        <f t="shared" si="44"/>
        <v>0</v>
      </c>
      <c r="U269" s="206">
        <v>1</v>
      </c>
      <c r="V269" s="12" t="str">
        <f>IFERROR(VLOOKUP(Tabela1[[#This Row],[COD.MDE]],'LISTA DE EMBARQUE'!B:L,11,0),"")</f>
        <v/>
      </c>
      <c r="W269" s="13"/>
      <c r="X269" s="14">
        <f>IFERROR(Tabela1[[#This Row],[QIANTIDADE EXPEDIDA]]*Tabela1[[#This Row],[PESO UNI]],"")</f>
        <v>97.8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T-072982-1/1073-TC-007</v>
      </c>
      <c r="AP269" t="str">
        <f>Tabela1[[#This Row],[TAG]]&amp;Tabela1[[#This Row],[PEDIDO]]&amp;Tabela1[[#This Row],[PRODUTO]]</f>
        <v>1073-TC-007P-188RMF</v>
      </c>
      <c r="AQ269" s="22" t="str">
        <f>Tabela1[[#This Row],[PRODUTO]]&amp;Tabela1[[#This Row],[TAG]]</f>
        <v>RMF1073-TC-007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97.8</v>
      </c>
      <c r="AV269" s="37">
        <f t="shared" si="47"/>
        <v>97.8</v>
      </c>
      <c r="AW269" s="37"/>
    </row>
    <row r="270" spans="1:49" ht="15.75" hidden="1" customHeight="1" x14ac:dyDescent="0.25">
      <c r="A270" s="6" t="s">
        <v>3909</v>
      </c>
      <c r="B270" s="21" t="s">
        <v>3910</v>
      </c>
      <c r="C270" s="7">
        <v>1</v>
      </c>
      <c r="D270" s="39" t="s">
        <v>3911</v>
      </c>
      <c r="E270" s="7">
        <v>4155</v>
      </c>
      <c r="F270" s="7" t="s">
        <v>3903</v>
      </c>
      <c r="G270" s="23">
        <v>20.350000000000001</v>
      </c>
      <c r="H270" s="34">
        <f>Tabela1[[#This Row],[PESO UNI]]*Tabela1[[#This Row],[QTE]]</f>
        <v>20.350000000000001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20.350000000000001</v>
      </c>
      <c r="S270" s="18">
        <f t="shared" si="49"/>
        <v>20.350000000000001</v>
      </c>
      <c r="T270" s="19">
        <f t="shared" si="44"/>
        <v>0</v>
      </c>
      <c r="U270" s="206">
        <v>1</v>
      </c>
      <c r="V270" s="12" t="str">
        <f>IFERROR(VLOOKUP(Tabela1[[#This Row],[COD.MDE]],'LISTA DE EMBARQUE'!B:L,11,0),"")</f>
        <v/>
      </c>
      <c r="W270" s="13"/>
      <c r="X270" s="14">
        <f>IFERROR(Tabela1[[#This Row],[QIANTIDADE EXPEDIDA]]*Tabela1[[#This Row],[PESO UNI]],"")</f>
        <v>20.350000000000001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20.350000000000001</v>
      </c>
      <c r="AV270" s="37">
        <f t="shared" si="47"/>
        <v>20.350000000000001</v>
      </c>
      <c r="AW270" s="37"/>
    </row>
    <row r="271" spans="1:49" ht="15.75" hidden="1" customHeight="1" x14ac:dyDescent="0.25">
      <c r="A271" s="6" t="s">
        <v>3909</v>
      </c>
      <c r="B271" s="21" t="s">
        <v>2996</v>
      </c>
      <c r="C271" s="7">
        <v>1</v>
      </c>
      <c r="D271" s="39" t="s">
        <v>3912</v>
      </c>
      <c r="E271" s="7">
        <v>4156</v>
      </c>
      <c r="F271" s="7" t="s">
        <v>3903</v>
      </c>
      <c r="G271" s="23">
        <v>1</v>
      </c>
      <c r="H271" s="34">
        <f>Tabela1[[#This Row],[PESO UNI]]*Tabela1[[#This Row],[QTE]]</f>
        <v>1</v>
      </c>
      <c r="I271" s="7">
        <v>0</v>
      </c>
      <c r="J271" s="8" t="s">
        <v>2274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1</v>
      </c>
      <c r="S271" s="18">
        <f t="shared" si="49"/>
        <v>1</v>
      </c>
      <c r="T271" s="19">
        <f t="shared" si="44"/>
        <v>0</v>
      </c>
      <c r="U271" s="206">
        <v>1</v>
      </c>
      <c r="V271" s="12" t="str">
        <f>IFERROR(VLOOKUP(Tabela1[[#This Row],[COD.MDE]],'LISTA DE EMBARQUE'!B:L,11,0),"")</f>
        <v/>
      </c>
      <c r="W271" s="13"/>
      <c r="X271" s="14">
        <f>IFERROR(Tabela1[[#This Row],[QIANTIDADE EXPEDIDA]]*Tabela1[[#This Row],[PESO UNI]],"")</f>
        <v>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T-072983-1/1073-TC-006</v>
      </c>
      <c r="AP271" t="str">
        <f>Tabela1[[#This Row],[TAG]]&amp;Tabela1[[#This Row],[PEDIDO]]&amp;Tabela1[[#This Row],[PRODUTO]]</f>
        <v>1073-TC-006P-188RMF</v>
      </c>
      <c r="AQ271" s="22" t="str">
        <f>Tabela1[[#This Row],[PRODUTO]]&amp;Tabela1[[#This Row],[TAG]]</f>
        <v>RMF1073-TC-006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1</v>
      </c>
      <c r="AV271" s="37">
        <f t="shared" si="47"/>
        <v>1</v>
      </c>
      <c r="AW271" s="37"/>
    </row>
    <row r="272" spans="1:49" ht="15.75" hidden="1" customHeight="1" x14ac:dyDescent="0.25">
      <c r="A272" s="6" t="s">
        <v>3909</v>
      </c>
      <c r="B272" s="21" t="s">
        <v>3910</v>
      </c>
      <c r="C272" s="7">
        <v>1</v>
      </c>
      <c r="D272" s="39" t="s">
        <v>3911</v>
      </c>
      <c r="E272" s="7">
        <v>4157</v>
      </c>
      <c r="F272" s="7" t="s">
        <v>3903</v>
      </c>
      <c r="G272" s="23">
        <v>20.350000000000001</v>
      </c>
      <c r="H272" s="34">
        <f>Tabela1[[#This Row],[PESO UNI]]*Tabela1[[#This Row],[QTE]]</f>
        <v>20.350000000000001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20.350000000000001</v>
      </c>
      <c r="S272" s="18">
        <f t="shared" si="49"/>
        <v>20.350000000000001</v>
      </c>
      <c r="T272" s="19">
        <f t="shared" si="44"/>
        <v>0</v>
      </c>
      <c r="U272" s="206">
        <v>1</v>
      </c>
      <c r="V272" s="12" t="str">
        <f>IFERROR(VLOOKUP(Tabela1[[#This Row],[COD.MDE]],'LISTA DE EMBARQUE'!B:L,11,0),"")</f>
        <v/>
      </c>
      <c r="W272" s="13"/>
      <c r="X272" s="14">
        <f>IFERROR(Tabela1[[#This Row],[QIANTIDADE EXPEDIDA]]*Tabela1[[#This Row],[PESO UNI]],"")</f>
        <v>20.350000000000001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20.350000000000001</v>
      </c>
      <c r="AV272" s="37">
        <f t="shared" si="47"/>
        <v>20.350000000000001</v>
      </c>
      <c r="AW272" s="37"/>
    </row>
    <row r="273" spans="1:49" ht="15.75" hidden="1" customHeight="1" x14ac:dyDescent="0.25">
      <c r="A273" s="6" t="s">
        <v>3909</v>
      </c>
      <c r="B273" s="21" t="s">
        <v>2996</v>
      </c>
      <c r="C273" s="7">
        <v>1</v>
      </c>
      <c r="D273" s="39" t="s">
        <v>3912</v>
      </c>
      <c r="E273" s="7">
        <v>4158</v>
      </c>
      <c r="F273" s="7" t="s">
        <v>3903</v>
      </c>
      <c r="G273" s="23">
        <v>1</v>
      </c>
      <c r="H273" s="34">
        <f>Tabela1[[#This Row],[PESO UNI]]*Tabela1[[#This Row],[QTE]]</f>
        <v>1</v>
      </c>
      <c r="I273" s="7">
        <v>0</v>
      </c>
      <c r="J273" s="8" t="s">
        <v>2276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-1</v>
      </c>
      <c r="R273" s="18">
        <f t="shared" si="43"/>
        <v>1</v>
      </c>
      <c r="S273" s="18">
        <f t="shared" si="49"/>
        <v>1</v>
      </c>
      <c r="T273" s="19">
        <f t="shared" si="44"/>
        <v>0</v>
      </c>
      <c r="U273" s="206">
        <v>1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1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T-072983-1/1073-TC-007</v>
      </c>
      <c r="AP273" t="str">
        <f>Tabela1[[#This Row],[TAG]]&amp;Tabela1[[#This Row],[PEDIDO]]&amp;Tabela1[[#This Row],[PRODUTO]]</f>
        <v>1073-TC-007P-188RMF</v>
      </c>
      <c r="AQ273" s="22" t="str">
        <f>Tabela1[[#This Row],[PRODUTO]]&amp;Tabela1[[#This Row],[TAG]]</f>
        <v>RMF1073-TC-007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1</v>
      </c>
      <c r="AV273" s="37">
        <f t="shared" si="47"/>
        <v>1</v>
      </c>
      <c r="AW273" s="37"/>
    </row>
    <row r="274" spans="1:49" ht="15.75" hidden="1" customHeight="1" x14ac:dyDescent="0.25">
      <c r="A274" s="6" t="s">
        <v>3913</v>
      </c>
      <c r="B274" s="21" t="s">
        <v>3914</v>
      </c>
      <c r="C274" s="7">
        <v>30</v>
      </c>
      <c r="D274" s="39" t="s">
        <v>3915</v>
      </c>
      <c r="E274" s="7">
        <v>4159</v>
      </c>
      <c r="F274" s="7" t="s">
        <v>3916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3790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3913</v>
      </c>
      <c r="B275" s="21" t="s">
        <v>3917</v>
      </c>
      <c r="C275" s="7">
        <v>30</v>
      </c>
      <c r="D275" s="39" t="s">
        <v>3918</v>
      </c>
      <c r="E275" s="7">
        <v>4160</v>
      </c>
      <c r="F275" s="7" t="s">
        <v>3916</v>
      </c>
      <c r="G275" s="23">
        <v>8.8699999999999992</v>
      </c>
      <c r="H275" s="34">
        <f>Tabela1[[#This Row],[PESO UNI]]*Tabela1[[#This Row],[QTE]]</f>
        <v>266.09999999999997</v>
      </c>
      <c r="I275" s="7">
        <v>0</v>
      </c>
      <c r="J275" s="8" t="s">
        <v>3790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-30</v>
      </c>
      <c r="R275" s="18">
        <f t="shared" si="43"/>
        <v>266.09999999999997</v>
      </c>
      <c r="S275" s="18">
        <f t="shared" si="49"/>
        <v>266.09999999999997</v>
      </c>
      <c r="T275" s="19">
        <f t="shared" si="44"/>
        <v>0</v>
      </c>
      <c r="U275" s="206">
        <v>30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266.09999999999997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266.09999999999997</v>
      </c>
      <c r="AV275" s="37">
        <f t="shared" si="47"/>
        <v>266.09999999999997</v>
      </c>
      <c r="AW275" s="37"/>
    </row>
    <row r="276" spans="1:49" ht="15.75" hidden="1" customHeight="1" x14ac:dyDescent="0.25">
      <c r="A276" s="6" t="s">
        <v>3913</v>
      </c>
      <c r="B276" s="21" t="s">
        <v>3919</v>
      </c>
      <c r="C276" s="7">
        <v>40</v>
      </c>
      <c r="D276" s="39" t="s">
        <v>3920</v>
      </c>
      <c r="E276" s="7">
        <v>4161</v>
      </c>
      <c r="F276" s="7" t="s">
        <v>3916</v>
      </c>
      <c r="G276" s="23">
        <v>4.3099999999999996</v>
      </c>
      <c r="H276" s="34">
        <f>Tabela1[[#This Row],[PESO UNI]]*Tabela1[[#This Row],[QTE]]</f>
        <v>172.39999999999998</v>
      </c>
      <c r="I276" s="7">
        <v>0</v>
      </c>
      <c r="J276" s="8" t="s">
        <v>3790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-40</v>
      </c>
      <c r="R276" s="18">
        <f t="shared" si="43"/>
        <v>172.39999999999998</v>
      </c>
      <c r="S276" s="18">
        <f t="shared" si="49"/>
        <v>172.39999999999998</v>
      </c>
      <c r="T276" s="19">
        <f t="shared" si="44"/>
        <v>0</v>
      </c>
      <c r="U276" s="206">
        <v>40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172.39999999999998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172.39999999999998</v>
      </c>
      <c r="AV276" s="37">
        <f t="shared" si="47"/>
        <v>172.39999999999998</v>
      </c>
      <c r="AW276" s="37"/>
    </row>
    <row r="277" spans="1:49" ht="15.75" hidden="1" customHeight="1" x14ac:dyDescent="0.25">
      <c r="A277" s="6" t="s">
        <v>3913</v>
      </c>
      <c r="B277" s="21" t="s">
        <v>3921</v>
      </c>
      <c r="C277" s="7">
        <v>10</v>
      </c>
      <c r="D277" s="39" t="s">
        <v>3922</v>
      </c>
      <c r="E277" s="7">
        <v>4162</v>
      </c>
      <c r="F277" s="7" t="s">
        <v>3916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3790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3913</v>
      </c>
      <c r="B278" s="21" t="s">
        <v>3923</v>
      </c>
      <c r="C278" s="7">
        <v>10</v>
      </c>
      <c r="D278" s="39" t="s">
        <v>3924</v>
      </c>
      <c r="E278" s="7">
        <v>4163</v>
      </c>
      <c r="F278" s="7" t="s">
        <v>3916</v>
      </c>
      <c r="G278" s="23">
        <v>83.6</v>
      </c>
      <c r="H278" s="34">
        <f>Tabela1[[#This Row],[PESO UNI]]*Tabela1[[#This Row],[QTE]]</f>
        <v>836</v>
      </c>
      <c r="I278" s="7">
        <v>0</v>
      </c>
      <c r="J278" s="8" t="s">
        <v>3790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-10</v>
      </c>
      <c r="R278" s="18">
        <f t="shared" si="43"/>
        <v>836</v>
      </c>
      <c r="S278" s="18">
        <f t="shared" si="49"/>
        <v>836</v>
      </c>
      <c r="T278" s="19">
        <f t="shared" si="44"/>
        <v>0</v>
      </c>
      <c r="U278" s="206">
        <v>10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836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836</v>
      </c>
      <c r="AV278" s="37">
        <f t="shared" si="47"/>
        <v>836</v>
      </c>
      <c r="AW278" s="37"/>
    </row>
    <row r="279" spans="1:49" ht="15.75" hidden="1" customHeight="1" x14ac:dyDescent="0.25">
      <c r="A279" s="6" t="s">
        <v>3913</v>
      </c>
      <c r="B279" s="21" t="s">
        <v>3925</v>
      </c>
      <c r="C279" s="7">
        <v>22</v>
      </c>
      <c r="D279" s="39" t="s">
        <v>3926</v>
      </c>
      <c r="E279" s="7">
        <v>4164</v>
      </c>
      <c r="F279" s="7" t="s">
        <v>3916</v>
      </c>
      <c r="G279" s="23">
        <v>2.85</v>
      </c>
      <c r="H279" s="34">
        <f>Tabela1[[#This Row],[PESO UNI]]*Tabela1[[#This Row],[QTE]]</f>
        <v>62.7</v>
      </c>
      <c r="I279" s="7">
        <v>0</v>
      </c>
      <c r="J279" s="8" t="s">
        <v>3790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-22</v>
      </c>
      <c r="R279" s="18">
        <f t="shared" si="43"/>
        <v>62.7</v>
      </c>
      <c r="S279" s="18">
        <f t="shared" si="49"/>
        <v>62.7</v>
      </c>
      <c r="T279" s="19">
        <f t="shared" si="44"/>
        <v>0</v>
      </c>
      <c r="U279" s="206">
        <v>22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62.7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62.7</v>
      </c>
      <c r="AV279" s="37">
        <f t="shared" si="47"/>
        <v>62.7</v>
      </c>
      <c r="AW279" s="37"/>
    </row>
    <row r="280" spans="1:49" ht="15.75" hidden="1" customHeight="1" x14ac:dyDescent="0.25">
      <c r="A280" s="6" t="s">
        <v>3913</v>
      </c>
      <c r="B280" s="21" t="s">
        <v>3927</v>
      </c>
      <c r="C280" s="7">
        <v>2</v>
      </c>
      <c r="D280" s="39" t="s">
        <v>3928</v>
      </c>
      <c r="E280" s="7">
        <v>4165</v>
      </c>
      <c r="F280" s="7" t="s">
        <v>3916</v>
      </c>
      <c r="G280" s="23">
        <v>23</v>
      </c>
      <c r="H280" s="34">
        <f>Tabela1[[#This Row],[PESO UNI]]*Tabela1[[#This Row],[QTE]]</f>
        <v>46</v>
      </c>
      <c r="I280" s="7">
        <v>0</v>
      </c>
      <c r="J280" s="8" t="s">
        <v>3790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-2</v>
      </c>
      <c r="R280" s="18">
        <f t="shared" si="43"/>
        <v>46</v>
      </c>
      <c r="S280" s="18">
        <f t="shared" si="49"/>
        <v>46</v>
      </c>
      <c r="T280" s="19">
        <f t="shared" si="44"/>
        <v>0</v>
      </c>
      <c r="U280" s="206">
        <v>2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46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46</v>
      </c>
      <c r="AV280" s="37">
        <f t="shared" si="47"/>
        <v>46</v>
      </c>
      <c r="AW280" s="37"/>
    </row>
    <row r="281" spans="1:49" ht="15.75" hidden="1" customHeight="1" x14ac:dyDescent="0.25">
      <c r="A281" s="6" t="s">
        <v>3913</v>
      </c>
      <c r="B281" s="21" t="s">
        <v>3929</v>
      </c>
      <c r="C281" s="7">
        <v>60</v>
      </c>
      <c r="D281" s="39" t="s">
        <v>3897</v>
      </c>
      <c r="E281" s="7">
        <v>4166</v>
      </c>
      <c r="F281" s="7" t="s">
        <v>3916</v>
      </c>
      <c r="G281" s="23">
        <v>0.64</v>
      </c>
      <c r="H281" s="34">
        <f>Tabela1[[#This Row],[PESO UNI]]*Tabela1[[#This Row],[QTE]]</f>
        <v>38.4</v>
      </c>
      <c r="I281" s="7">
        <v>0</v>
      </c>
      <c r="J281" s="8" t="s">
        <v>3790</v>
      </c>
      <c r="K281" s="8" t="s">
        <v>327</v>
      </c>
      <c r="L281" s="9" t="s">
        <v>2069</v>
      </c>
      <c r="M281" s="10">
        <v>46134</v>
      </c>
      <c r="N281" s="8" t="s">
        <v>327</v>
      </c>
      <c r="O281" s="12"/>
      <c r="P281" s="13"/>
      <c r="Q281" s="14">
        <f>Tabela1[[#This Row],[QTDE/ Fabricação]]-Tabela1[[#This Row],[QTE]]</f>
        <v>-60</v>
      </c>
      <c r="R281" s="18">
        <f t="shared" si="43"/>
        <v>38.4</v>
      </c>
      <c r="S281" s="18">
        <f t="shared" si="49"/>
        <v>38.4</v>
      </c>
      <c r="T281" s="19">
        <f t="shared" si="44"/>
        <v>0</v>
      </c>
      <c r="U281" s="206">
        <v>60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38.4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T-072968-1/1073-TC-006/007</v>
      </c>
      <c r="AP281" t="str">
        <f>Tabela1[[#This Row],[TAG]]&amp;Tabela1[[#This Row],[PEDIDO]]&amp;Tabela1[[#This Row],[PRODUTO]]</f>
        <v>1073-TC-006/007P-188RMF</v>
      </c>
      <c r="AQ281" s="22" t="str">
        <f>Tabela1[[#This Row],[PRODUTO]]&amp;Tabela1[[#This Row],[TAG]]</f>
        <v>RMF1073-TC-006/007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38.4</v>
      </c>
      <c r="AV281" s="37">
        <f t="shared" si="47"/>
        <v>38.4</v>
      </c>
      <c r="AW281" s="37"/>
    </row>
    <row r="282" spans="1:49" ht="15.75" hidden="1" customHeight="1" x14ac:dyDescent="0.25">
      <c r="A282" s="6" t="s">
        <v>3930</v>
      </c>
      <c r="B282" s="21" t="s">
        <v>3931</v>
      </c>
      <c r="C282" s="7">
        <v>1</v>
      </c>
      <c r="D282" s="39" t="s">
        <v>3781</v>
      </c>
      <c r="E282" s="7">
        <v>4167</v>
      </c>
      <c r="F282" s="7" t="s">
        <v>3932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2274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ref="R282:R345" si="51">IFERROR(H282*((AA282*0.25)+(AC282*0.25)+(AD282*0.225)+(AE282*0.225)+(AF282*0.05)),"")</f>
        <v>466.3</v>
      </c>
      <c r="S282" s="18">
        <f t="shared" si="49"/>
        <v>466.3</v>
      </c>
      <c r="T282" s="19">
        <f t="shared" ref="T282:T345" si="52">IFERROR(S282-H282,"")</f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T-072984-1/1073-TC-006</v>
      </c>
      <c r="AP282" t="str">
        <f>Tabela1[[#This Row],[TAG]]&amp;Tabela1[[#This Row],[PEDIDO]]&amp;Tabela1[[#This Row],[PRODUTO]]</f>
        <v>1073-TC-006P-188RMF</v>
      </c>
      <c r="AQ282" s="22" t="str">
        <f>Tabela1[[#This Row],[PRODUTO]]&amp;Tabela1[[#This Row],[TAG]]</f>
        <v>RMF1073-TC-006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3930</v>
      </c>
      <c r="B283" s="21" t="s">
        <v>3931</v>
      </c>
      <c r="C283" s="7">
        <v>1</v>
      </c>
      <c r="D283" s="39" t="s">
        <v>3781</v>
      </c>
      <c r="E283" s="7">
        <v>4168</v>
      </c>
      <c r="F283" s="7" t="s">
        <v>3932</v>
      </c>
      <c r="G283" s="23">
        <v>466.3</v>
      </c>
      <c r="H283" s="34">
        <f>Tabela1[[#This Row],[PESO UNI]]*Tabela1[[#This Row],[QTE]]</f>
        <v>466.3</v>
      </c>
      <c r="I283" s="7">
        <v>2</v>
      </c>
      <c r="J283" s="8" t="s">
        <v>2276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466.3</v>
      </c>
      <c r="S283" s="18">
        <f t="shared" si="49"/>
        <v>466.3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466.3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si="45"/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T-072984-1/1073-TC-007</v>
      </c>
      <c r="AP283" t="str">
        <f>Tabela1[[#This Row],[TAG]]&amp;Tabela1[[#This Row],[PEDIDO]]&amp;Tabela1[[#This Row],[PRODUTO]]</f>
        <v>1073-TC-007P-188RMF</v>
      </c>
      <c r="AQ283" s="22" t="str">
        <f>Tabela1[[#This Row],[PRODUTO]]&amp;Tabela1[[#This Row],[TAG]]</f>
        <v>RMF1073-TC-007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466.3</v>
      </c>
      <c r="AV283" s="37">
        <f t="shared" si="47"/>
        <v>466.3</v>
      </c>
      <c r="AW283" s="37"/>
    </row>
    <row r="284" spans="1:49" ht="15.75" hidden="1" customHeight="1" x14ac:dyDescent="0.25">
      <c r="A284" s="6" t="s">
        <v>3933</v>
      </c>
      <c r="B284" s="21" t="s">
        <v>3934</v>
      </c>
      <c r="C284" s="7">
        <v>1</v>
      </c>
      <c r="D284" s="39" t="s">
        <v>3781</v>
      </c>
      <c r="E284" s="7">
        <v>4169</v>
      </c>
      <c r="F284" s="7" t="s">
        <v>3932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2274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ref="AI284:AI347" si="53">IF(Z284&lt;=0,"ok","")</f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T-072985-1/1073-TC-006</v>
      </c>
      <c r="AP284" t="str">
        <f>Tabela1[[#This Row],[TAG]]&amp;Tabela1[[#This Row],[PEDIDO]]&amp;Tabela1[[#This Row],[PRODUTO]]</f>
        <v>1073-TC-006P-188RMF</v>
      </c>
      <c r="AQ284" s="22" t="str">
        <f>Tabela1[[#This Row],[PRODUTO]]&amp;Tabela1[[#This Row],[TAG]]</f>
        <v>RMF1073-TC-006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3933</v>
      </c>
      <c r="B285" s="21" t="s">
        <v>3934</v>
      </c>
      <c r="C285" s="7">
        <v>1</v>
      </c>
      <c r="D285" s="39" t="s">
        <v>3781</v>
      </c>
      <c r="E285" s="7">
        <v>4170</v>
      </c>
      <c r="F285" s="7" t="s">
        <v>3932</v>
      </c>
      <c r="G285" s="23">
        <v>320.39999999999998</v>
      </c>
      <c r="H285" s="34">
        <f>Tabela1[[#This Row],[PESO UNI]]*Tabela1[[#This Row],[QTE]]</f>
        <v>320.39999999999998</v>
      </c>
      <c r="I285" s="7">
        <v>2</v>
      </c>
      <c r="J285" s="8" t="s">
        <v>2276</v>
      </c>
      <c r="K285" s="8" t="s">
        <v>327</v>
      </c>
      <c r="L285" s="9" t="s">
        <v>2069</v>
      </c>
      <c r="M285" s="10">
        <v>46150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320.39999999999998</v>
      </c>
      <c r="S285" s="18">
        <f t="shared" si="49"/>
        <v>320.39999999999998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320.39999999999998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T-072985-1/1073-TC-007</v>
      </c>
      <c r="AP285" t="str">
        <f>Tabela1[[#This Row],[TAG]]&amp;Tabela1[[#This Row],[PEDIDO]]&amp;Tabela1[[#This Row],[PRODUTO]]</f>
        <v>1073-TC-007P-188RMF</v>
      </c>
      <c r="AQ285" s="22" t="str">
        <f>Tabela1[[#This Row],[PRODUTO]]&amp;Tabela1[[#This Row],[TAG]]</f>
        <v>RMF1073-TC-007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320.39999999999998</v>
      </c>
      <c r="AV285" s="37">
        <f t="shared" si="47"/>
        <v>320.39999999999998</v>
      </c>
      <c r="AW285" s="37"/>
    </row>
    <row r="286" spans="1:49" ht="15.75" hidden="1" customHeight="1" x14ac:dyDescent="0.25">
      <c r="A286" s="6" t="s">
        <v>3935</v>
      </c>
      <c r="B286" s="21" t="s">
        <v>3936</v>
      </c>
      <c r="C286" s="7">
        <v>1</v>
      </c>
      <c r="D286" s="39" t="s">
        <v>3937</v>
      </c>
      <c r="E286" s="7">
        <v>4171</v>
      </c>
      <c r="F286" s="7" t="s">
        <v>3932</v>
      </c>
      <c r="G286" s="23">
        <v>32.9</v>
      </c>
      <c r="H286" s="34">
        <f>Tabela1[[#This Row],[PESO UNI]]*Tabela1[[#This Row],[QTE]]</f>
        <v>32.9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32.9</v>
      </c>
      <c r="S286" s="18">
        <f t="shared" si="49"/>
        <v>32.9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32.9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32.9</v>
      </c>
      <c r="AV286" s="37">
        <f t="shared" si="47"/>
        <v>32.9</v>
      </c>
      <c r="AW286" s="37"/>
    </row>
    <row r="287" spans="1:49" ht="15.75" hidden="1" customHeight="1" x14ac:dyDescent="0.25">
      <c r="A287" s="6" t="s">
        <v>3935</v>
      </c>
      <c r="B287" s="21" t="s">
        <v>3938</v>
      </c>
      <c r="C287" s="7">
        <v>1</v>
      </c>
      <c r="D287" s="39" t="s">
        <v>3937</v>
      </c>
      <c r="E287" s="7">
        <v>4172</v>
      </c>
      <c r="F287" s="7" t="s">
        <v>3932</v>
      </c>
      <c r="G287" s="23">
        <v>45.6</v>
      </c>
      <c r="H287" s="34">
        <f>Tabela1[[#This Row],[PESO UNI]]*Tabela1[[#This Row],[QTE]]</f>
        <v>45.6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45.6</v>
      </c>
      <c r="S287" s="18">
        <f t="shared" si="49"/>
        <v>45.6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45.6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45.6</v>
      </c>
      <c r="AV287" s="37">
        <f t="shared" si="47"/>
        <v>45.6</v>
      </c>
      <c r="AW287" s="37"/>
    </row>
    <row r="288" spans="1:49" ht="15.75" hidden="1" customHeight="1" x14ac:dyDescent="0.25">
      <c r="A288" s="6" t="s">
        <v>3935</v>
      </c>
      <c r="B288" s="21" t="s">
        <v>3939</v>
      </c>
      <c r="C288" s="7">
        <v>1</v>
      </c>
      <c r="D288" s="39" t="s">
        <v>3937</v>
      </c>
      <c r="E288" s="7">
        <v>4173</v>
      </c>
      <c r="F288" s="7" t="s">
        <v>3932</v>
      </c>
      <c r="G288" s="23">
        <v>22.2</v>
      </c>
      <c r="H288" s="34">
        <f>Tabela1[[#This Row],[PESO UNI]]*Tabela1[[#This Row],[QTE]]</f>
        <v>22.2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22.2</v>
      </c>
      <c r="S288" s="18">
        <f t="shared" si="49"/>
        <v>22.2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22.2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22.2</v>
      </c>
      <c r="AV288" s="37">
        <f t="shared" si="47"/>
        <v>22.2</v>
      </c>
      <c r="AW288" s="37"/>
    </row>
    <row r="289" spans="1:49" ht="15.75" hidden="1" customHeight="1" x14ac:dyDescent="0.25">
      <c r="A289" s="6" t="s">
        <v>3935</v>
      </c>
      <c r="B289" s="21" t="s">
        <v>3940</v>
      </c>
      <c r="C289" s="7">
        <v>1</v>
      </c>
      <c r="D289" s="39" t="s">
        <v>3937</v>
      </c>
      <c r="E289" s="7">
        <v>4174</v>
      </c>
      <c r="F289" s="7" t="s">
        <v>3932</v>
      </c>
      <c r="G289" s="23">
        <v>34</v>
      </c>
      <c r="H289" s="34">
        <f>Tabela1[[#This Row],[PESO UNI]]*Tabela1[[#This Row],[QTE]]</f>
        <v>34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34</v>
      </c>
      <c r="S289" s="18">
        <f t="shared" si="49"/>
        <v>34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34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34</v>
      </c>
      <c r="AV289" s="37">
        <f t="shared" si="47"/>
        <v>34</v>
      </c>
      <c r="AW289" s="37"/>
    </row>
    <row r="290" spans="1:49" ht="15.75" hidden="1" customHeight="1" x14ac:dyDescent="0.25">
      <c r="A290" s="6" t="s">
        <v>3935</v>
      </c>
      <c r="B290" s="21" t="s">
        <v>3941</v>
      </c>
      <c r="C290" s="7">
        <v>1</v>
      </c>
      <c r="D290" s="39" t="s">
        <v>3937</v>
      </c>
      <c r="E290" s="7">
        <v>4175</v>
      </c>
      <c r="F290" s="7" t="s">
        <v>3932</v>
      </c>
      <c r="G290" s="23">
        <v>10.199999999999999</v>
      </c>
      <c r="H290" s="34">
        <f>Tabela1[[#This Row],[PESO UNI]]*Tabela1[[#This Row],[QTE]]</f>
        <v>10.199999999999999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10.199999999999999</v>
      </c>
      <c r="S290" s="18">
        <f t="shared" si="49"/>
        <v>10.199999999999999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10.199999999999999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10.199999999999999</v>
      </c>
      <c r="AV290" s="37">
        <f t="shared" si="47"/>
        <v>10.199999999999999</v>
      </c>
      <c r="AW290" s="37"/>
    </row>
    <row r="291" spans="1:49" ht="15.75" hidden="1" customHeight="1" x14ac:dyDescent="0.25">
      <c r="A291" s="6" t="s">
        <v>3935</v>
      </c>
      <c r="B291" s="21" t="s">
        <v>3942</v>
      </c>
      <c r="C291" s="7">
        <v>1</v>
      </c>
      <c r="D291" s="39" t="s">
        <v>3937</v>
      </c>
      <c r="E291" s="7">
        <v>4176</v>
      </c>
      <c r="F291" s="7" t="s">
        <v>3932</v>
      </c>
      <c r="G291" s="23">
        <v>49.8</v>
      </c>
      <c r="H291" s="34">
        <f>Tabela1[[#This Row],[PESO UNI]]*Tabela1[[#This Row],[QTE]]</f>
        <v>49.8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49.8</v>
      </c>
      <c r="S291" s="18">
        <f t="shared" si="49"/>
        <v>49.8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49.8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49.8</v>
      </c>
      <c r="AV291" s="37">
        <f t="shared" si="47"/>
        <v>49.8</v>
      </c>
      <c r="AW291" s="37"/>
    </row>
    <row r="292" spans="1:49" ht="15.75" hidden="1" customHeight="1" x14ac:dyDescent="0.25">
      <c r="A292" s="6" t="s">
        <v>3935</v>
      </c>
      <c r="B292" s="21" t="s">
        <v>3943</v>
      </c>
      <c r="C292" s="7">
        <v>1</v>
      </c>
      <c r="D292" s="39" t="s">
        <v>3937</v>
      </c>
      <c r="E292" s="7">
        <v>4177</v>
      </c>
      <c r="F292" s="7" t="s">
        <v>3932</v>
      </c>
      <c r="G292" s="23">
        <v>24.3</v>
      </c>
      <c r="H292" s="34">
        <f>Tabela1[[#This Row],[PESO UNI]]*Tabela1[[#This Row],[QTE]]</f>
        <v>24.3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-1</v>
      </c>
      <c r="R292" s="18">
        <f t="shared" si="51"/>
        <v>24.3</v>
      </c>
      <c r="S292" s="18">
        <f t="shared" si="49"/>
        <v>24.3</v>
      </c>
      <c r="T292" s="19">
        <f t="shared" si="52"/>
        <v>0</v>
      </c>
      <c r="U292" s="206">
        <v>1</v>
      </c>
      <c r="V292" s="12" t="str">
        <f>IFERROR(VLOOKUP(Tabela1[[#This Row],[COD.MDE]],'LISTA DE EMBARQUE'!B:L,11,0),"")</f>
        <v/>
      </c>
      <c r="W292" s="13"/>
      <c r="X292" s="14">
        <f>IFERROR(Tabela1[[#This Row],[QIANTIDADE EXPEDIDA]]*Tabela1[[#This Row],[PESO UNI]],"")</f>
        <v>24.3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si="46"/>
        <v>24.3</v>
      </c>
      <c r="AV292" s="37">
        <f t="shared" si="47"/>
        <v>24.3</v>
      </c>
      <c r="AW292" s="37"/>
    </row>
    <row r="293" spans="1:49" ht="15.75" hidden="1" customHeight="1" x14ac:dyDescent="0.25">
      <c r="A293" s="6" t="s">
        <v>3935</v>
      </c>
      <c r="B293" s="21" t="s">
        <v>3944</v>
      </c>
      <c r="C293" s="7">
        <v>4</v>
      </c>
      <c r="D293" s="39" t="s">
        <v>3945</v>
      </c>
      <c r="E293" s="7">
        <v>4178</v>
      </c>
      <c r="F293" s="7" t="s">
        <v>3932</v>
      </c>
      <c r="G293" s="23">
        <v>27.2</v>
      </c>
      <c r="H293" s="34">
        <f>Tabela1[[#This Row],[PESO UNI]]*Tabela1[[#This Row],[QTE]]</f>
        <v>108.8</v>
      </c>
      <c r="I293" s="7">
        <v>0</v>
      </c>
      <c r="J293" s="8" t="s">
        <v>2274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-4</v>
      </c>
      <c r="R293" s="18">
        <f t="shared" si="51"/>
        <v>108.8</v>
      </c>
      <c r="S293" s="18">
        <f t="shared" si="49"/>
        <v>108.8</v>
      </c>
      <c r="T293" s="19">
        <f t="shared" si="52"/>
        <v>0</v>
      </c>
      <c r="U293" s="16">
        <f>IFERROR(SUMIF('LISTA DE EMBARQUE'!B:B,MICRO!E:E,'LISTA DE EMBARQUE'!G:G),"")</f>
        <v>0</v>
      </c>
      <c r="V293" s="12" t="str">
        <f>IFERROR(VLOOKUP(Tabela1[[#This Row],[COD.MDE]],'LISTA DE EMBARQUE'!B:L,11,0),"")</f>
        <v/>
      </c>
      <c r="W293" s="13" t="str">
        <f>IFERROR(VLOOKUP(Tabela1[[#This Row],[COD.MDE]],'LISTA DE EMBARQUE'!B:M,12,0),"")</f>
        <v/>
      </c>
      <c r="X293" s="14">
        <f>IFERROR(Tabela1[[#This Row],[QIANTIDADE EXPEDIDA]]*Tabela1[[#This Row],[PESO UNI]],"")</f>
        <v>0</v>
      </c>
      <c r="Y293" s="14">
        <f t="shared" si="48"/>
        <v>-4</v>
      </c>
      <c r="Z293" s="20">
        <f>Tabela1[[#This Row],[PESO TOTAL]]-Tabela1[[#This Row],[Peso Expedido]]</f>
        <v>108.8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/>
      <c r="AI293" s="33" t="str">
        <f t="shared" si="53"/>
        <v/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T-072986-1/1073-TC-006</v>
      </c>
      <c r="AP293" t="str">
        <f>Tabela1[[#This Row],[TAG]]&amp;Tabela1[[#This Row],[PEDIDO]]&amp;Tabela1[[#This Row],[PRODUTO]]</f>
        <v>1073-TC-006P-188RMF</v>
      </c>
      <c r="AQ293" s="22" t="str">
        <f>Tabela1[[#This Row],[PRODUTO]]&amp;Tabela1[[#This Row],[TAG]]</f>
        <v>RMF1073-TC-006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108.8</v>
      </c>
      <c r="AU293" s="37">
        <f t="shared" ref="AU293:AU356" si="54">IF(AH293="",0,IF(ISTEXT(AH293),H293*VALUE(SUBSTITUTE(AH293,"%",""))/100,H293*AH293))</f>
        <v>0</v>
      </c>
      <c r="AV293" s="37">
        <f t="shared" ref="AV293:AV356" si="55">IF(AG293="",0,IF(ISTEXT(AG293),H293*VALUE(SUBSTITUTE(AG293,"%",""))/100,H293*AG293))</f>
        <v>108.8</v>
      </c>
      <c r="AW293" s="37"/>
    </row>
    <row r="294" spans="1:49" ht="15.75" hidden="1" customHeight="1" x14ac:dyDescent="0.25">
      <c r="A294" s="6" t="s">
        <v>3935</v>
      </c>
      <c r="B294" s="21" t="s">
        <v>3936</v>
      </c>
      <c r="C294" s="7">
        <v>1</v>
      </c>
      <c r="D294" s="39" t="s">
        <v>3937</v>
      </c>
      <c r="E294" s="7">
        <v>4179</v>
      </c>
      <c r="F294" s="7" t="s">
        <v>3932</v>
      </c>
      <c r="G294" s="23">
        <v>32.9</v>
      </c>
      <c r="H294" s="34">
        <f>Tabela1[[#This Row],[PESO UNI]]*Tabela1[[#This Row],[QTE]]</f>
        <v>32.9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32.9</v>
      </c>
      <c r="S294" s="18">
        <f t="shared" si="49"/>
        <v>32.9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32.9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32.9</v>
      </c>
      <c r="AV294" s="37">
        <f t="shared" si="55"/>
        <v>32.9</v>
      </c>
      <c r="AW294" s="37"/>
    </row>
    <row r="295" spans="1:49" ht="15.75" hidden="1" customHeight="1" x14ac:dyDescent="0.25">
      <c r="A295" s="6" t="s">
        <v>3935</v>
      </c>
      <c r="B295" s="21" t="s">
        <v>3938</v>
      </c>
      <c r="C295" s="7">
        <v>1</v>
      </c>
      <c r="D295" s="39" t="s">
        <v>3937</v>
      </c>
      <c r="E295" s="7">
        <v>4180</v>
      </c>
      <c r="F295" s="7" t="s">
        <v>3932</v>
      </c>
      <c r="G295" s="23">
        <v>45.6</v>
      </c>
      <c r="H295" s="34">
        <f>Tabela1[[#This Row],[PESO UNI]]*Tabela1[[#This Row],[QTE]]</f>
        <v>45.6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45.6</v>
      </c>
      <c r="S295" s="18">
        <f t="shared" si="49"/>
        <v>45.6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45.6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45.6</v>
      </c>
      <c r="AV295" s="37">
        <f t="shared" si="55"/>
        <v>45.6</v>
      </c>
      <c r="AW295" s="37"/>
    </row>
    <row r="296" spans="1:49" ht="15.75" hidden="1" customHeight="1" x14ac:dyDescent="0.25">
      <c r="A296" s="6" t="s">
        <v>3935</v>
      </c>
      <c r="B296" s="21" t="s">
        <v>3939</v>
      </c>
      <c r="C296" s="7">
        <v>1</v>
      </c>
      <c r="D296" s="39" t="s">
        <v>3937</v>
      </c>
      <c r="E296" s="7">
        <v>4181</v>
      </c>
      <c r="F296" s="7" t="s">
        <v>3932</v>
      </c>
      <c r="G296" s="23">
        <v>22.2</v>
      </c>
      <c r="H296" s="34">
        <f>Tabela1[[#This Row],[PESO UNI]]*Tabela1[[#This Row],[QTE]]</f>
        <v>22.2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22.2</v>
      </c>
      <c r="S296" s="18">
        <f t="shared" si="49"/>
        <v>22.2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22.2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22.2</v>
      </c>
      <c r="AV296" s="37">
        <f t="shared" si="55"/>
        <v>22.2</v>
      </c>
      <c r="AW296" s="37"/>
    </row>
    <row r="297" spans="1:49" ht="15.75" hidden="1" customHeight="1" x14ac:dyDescent="0.25">
      <c r="A297" s="6" t="s">
        <v>3935</v>
      </c>
      <c r="B297" s="21" t="s">
        <v>3940</v>
      </c>
      <c r="C297" s="7">
        <v>1</v>
      </c>
      <c r="D297" s="39" t="s">
        <v>3937</v>
      </c>
      <c r="E297" s="7">
        <v>4182</v>
      </c>
      <c r="F297" s="7" t="s">
        <v>3932</v>
      </c>
      <c r="G297" s="23">
        <v>34</v>
      </c>
      <c r="H297" s="34">
        <f>Tabela1[[#This Row],[PESO UNI]]*Tabela1[[#This Row],[QTE]]</f>
        <v>34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34</v>
      </c>
      <c r="S297" s="18">
        <f t="shared" si="49"/>
        <v>34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34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34</v>
      </c>
      <c r="AV297" s="37">
        <f t="shared" si="55"/>
        <v>34</v>
      </c>
      <c r="AW297" s="37"/>
    </row>
    <row r="298" spans="1:49" ht="15.75" hidden="1" customHeight="1" x14ac:dyDescent="0.25">
      <c r="A298" s="6" t="s">
        <v>3935</v>
      </c>
      <c r="B298" s="21" t="s">
        <v>3941</v>
      </c>
      <c r="C298" s="7">
        <v>1</v>
      </c>
      <c r="D298" s="39" t="s">
        <v>3937</v>
      </c>
      <c r="E298" s="7">
        <v>4183</v>
      </c>
      <c r="F298" s="7" t="s">
        <v>3932</v>
      </c>
      <c r="G298" s="23">
        <v>10.199999999999999</v>
      </c>
      <c r="H298" s="34">
        <f>Tabela1[[#This Row],[PESO UNI]]*Tabela1[[#This Row],[QTE]]</f>
        <v>10.199999999999999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10.199999999999999</v>
      </c>
      <c r="S298" s="18">
        <f t="shared" si="49"/>
        <v>10.199999999999999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10.199999999999999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10.199999999999999</v>
      </c>
      <c r="AV298" s="37">
        <f t="shared" si="55"/>
        <v>10.199999999999999</v>
      </c>
      <c r="AW298" s="37"/>
    </row>
    <row r="299" spans="1:49" ht="15.75" hidden="1" customHeight="1" x14ac:dyDescent="0.25">
      <c r="A299" s="6" t="s">
        <v>3935</v>
      </c>
      <c r="B299" s="21" t="s">
        <v>3942</v>
      </c>
      <c r="C299" s="7">
        <v>1</v>
      </c>
      <c r="D299" s="39" t="s">
        <v>3937</v>
      </c>
      <c r="E299" s="7">
        <v>4184</v>
      </c>
      <c r="F299" s="7" t="s">
        <v>3932</v>
      </c>
      <c r="G299" s="23">
        <v>49.8</v>
      </c>
      <c r="H299" s="34">
        <f>Tabela1[[#This Row],[PESO UNI]]*Tabela1[[#This Row],[QTE]]</f>
        <v>49.8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49.8</v>
      </c>
      <c r="S299" s="18">
        <f t="shared" si="49"/>
        <v>49.8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49.8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49.8</v>
      </c>
      <c r="AV299" s="37">
        <f t="shared" si="55"/>
        <v>49.8</v>
      </c>
      <c r="AW299" s="37"/>
    </row>
    <row r="300" spans="1:49" ht="15.75" hidden="1" customHeight="1" x14ac:dyDescent="0.25">
      <c r="A300" s="6" t="s">
        <v>3935</v>
      </c>
      <c r="B300" s="21" t="s">
        <v>3943</v>
      </c>
      <c r="C300" s="7">
        <v>1</v>
      </c>
      <c r="D300" s="39" t="s">
        <v>3937</v>
      </c>
      <c r="E300" s="7">
        <v>4185</v>
      </c>
      <c r="F300" s="7" t="s">
        <v>3932</v>
      </c>
      <c r="G300" s="23">
        <v>24.3</v>
      </c>
      <c r="H300" s="34">
        <f>Tabela1[[#This Row],[PESO UNI]]*Tabela1[[#This Row],[QTE]]</f>
        <v>24.3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-1</v>
      </c>
      <c r="R300" s="18">
        <f t="shared" si="51"/>
        <v>24.3</v>
      </c>
      <c r="S300" s="18">
        <f t="shared" si="49"/>
        <v>24.3</v>
      </c>
      <c r="T300" s="19">
        <f t="shared" si="52"/>
        <v>0</v>
      </c>
      <c r="U300" s="206">
        <v>1</v>
      </c>
      <c r="V300" s="12" t="str">
        <f>IFERROR(VLOOKUP(Tabela1[[#This Row],[COD.MDE]],'LISTA DE EMBARQUE'!B:L,11,0),"")</f>
        <v/>
      </c>
      <c r="W300" s="13"/>
      <c r="X300" s="14">
        <f>IFERROR(Tabela1[[#This Row],[QIANTIDADE EXPEDIDA]]*Tabela1[[#This Row],[PESO UNI]],"")</f>
        <v>24.3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24.3</v>
      </c>
      <c r="AV300" s="37">
        <f t="shared" si="55"/>
        <v>24.3</v>
      </c>
      <c r="AW300" s="37"/>
    </row>
    <row r="301" spans="1:49" ht="15.75" hidden="1" customHeight="1" x14ac:dyDescent="0.25">
      <c r="A301" s="6" t="s">
        <v>3935</v>
      </c>
      <c r="B301" s="21" t="s">
        <v>3944</v>
      </c>
      <c r="C301" s="7">
        <v>4</v>
      </c>
      <c r="D301" s="39" t="s">
        <v>3945</v>
      </c>
      <c r="E301" s="7">
        <v>4186</v>
      </c>
      <c r="F301" s="7" t="s">
        <v>3932</v>
      </c>
      <c r="G301" s="23">
        <v>27.2</v>
      </c>
      <c r="H301" s="34">
        <f>Tabela1[[#This Row],[PESO UNI]]*Tabela1[[#This Row],[QTE]]</f>
        <v>108.8</v>
      </c>
      <c r="I301" s="7">
        <v>0</v>
      </c>
      <c r="J301" s="8" t="s">
        <v>2276</v>
      </c>
      <c r="K301" s="8" t="s">
        <v>327</v>
      </c>
      <c r="L301" s="9" t="s">
        <v>2069</v>
      </c>
      <c r="M301" s="10">
        <v>46136</v>
      </c>
      <c r="N301" s="8" t="s">
        <v>327</v>
      </c>
      <c r="O301" s="12"/>
      <c r="P301" s="13"/>
      <c r="Q301" s="14">
        <f>Tabela1[[#This Row],[QTDE/ Fabricação]]-Tabela1[[#This Row],[QTE]]</f>
        <v>-4</v>
      </c>
      <c r="R301" s="18">
        <f t="shared" si="51"/>
        <v>108.8</v>
      </c>
      <c r="S301" s="18">
        <f t="shared" si="49"/>
        <v>108.8</v>
      </c>
      <c r="T301" s="19">
        <f t="shared" si="52"/>
        <v>0</v>
      </c>
      <c r="U301" s="16">
        <f>IFERROR(SUMIF('LISTA DE EMBARQUE'!B:B,MICRO!E:E,'LISTA DE EMBARQUE'!G:G),"")</f>
        <v>0</v>
      </c>
      <c r="V301" s="12" t="str">
        <f>IFERROR(VLOOKUP(Tabela1[[#This Row],[COD.MDE]],'LISTA DE EMBARQUE'!B:L,11,0),"")</f>
        <v/>
      </c>
      <c r="W301" s="13" t="str">
        <f>IFERROR(VLOOKUP(Tabela1[[#This Row],[COD.MDE]],'LISTA DE EMBARQUE'!B:M,12,0),"")</f>
        <v/>
      </c>
      <c r="X301" s="14">
        <f>IFERROR(Tabela1[[#This Row],[QIANTIDADE EXPEDIDA]]*Tabela1[[#This Row],[PESO UNI]],"")</f>
        <v>0</v>
      </c>
      <c r="Y301" s="14">
        <f t="shared" si="48"/>
        <v>-4</v>
      </c>
      <c r="Z301" s="20">
        <f>Tabela1[[#This Row],[PESO TOTAL]]-Tabela1[[#This Row],[Peso Expedido]]</f>
        <v>108.8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/>
      <c r="AI301" s="33" t="str">
        <f t="shared" si="53"/>
        <v/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T-072986-1/1073-TC-007</v>
      </c>
      <c r="AP301" t="str">
        <f>Tabela1[[#This Row],[TAG]]&amp;Tabela1[[#This Row],[PEDIDO]]&amp;Tabela1[[#This Row],[PRODUTO]]</f>
        <v>1073-TC-007P-188RMF</v>
      </c>
      <c r="AQ301" s="22" t="str">
        <f>Tabela1[[#This Row],[PRODUTO]]&amp;Tabela1[[#This Row],[TAG]]</f>
        <v>RMF1073-TC-007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108.8</v>
      </c>
      <c r="AU301" s="37">
        <f t="shared" si="54"/>
        <v>0</v>
      </c>
      <c r="AV301" s="37">
        <f t="shared" si="55"/>
        <v>108.8</v>
      </c>
      <c r="AW301" s="37"/>
    </row>
    <row r="302" spans="1:49" ht="15.75" hidden="1" customHeight="1" x14ac:dyDescent="0.25">
      <c r="A302" s="6" t="s">
        <v>3779</v>
      </c>
      <c r="B302" s="21" t="s">
        <v>3946</v>
      </c>
      <c r="C302" s="7">
        <v>2</v>
      </c>
      <c r="D302" s="39" t="s">
        <v>3947</v>
      </c>
      <c r="E302" s="7">
        <v>4187</v>
      </c>
      <c r="F302" s="7" t="s">
        <v>3782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2274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T-072975-1/1073-TC-006</v>
      </c>
      <c r="AP302" t="str">
        <f>Tabela1[[#This Row],[TAG]]&amp;Tabela1[[#This Row],[PEDIDO]]&amp;Tabela1[[#This Row],[PRODUTO]]</f>
        <v>1073-TC-006P-188RMF</v>
      </c>
      <c r="AQ302" s="22" t="str">
        <f>Tabela1[[#This Row],[PRODUTO]]&amp;Tabela1[[#This Row],[TAG]]</f>
        <v>RMF1073-TC-006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3779</v>
      </c>
      <c r="B303" s="21" t="s">
        <v>3946</v>
      </c>
      <c r="C303" s="7">
        <v>2</v>
      </c>
      <c r="D303" s="39" t="s">
        <v>3947</v>
      </c>
      <c r="E303" s="7">
        <v>4188</v>
      </c>
      <c r="F303" s="7" t="s">
        <v>3782</v>
      </c>
      <c r="G303" s="23">
        <v>108.2</v>
      </c>
      <c r="H303" s="34">
        <f>Tabela1[[#This Row],[PESO UNI]]*Tabela1[[#This Row],[QTE]]</f>
        <v>216.4</v>
      </c>
      <c r="I303" s="7">
        <v>1</v>
      </c>
      <c r="J303" s="8" t="s">
        <v>2276</v>
      </c>
      <c r="K303" s="8" t="s">
        <v>327</v>
      </c>
      <c r="L303" s="9" t="s">
        <v>2069</v>
      </c>
      <c r="M303" s="10">
        <v>46139</v>
      </c>
      <c r="N303" s="8" t="s">
        <v>327</v>
      </c>
      <c r="O303" s="12"/>
      <c r="P303" s="13"/>
      <c r="Q303" s="14">
        <f>Tabela1[[#This Row],[QTDE/ Fabricação]]-Tabela1[[#This Row],[QTE]]</f>
        <v>-2</v>
      </c>
      <c r="R303" s="18">
        <f t="shared" si="51"/>
        <v>216.4</v>
      </c>
      <c r="S303" s="18">
        <f t="shared" si="49"/>
        <v>216.4</v>
      </c>
      <c r="T303" s="19">
        <f t="shared" si="52"/>
        <v>0</v>
      </c>
      <c r="U303" s="206">
        <v>2</v>
      </c>
      <c r="V303" s="12" t="str">
        <f>IFERROR(VLOOKUP(Tabela1[[#This Row],[COD.MDE]],'LISTA DE EMBARQUE'!B:L,11,0),"")</f>
        <v/>
      </c>
      <c r="W303" s="13"/>
      <c r="X303" s="14">
        <f>IFERROR(Tabela1[[#This Row],[QIANTIDADE EXPEDIDA]]*Tabela1[[#This Row],[PESO UNI]],"")</f>
        <v>216.4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T-072975-1/1073-TC-007</v>
      </c>
      <c r="AP303" t="str">
        <f>Tabela1[[#This Row],[TAG]]&amp;Tabela1[[#This Row],[PEDIDO]]&amp;Tabela1[[#This Row],[PRODUTO]]</f>
        <v>1073-TC-007P-188RMF</v>
      </c>
      <c r="AQ303" s="22" t="str">
        <f>Tabela1[[#This Row],[PRODUTO]]&amp;Tabela1[[#This Row],[TAG]]</f>
        <v>RMF1073-TC-007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216.4</v>
      </c>
      <c r="AV303" s="37">
        <f t="shared" si="55"/>
        <v>216.4</v>
      </c>
      <c r="AW303" s="37"/>
    </row>
    <row r="304" spans="1:49" ht="15.75" hidden="1" customHeight="1" x14ac:dyDescent="0.25">
      <c r="A304" s="6" t="s">
        <v>3948</v>
      </c>
      <c r="B304" s="21" t="s">
        <v>3949</v>
      </c>
      <c r="C304" s="7">
        <v>76</v>
      </c>
      <c r="D304" s="39" t="s">
        <v>3950</v>
      </c>
      <c r="E304" s="7">
        <v>4189</v>
      </c>
      <c r="F304" s="7" t="s">
        <v>3951</v>
      </c>
      <c r="G304" s="23">
        <v>1.4</v>
      </c>
      <c r="H304" s="34">
        <f>Tabela1[[#This Row],[PESO UNI]]*Tabela1[[#This Row],[QTE]]</f>
        <v>106.39999999999999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-76</v>
      </c>
      <c r="R304" s="18">
        <f t="shared" si="51"/>
        <v>106.39999999999999</v>
      </c>
      <c r="S304" s="18">
        <f t="shared" si="49"/>
        <v>106.39999999999999</v>
      </c>
      <c r="T304" s="19">
        <f t="shared" si="52"/>
        <v>0</v>
      </c>
      <c r="U304" s="16">
        <f>IFERROR(SUMIF('LISTA DE EMBARQUE'!B:B,MICRO!E:E,'LISTA DE EMBARQUE'!G:G),"")</f>
        <v>0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0</v>
      </c>
      <c r="Y304" s="14">
        <f t="shared" si="48"/>
        <v>-76</v>
      </c>
      <c r="Z304" s="20">
        <f>Tabela1[[#This Row],[PESO TOTAL]]-Tabela1[[#This Row],[Peso Expedido]]</f>
        <v>106.39999999999999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/>
      <c r="AI304" s="33" t="str">
        <f t="shared" si="53"/>
        <v/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106.39999999999999</v>
      </c>
      <c r="AU304" s="37">
        <f t="shared" si="54"/>
        <v>0</v>
      </c>
      <c r="AV304" s="37">
        <f t="shared" si="55"/>
        <v>106.39999999999999</v>
      </c>
      <c r="AW304" s="37"/>
    </row>
    <row r="305" spans="1:49" ht="15.75" hidden="1" customHeight="1" x14ac:dyDescent="0.25">
      <c r="A305" s="6" t="s">
        <v>3948</v>
      </c>
      <c r="B305" s="21" t="s">
        <v>3952</v>
      </c>
      <c r="C305" s="7">
        <v>8</v>
      </c>
      <c r="D305" s="39" t="s">
        <v>3950</v>
      </c>
      <c r="E305" s="7">
        <v>4190</v>
      </c>
      <c r="F305" s="7" t="s">
        <v>3951</v>
      </c>
      <c r="G305" s="23">
        <v>2.8</v>
      </c>
      <c r="H305" s="34">
        <f>Tabela1[[#This Row],[PESO UNI]]*Tabela1[[#This Row],[QTE]]</f>
        <v>22.4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-8</v>
      </c>
      <c r="R305" s="18">
        <f t="shared" si="51"/>
        <v>22.4</v>
      </c>
      <c r="S305" s="18">
        <f t="shared" si="49"/>
        <v>22.4</v>
      </c>
      <c r="T305" s="19">
        <f t="shared" si="52"/>
        <v>0</v>
      </c>
      <c r="U305" s="16">
        <f>IFERROR(SUMIF('LISTA DE EMBARQUE'!B:B,MICRO!E:E,'LISTA DE EMBARQUE'!G:G),"")</f>
        <v>0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0</v>
      </c>
      <c r="Y305" s="14">
        <f t="shared" si="48"/>
        <v>-8</v>
      </c>
      <c r="Z305" s="20">
        <f>Tabela1[[#This Row],[PESO TOTAL]]-Tabela1[[#This Row],[Peso Expedido]]</f>
        <v>22.4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/>
      <c r="AI305" s="33" t="str">
        <f t="shared" si="53"/>
        <v/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22.4</v>
      </c>
      <c r="AU305" s="37">
        <f t="shared" si="54"/>
        <v>0</v>
      </c>
      <c r="AV305" s="37">
        <f t="shared" si="55"/>
        <v>22.4</v>
      </c>
      <c r="AW305" s="37"/>
    </row>
    <row r="306" spans="1:49" ht="15.75" hidden="1" customHeight="1" x14ac:dyDescent="0.25">
      <c r="A306" s="6" t="s">
        <v>3948</v>
      </c>
      <c r="B306" s="21" t="s">
        <v>3953</v>
      </c>
      <c r="C306" s="7">
        <v>2</v>
      </c>
      <c r="D306" s="39" t="s">
        <v>3954</v>
      </c>
      <c r="E306" s="7">
        <v>4191</v>
      </c>
      <c r="F306" s="7" t="s">
        <v>3951</v>
      </c>
      <c r="G306" s="23">
        <v>17.3</v>
      </c>
      <c r="H306" s="34">
        <f>Tabela1[[#This Row],[PESO UNI]]*Tabela1[[#This Row],[QTE]]</f>
        <v>34.6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-2</v>
      </c>
      <c r="R306" s="18">
        <f t="shared" si="51"/>
        <v>34.6</v>
      </c>
      <c r="S306" s="18">
        <f t="shared" si="49"/>
        <v>34.6</v>
      </c>
      <c r="T306" s="19">
        <f t="shared" si="52"/>
        <v>0</v>
      </c>
      <c r="U306" s="16">
        <f>IFERROR(SUMIF('LISTA DE EMBARQUE'!B:B,MICRO!E:E,'LISTA DE EMBARQUE'!G:G),"")</f>
        <v>0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0</v>
      </c>
      <c r="Y306" s="14">
        <f t="shared" si="48"/>
        <v>-2</v>
      </c>
      <c r="Z306" s="20">
        <f>Tabela1[[#This Row],[PESO TOTAL]]-Tabela1[[#This Row],[Peso Expedido]]</f>
        <v>34.6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/>
      <c r="AI306" s="33" t="str">
        <f t="shared" si="53"/>
        <v/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4" t="str">
        <f>Tabela1[[#This Row],[PEDIDO]]&amp;Tabela1[[#This Row],[PRODUTO]]</f>
        <v>P-188RMF</v>
      </c>
      <c r="AS306" s="37">
        <f>IF(AF306="",0,IF(ISTEXT(AF306),H306*VALUE(SUBSTITUTE(AF306,"%",""))/100,H306*AF306))-Tabela1[[#This Row],[PRONTO ACABADO2]]</f>
        <v>0</v>
      </c>
      <c r="AT306" s="37">
        <f>IF(AG306="",0,IF(ISTEXT(AG306),H306*VALUE(SUBSTITUTE(AG306,"%",""))/100,H306*AG306))-Tabela1[[#This Row],[PESO EXPEDIDO2]]</f>
        <v>34.6</v>
      </c>
      <c r="AU306" s="37">
        <f t="shared" si="54"/>
        <v>0</v>
      </c>
      <c r="AV306" s="37">
        <f t="shared" si="55"/>
        <v>34.6</v>
      </c>
      <c r="AW306" s="37"/>
    </row>
    <row r="307" spans="1:49" ht="15.75" hidden="1" customHeight="1" x14ac:dyDescent="0.25">
      <c r="A307" s="6" t="s">
        <v>3948</v>
      </c>
      <c r="B307" s="21" t="s">
        <v>3955</v>
      </c>
      <c r="C307" s="7">
        <v>4</v>
      </c>
      <c r="D307" s="39" t="s">
        <v>3954</v>
      </c>
      <c r="E307" s="7">
        <v>4192</v>
      </c>
      <c r="F307" s="7" t="s">
        <v>3951</v>
      </c>
      <c r="G307" s="23">
        <v>22.8</v>
      </c>
      <c r="H307" s="34">
        <f>Tabela1[[#This Row],[PESO UNI]]*Tabela1[[#This Row],[QTE]]</f>
        <v>91.2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-4</v>
      </c>
      <c r="R307" s="18">
        <f t="shared" si="51"/>
        <v>91.2</v>
      </c>
      <c r="S307" s="18">
        <f t="shared" si="49"/>
        <v>91.2</v>
      </c>
      <c r="T307" s="19">
        <f t="shared" si="52"/>
        <v>0</v>
      </c>
      <c r="U307" s="16">
        <f>IFERROR(SUMIF('LISTA DE EMBARQUE'!B:B,MICRO!E:E,'LISTA DE EMBARQUE'!G:G),"")</f>
        <v>0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0</v>
      </c>
      <c r="Y307" s="14">
        <f t="shared" si="48"/>
        <v>-4</v>
      </c>
      <c r="Z307" s="20">
        <f>Tabela1[[#This Row],[PESO TOTAL]]-Tabela1[[#This Row],[Peso Expedido]]</f>
        <v>91.2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/>
      <c r="AI307" s="33" t="str">
        <f t="shared" si="53"/>
        <v/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03" t="str">
        <f>Tabela1[[#This Row],[PEDIDO]]&amp;Tabela1[[#This Row],[PRODUTO]]</f>
        <v>P-188RMF</v>
      </c>
      <c r="AS307" s="32">
        <f>IF(AF307="",0,IF(ISTEXT(AF307),H307*VALUE(SUBSTITUTE(AF307,"%",""))/100,H307*AF307))-Tabela1[[#This Row],[PRONTO ACABADO2]]</f>
        <v>0</v>
      </c>
      <c r="AT307" s="32">
        <f>IF(AG307="",0,IF(ISTEXT(AG307),H307*VALUE(SUBSTITUTE(AG307,"%",""))/100,H307*AG307))-Tabela1[[#This Row],[PESO EXPEDIDO2]]</f>
        <v>91.2</v>
      </c>
      <c r="AU307" s="32">
        <f t="shared" si="54"/>
        <v>0</v>
      </c>
      <c r="AV307" s="32">
        <f t="shared" si="55"/>
        <v>91.2</v>
      </c>
      <c r="AW307" s="32"/>
    </row>
    <row r="308" spans="1:49" ht="15.75" hidden="1" customHeight="1" x14ac:dyDescent="0.25">
      <c r="A308" s="6" t="s">
        <v>3948</v>
      </c>
      <c r="B308" s="21" t="s">
        <v>3956</v>
      </c>
      <c r="C308" s="7">
        <v>2</v>
      </c>
      <c r="D308" s="39" t="s">
        <v>3954</v>
      </c>
      <c r="E308" s="7">
        <v>4193</v>
      </c>
      <c r="F308" s="7" t="s">
        <v>3951</v>
      </c>
      <c r="G308" s="23">
        <v>17.100000000000001</v>
      </c>
      <c r="H308" s="34">
        <f>Tabela1[[#This Row],[PESO UNI]]*Tabela1[[#This Row],[QTE]]</f>
        <v>34.200000000000003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-2</v>
      </c>
      <c r="R308" s="18">
        <f t="shared" si="51"/>
        <v>34.200000000000003</v>
      </c>
      <c r="S308" s="18">
        <f t="shared" si="49"/>
        <v>34.200000000000003</v>
      </c>
      <c r="T308" s="19">
        <f t="shared" si="52"/>
        <v>0</v>
      </c>
      <c r="U308" s="16">
        <f>IFERROR(SUMIF('LISTA DE EMBARQUE'!B:B,MICRO!E:E,'LISTA DE EMBARQUE'!G:G),"")</f>
        <v>0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0</v>
      </c>
      <c r="Y308" s="14">
        <f t="shared" si="48"/>
        <v>-2</v>
      </c>
      <c r="Z308" s="20">
        <f>Tabela1[[#This Row],[PESO TOTAL]]-Tabela1[[#This Row],[Peso Expedido]]</f>
        <v>34.200000000000003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/>
      <c r="AI308" s="33" t="str">
        <f t="shared" si="53"/>
        <v/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34.200000000000003</v>
      </c>
      <c r="AU308" s="37">
        <f t="shared" si="54"/>
        <v>0</v>
      </c>
      <c r="AV308" s="37">
        <f t="shared" si="55"/>
        <v>34.200000000000003</v>
      </c>
      <c r="AW308" s="37"/>
    </row>
    <row r="309" spans="1:49" ht="15.75" hidden="1" customHeight="1" x14ac:dyDescent="0.25">
      <c r="A309" s="6" t="s">
        <v>3948</v>
      </c>
      <c r="B309" s="21" t="s">
        <v>3957</v>
      </c>
      <c r="C309" s="7">
        <v>4</v>
      </c>
      <c r="D309" s="39" t="s">
        <v>3954</v>
      </c>
      <c r="E309" s="7">
        <v>4194</v>
      </c>
      <c r="F309" s="7" t="s">
        <v>3951</v>
      </c>
      <c r="G309" s="23">
        <v>13.1</v>
      </c>
      <c r="H309" s="34">
        <f>Tabela1[[#This Row],[PESO UNI]]*Tabela1[[#This Row],[QTE]]</f>
        <v>52.4</v>
      </c>
      <c r="I309" s="7" t="s">
        <v>746</v>
      </c>
      <c r="J309" s="8" t="s">
        <v>2274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-4</v>
      </c>
      <c r="R309" s="18">
        <f t="shared" si="51"/>
        <v>52.4</v>
      </c>
      <c r="S309" s="18">
        <f t="shared" si="49"/>
        <v>52.4</v>
      </c>
      <c r="T309" s="19">
        <f t="shared" si="52"/>
        <v>0</v>
      </c>
      <c r="U309" s="16">
        <f>IFERROR(SUMIF('LISTA DE EMBARQUE'!B:B,MICRO!E:E,'LISTA DE EMBARQUE'!G:G),"")</f>
        <v>0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0</v>
      </c>
      <c r="Y309" s="14">
        <f t="shared" ref="Y309:Y355" si="56">U309-C309</f>
        <v>-4</v>
      </c>
      <c r="Z309" s="20">
        <f>Tabela1[[#This Row],[PESO TOTAL]]-Tabela1[[#This Row],[Peso Expedido]]</f>
        <v>52.4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/>
      <c r="AI309" s="33" t="str">
        <f t="shared" si="53"/>
        <v/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T-072928-1/1073-TC-006</v>
      </c>
      <c r="AP309" t="str">
        <f>Tabela1[[#This Row],[TAG]]&amp;Tabela1[[#This Row],[PEDIDO]]&amp;Tabela1[[#This Row],[PRODUTO]]</f>
        <v>1073-TC-006P-188RMF</v>
      </c>
      <c r="AQ309" s="22" t="str">
        <f>Tabela1[[#This Row],[PRODUTO]]&amp;Tabela1[[#This Row],[TAG]]</f>
        <v>RMF1073-TC-006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52.4</v>
      </c>
      <c r="AU309" s="37">
        <f t="shared" si="54"/>
        <v>0</v>
      </c>
      <c r="AV309" s="37">
        <f t="shared" si="55"/>
        <v>52.4</v>
      </c>
      <c r="AW309" s="37"/>
    </row>
    <row r="310" spans="1:49" ht="15.75" hidden="1" customHeight="1" x14ac:dyDescent="0.25">
      <c r="A310" s="6" t="s">
        <v>3948</v>
      </c>
      <c r="B310" s="21" t="s">
        <v>3949</v>
      </c>
      <c r="C310" s="7">
        <v>76</v>
      </c>
      <c r="D310" s="39" t="s">
        <v>3950</v>
      </c>
      <c r="E310" s="7">
        <v>4195</v>
      </c>
      <c r="F310" s="7" t="s">
        <v>3951</v>
      </c>
      <c r="G310" s="23">
        <v>1.4</v>
      </c>
      <c r="H310" s="34">
        <f>Tabela1[[#This Row],[PESO UNI]]*Tabela1[[#This Row],[QTE]]</f>
        <v>106.39999999999999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-76</v>
      </c>
      <c r="R310" s="18">
        <f t="shared" si="51"/>
        <v>106.39999999999999</v>
      </c>
      <c r="S310" s="18">
        <f t="shared" ref="S310:S373" si="57">IFERROR(H310*AG310,"")</f>
        <v>106.39999999999999</v>
      </c>
      <c r="T310" s="19">
        <f t="shared" si="52"/>
        <v>0</v>
      </c>
      <c r="U310" s="16">
        <f>IFERROR(SUMIF('LISTA DE EMBARQUE'!B:B,MICRO!E:E,'LISTA DE EMBARQUE'!G:G),"")</f>
        <v>0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0</v>
      </c>
      <c r="Y310" s="14">
        <f t="shared" si="56"/>
        <v>-76</v>
      </c>
      <c r="Z310" s="20">
        <f>Tabela1[[#This Row],[PESO TOTAL]]-Tabela1[[#This Row],[Peso Expedido]]</f>
        <v>106.39999999999999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/>
      <c r="AI310" s="33" t="str">
        <f t="shared" si="53"/>
        <v/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106.39999999999999</v>
      </c>
      <c r="AU310" s="37">
        <f t="shared" si="54"/>
        <v>0</v>
      </c>
      <c r="AV310" s="37">
        <f t="shared" si="55"/>
        <v>106.39999999999999</v>
      </c>
      <c r="AW310" s="37"/>
    </row>
    <row r="311" spans="1:49" ht="15.75" hidden="1" customHeight="1" x14ac:dyDescent="0.25">
      <c r="A311" s="6" t="s">
        <v>3948</v>
      </c>
      <c r="B311" s="21" t="s">
        <v>3952</v>
      </c>
      <c r="C311" s="7">
        <v>8</v>
      </c>
      <c r="D311" s="39" t="s">
        <v>3950</v>
      </c>
      <c r="E311" s="7">
        <v>4196</v>
      </c>
      <c r="F311" s="7" t="s">
        <v>3951</v>
      </c>
      <c r="G311" s="23">
        <v>2.4</v>
      </c>
      <c r="H311" s="34">
        <f>Tabela1[[#This Row],[PESO UNI]]*Tabela1[[#This Row],[QTE]]</f>
        <v>19.2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-8</v>
      </c>
      <c r="R311" s="18">
        <f t="shared" si="51"/>
        <v>19.2</v>
      </c>
      <c r="S311" s="18">
        <f t="shared" si="57"/>
        <v>19.2</v>
      </c>
      <c r="T311" s="19">
        <f t="shared" si="52"/>
        <v>0</v>
      </c>
      <c r="U311" s="16">
        <f>IFERROR(SUMIF('LISTA DE EMBARQUE'!B:B,MICRO!E:E,'LISTA DE EMBARQUE'!G:G),"")</f>
        <v>0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0</v>
      </c>
      <c r="Y311" s="14">
        <f t="shared" si="56"/>
        <v>-8</v>
      </c>
      <c r="Z311" s="20">
        <f>Tabela1[[#This Row],[PESO TOTAL]]-Tabela1[[#This Row],[Peso Expedido]]</f>
        <v>19.2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/>
      <c r="AI311" s="33" t="str">
        <f t="shared" si="53"/>
        <v/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19.2</v>
      </c>
      <c r="AU311" s="37">
        <f t="shared" si="54"/>
        <v>0</v>
      </c>
      <c r="AV311" s="37">
        <f t="shared" si="55"/>
        <v>19.2</v>
      </c>
      <c r="AW311" s="37"/>
    </row>
    <row r="312" spans="1:49" ht="15.75" hidden="1" customHeight="1" x14ac:dyDescent="0.25">
      <c r="A312" s="6" t="s">
        <v>3948</v>
      </c>
      <c r="B312" s="21" t="s">
        <v>3953</v>
      </c>
      <c r="C312" s="7">
        <v>2</v>
      </c>
      <c r="D312" s="39" t="s">
        <v>3954</v>
      </c>
      <c r="E312" s="7">
        <v>4197</v>
      </c>
      <c r="F312" s="7" t="s">
        <v>3951</v>
      </c>
      <c r="G312" s="23">
        <v>17.3</v>
      </c>
      <c r="H312" s="34">
        <f>Tabela1[[#This Row],[PESO UNI]]*Tabela1[[#This Row],[QTE]]</f>
        <v>34.6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-2</v>
      </c>
      <c r="R312" s="18">
        <f t="shared" si="51"/>
        <v>34.6</v>
      </c>
      <c r="S312" s="18">
        <f t="shared" si="57"/>
        <v>34.6</v>
      </c>
      <c r="T312" s="19">
        <f t="shared" si="52"/>
        <v>0</v>
      </c>
      <c r="U312" s="16">
        <f>IFERROR(SUMIF('LISTA DE EMBARQUE'!B:B,MICRO!E:E,'LISTA DE EMBARQUE'!G:G),"")</f>
        <v>0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0</v>
      </c>
      <c r="Y312" s="14">
        <f t="shared" si="56"/>
        <v>-2</v>
      </c>
      <c r="Z312" s="20">
        <f>Tabela1[[#This Row],[PESO TOTAL]]-Tabela1[[#This Row],[Peso Expedido]]</f>
        <v>34.6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/>
      <c r="AI312" s="33" t="str">
        <f t="shared" si="53"/>
        <v/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34.6</v>
      </c>
      <c r="AU312" s="37">
        <f t="shared" si="54"/>
        <v>0</v>
      </c>
      <c r="AV312" s="37">
        <f t="shared" si="55"/>
        <v>34.6</v>
      </c>
      <c r="AW312" s="37"/>
    </row>
    <row r="313" spans="1:49" ht="15.75" hidden="1" customHeight="1" x14ac:dyDescent="0.25">
      <c r="A313" s="6" t="s">
        <v>3948</v>
      </c>
      <c r="B313" s="21" t="s">
        <v>3955</v>
      </c>
      <c r="C313" s="7">
        <v>4</v>
      </c>
      <c r="D313" s="39" t="s">
        <v>3954</v>
      </c>
      <c r="E313" s="7">
        <v>4198</v>
      </c>
      <c r="F313" s="7" t="s">
        <v>3951</v>
      </c>
      <c r="G313" s="23">
        <v>22.8</v>
      </c>
      <c r="H313" s="34">
        <f>Tabela1[[#This Row],[PESO UNI]]*Tabela1[[#This Row],[QTE]]</f>
        <v>91.2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-4</v>
      </c>
      <c r="R313" s="18">
        <f t="shared" si="51"/>
        <v>91.2</v>
      </c>
      <c r="S313" s="18">
        <f t="shared" si="57"/>
        <v>91.2</v>
      </c>
      <c r="T313" s="19">
        <f t="shared" si="52"/>
        <v>0</v>
      </c>
      <c r="U313" s="16">
        <f>IFERROR(SUMIF('LISTA DE EMBARQUE'!B:B,MICRO!E:E,'LISTA DE EMBARQUE'!G:G),"")</f>
        <v>0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0</v>
      </c>
      <c r="Y313" s="14">
        <f t="shared" si="56"/>
        <v>-4</v>
      </c>
      <c r="Z313" s="20">
        <f>Tabela1[[#This Row],[PESO TOTAL]]-Tabela1[[#This Row],[Peso Expedido]]</f>
        <v>91.2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/>
      <c r="AI313" s="33" t="str">
        <f t="shared" si="53"/>
        <v/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91.2</v>
      </c>
      <c r="AU313" s="37">
        <f t="shared" si="54"/>
        <v>0</v>
      </c>
      <c r="AV313" s="37">
        <f t="shared" si="55"/>
        <v>91.2</v>
      </c>
      <c r="AW313" s="37"/>
    </row>
    <row r="314" spans="1:49" ht="15.75" hidden="1" customHeight="1" x14ac:dyDescent="0.25">
      <c r="A314" s="6" t="s">
        <v>3948</v>
      </c>
      <c r="B314" s="21" t="s">
        <v>3956</v>
      </c>
      <c r="C314" s="7">
        <v>2</v>
      </c>
      <c r="D314" s="39" t="s">
        <v>3954</v>
      </c>
      <c r="E314" s="7">
        <v>4199</v>
      </c>
      <c r="F314" s="7" t="s">
        <v>3951</v>
      </c>
      <c r="G314" s="23">
        <v>17.100000000000001</v>
      </c>
      <c r="H314" s="34">
        <f>Tabela1[[#This Row],[PESO UNI]]*Tabela1[[#This Row],[QTE]]</f>
        <v>34.200000000000003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-2</v>
      </c>
      <c r="R314" s="18">
        <f t="shared" si="51"/>
        <v>34.200000000000003</v>
      </c>
      <c r="S314" s="18">
        <f t="shared" si="57"/>
        <v>34.200000000000003</v>
      </c>
      <c r="T314" s="19">
        <f t="shared" si="52"/>
        <v>0</v>
      </c>
      <c r="U314" s="16">
        <f>IFERROR(SUMIF('LISTA DE EMBARQUE'!B:B,MICRO!E:E,'LISTA DE EMBARQUE'!G:G),"")</f>
        <v>0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0</v>
      </c>
      <c r="Y314" s="14">
        <f t="shared" si="56"/>
        <v>-2</v>
      </c>
      <c r="Z314" s="20">
        <f>Tabela1[[#This Row],[PESO TOTAL]]-Tabela1[[#This Row],[Peso Expedido]]</f>
        <v>34.200000000000003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/>
      <c r="AI314" s="33" t="str">
        <f t="shared" si="53"/>
        <v/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34.200000000000003</v>
      </c>
      <c r="AU314" s="37">
        <f t="shared" si="54"/>
        <v>0</v>
      </c>
      <c r="AV314" s="37">
        <f t="shared" si="55"/>
        <v>34.200000000000003</v>
      </c>
      <c r="AW314" s="37"/>
    </row>
    <row r="315" spans="1:49" ht="15.75" hidden="1" customHeight="1" x14ac:dyDescent="0.25">
      <c r="A315" s="6" t="s">
        <v>3948</v>
      </c>
      <c r="B315" s="21" t="s">
        <v>3957</v>
      </c>
      <c r="C315" s="7">
        <v>4</v>
      </c>
      <c r="D315" s="39" t="s">
        <v>3954</v>
      </c>
      <c r="E315" s="7">
        <v>4200</v>
      </c>
      <c r="F315" s="7" t="s">
        <v>3951</v>
      </c>
      <c r="G315" s="23">
        <v>13.1</v>
      </c>
      <c r="H315" s="34">
        <f>Tabela1[[#This Row],[PESO UNI]]*Tabela1[[#This Row],[QTE]]</f>
        <v>52.4</v>
      </c>
      <c r="I315" s="7" t="s">
        <v>746</v>
      </c>
      <c r="J315" s="8" t="s">
        <v>2276</v>
      </c>
      <c r="K315" s="8" t="s">
        <v>327</v>
      </c>
      <c r="L315" s="9" t="s">
        <v>2069</v>
      </c>
      <c r="M315" s="10">
        <v>46154</v>
      </c>
      <c r="N315" s="8" t="s">
        <v>327</v>
      </c>
      <c r="O315" s="12"/>
      <c r="P315" s="13"/>
      <c r="Q315" s="14">
        <f>Tabela1[[#This Row],[QTDE/ Fabricação]]-Tabela1[[#This Row],[QTE]]</f>
        <v>-4</v>
      </c>
      <c r="R315" s="18">
        <f t="shared" si="51"/>
        <v>52.4</v>
      </c>
      <c r="S315" s="18">
        <f t="shared" si="57"/>
        <v>52.4</v>
      </c>
      <c r="T315" s="19">
        <f t="shared" si="52"/>
        <v>0</v>
      </c>
      <c r="U315" s="16">
        <f>IFERROR(SUMIF('LISTA DE EMBARQUE'!B:B,MICRO!E:E,'LISTA DE EMBARQUE'!G:G),"")</f>
        <v>0</v>
      </c>
      <c r="V315" s="12" t="str">
        <f>IFERROR(VLOOKUP(Tabela1[[#This Row],[COD.MDE]],'LISTA DE EMBARQUE'!B:L,11,0),"")</f>
        <v/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0</v>
      </c>
      <c r="Y315" s="14">
        <f t="shared" si="56"/>
        <v>-4</v>
      </c>
      <c r="Z315" s="20">
        <f>Tabela1[[#This Row],[PESO TOTAL]]-Tabela1[[#This Row],[Peso Expedido]]</f>
        <v>52.4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/>
      <c r="AI315" s="33" t="str">
        <f t="shared" si="53"/>
        <v/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T-072928-1/1073-TC-007</v>
      </c>
      <c r="AP315" t="str">
        <f>Tabela1[[#This Row],[TAG]]&amp;Tabela1[[#This Row],[PEDIDO]]&amp;Tabela1[[#This Row],[PRODUTO]]</f>
        <v>1073-TC-007P-188RMF</v>
      </c>
      <c r="AQ315" s="22" t="str">
        <f>Tabela1[[#This Row],[PRODUTO]]&amp;Tabela1[[#This Row],[TAG]]</f>
        <v>RMF1073-TC-007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52.4</v>
      </c>
      <c r="AU315" s="37">
        <f t="shared" si="54"/>
        <v>0</v>
      </c>
      <c r="AV315" s="37">
        <f t="shared" si="55"/>
        <v>52.4</v>
      </c>
      <c r="AW315" s="37"/>
    </row>
    <row r="316" spans="1:49" ht="15.75" hidden="1" customHeight="1" x14ac:dyDescent="0.25">
      <c r="A316" s="6" t="s">
        <v>3958</v>
      </c>
      <c r="B316" s="21" t="s">
        <v>3959</v>
      </c>
      <c r="C316" s="7">
        <v>1</v>
      </c>
      <c r="D316" s="39" t="s">
        <v>3960</v>
      </c>
      <c r="E316" s="7">
        <v>4201</v>
      </c>
      <c r="F316" s="7" t="s">
        <v>3961</v>
      </c>
      <c r="G316" s="23">
        <v>96.4</v>
      </c>
      <c r="H316" s="34">
        <f>Tabela1[[#This Row],[PESO UNI]]*Tabela1[[#This Row],[QTE]]</f>
        <v>96.4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96.4</v>
      </c>
      <c r="S316" s="18">
        <f t="shared" si="57"/>
        <v>96.4</v>
      </c>
      <c r="T316" s="19">
        <f t="shared" si="52"/>
        <v>0</v>
      </c>
      <c r="U316" s="16">
        <f>IFERROR(SUMIF('LISTA DE EMBARQUE'!B:B,MICRO!E:E,'LISTA DE EMBARQUE'!G:G),"")</f>
        <v>0</v>
      </c>
      <c r="V316" s="12" t="str">
        <f>IFERROR(VLOOKUP(Tabela1[[#This Row],[COD.MDE]],'LISTA DE EMBARQUE'!B:L,11,0),"")</f>
        <v/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0</v>
      </c>
      <c r="Y316" s="14">
        <f t="shared" si="56"/>
        <v>-1</v>
      </c>
      <c r="Z316" s="20">
        <f>Tabela1[[#This Row],[PESO TOTAL]]-Tabela1[[#This Row],[Peso Expedido]]</f>
        <v>96.4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/>
      <c r="AI316" s="33" t="str">
        <f t="shared" si="53"/>
        <v/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96.4</v>
      </c>
      <c r="AU316" s="37">
        <f t="shared" si="54"/>
        <v>0</v>
      </c>
      <c r="AV316" s="37">
        <f t="shared" si="55"/>
        <v>96.4</v>
      </c>
      <c r="AW316" s="37"/>
    </row>
    <row r="317" spans="1:49" ht="15.75" hidden="1" customHeight="1" x14ac:dyDescent="0.25">
      <c r="A317" s="6" t="s">
        <v>3958</v>
      </c>
      <c r="B317" s="21" t="s">
        <v>3962</v>
      </c>
      <c r="C317" s="7">
        <v>1</v>
      </c>
      <c r="D317" s="39" t="s">
        <v>3963</v>
      </c>
      <c r="E317" s="7">
        <v>4202</v>
      </c>
      <c r="F317" s="7" t="s">
        <v>3961</v>
      </c>
      <c r="G317" s="23">
        <v>25.2</v>
      </c>
      <c r="H317" s="34">
        <f>Tabela1[[#This Row],[PESO UNI]]*Tabela1[[#This Row],[QTE]]</f>
        <v>25.2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-1</v>
      </c>
      <c r="R317" s="18">
        <f t="shared" si="51"/>
        <v>25.2</v>
      </c>
      <c r="S317" s="18">
        <f t="shared" si="57"/>
        <v>25.2</v>
      </c>
      <c r="T317" s="19">
        <f t="shared" si="52"/>
        <v>0</v>
      </c>
      <c r="U317" s="16">
        <f>IFERROR(SUMIF('LISTA DE EMBARQUE'!B:B,MICRO!E:E,'LISTA DE EMBARQUE'!G:G),"")</f>
        <v>0</v>
      </c>
      <c r="V317" s="12" t="str">
        <f>IFERROR(VLOOKUP(Tabela1[[#This Row],[COD.MDE]],'LISTA DE EMBARQUE'!B:L,11,0),"")</f>
        <v/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0</v>
      </c>
      <c r="Y317" s="14">
        <f t="shared" si="56"/>
        <v>-1</v>
      </c>
      <c r="Z317" s="20">
        <f>Tabela1[[#This Row],[PESO TOTAL]]-Tabela1[[#This Row],[Peso Expedido]]</f>
        <v>25.2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/>
      <c r="AI317" s="33" t="str">
        <f t="shared" si="53"/>
        <v/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25.2</v>
      </c>
      <c r="AU317" s="37">
        <f t="shared" si="54"/>
        <v>0</v>
      </c>
      <c r="AV317" s="37">
        <f t="shared" si="55"/>
        <v>25.2</v>
      </c>
      <c r="AW317" s="37"/>
    </row>
    <row r="318" spans="1:49" ht="15.75" hidden="1" customHeight="1" x14ac:dyDescent="0.25">
      <c r="A318" s="6" t="s">
        <v>3958</v>
      </c>
      <c r="B318" s="21" t="s">
        <v>3964</v>
      </c>
      <c r="C318" s="7">
        <v>2</v>
      </c>
      <c r="D318" s="39" t="s">
        <v>3965</v>
      </c>
      <c r="E318" s="7">
        <v>4203</v>
      </c>
      <c r="F318" s="7" t="s">
        <v>3961</v>
      </c>
      <c r="G318" s="23">
        <v>2</v>
      </c>
      <c r="H318" s="34">
        <f>Tabela1[[#This Row],[PESO UNI]]*Tabela1[[#This Row],[QTE]]</f>
        <v>4</v>
      </c>
      <c r="I318" s="7">
        <v>1</v>
      </c>
      <c r="J318" s="8" t="s">
        <v>2274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-2</v>
      </c>
      <c r="R318" s="18">
        <f t="shared" si="51"/>
        <v>4</v>
      </c>
      <c r="S318" s="18">
        <f t="shared" si="57"/>
        <v>4</v>
      </c>
      <c r="T318" s="19">
        <f t="shared" si="52"/>
        <v>0</v>
      </c>
      <c r="U318" s="16">
        <f>IFERROR(SUMIF('LISTA DE EMBARQUE'!B:B,MICRO!E:E,'LISTA DE EMBARQUE'!G:G),"")</f>
        <v>0</v>
      </c>
      <c r="V318" s="12" t="str">
        <f>IFERROR(VLOOKUP(Tabela1[[#This Row],[COD.MDE]],'LISTA DE EMBARQUE'!B:L,11,0),"")</f>
        <v/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0</v>
      </c>
      <c r="Y318" s="14">
        <f t="shared" si="56"/>
        <v>-2</v>
      </c>
      <c r="Z318" s="20">
        <f>Tabela1[[#This Row],[PESO TOTAL]]-Tabela1[[#This Row],[Peso Expedido]]</f>
        <v>4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/>
      <c r="AI318" s="33" t="str">
        <f t="shared" si="53"/>
        <v/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T-072989-1/1073-TC-006</v>
      </c>
      <c r="AP318" t="str">
        <f>Tabela1[[#This Row],[TAG]]&amp;Tabela1[[#This Row],[PEDIDO]]&amp;Tabela1[[#This Row],[PRODUTO]]</f>
        <v>1073-TC-006P-188RMF</v>
      </c>
      <c r="AQ318" s="22" t="str">
        <f>Tabela1[[#This Row],[PRODUTO]]&amp;Tabela1[[#This Row],[TAG]]</f>
        <v>RMF1073-TC-006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4</v>
      </c>
      <c r="AU318" s="37">
        <f t="shared" si="54"/>
        <v>0</v>
      </c>
      <c r="AV318" s="37">
        <f t="shared" si="55"/>
        <v>4</v>
      </c>
      <c r="AW318" s="37"/>
    </row>
    <row r="319" spans="1:49" ht="15.75" hidden="1" customHeight="1" x14ac:dyDescent="0.25">
      <c r="A319" s="6" t="s">
        <v>3958</v>
      </c>
      <c r="B319" s="21" t="s">
        <v>3959</v>
      </c>
      <c r="C319" s="7">
        <v>1</v>
      </c>
      <c r="D319" s="39" t="s">
        <v>3960</v>
      </c>
      <c r="E319" s="7">
        <v>4204</v>
      </c>
      <c r="F319" s="7" t="s">
        <v>3961</v>
      </c>
      <c r="G319" s="23">
        <v>96.4</v>
      </c>
      <c r="H319" s="34">
        <f>Tabela1[[#This Row],[PESO UNI]]*Tabela1[[#This Row],[QTE]]</f>
        <v>96.4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96.4</v>
      </c>
      <c r="S319" s="18">
        <f t="shared" si="57"/>
        <v>96.4</v>
      </c>
      <c r="T319" s="19">
        <f t="shared" si="52"/>
        <v>0</v>
      </c>
      <c r="U319" s="16">
        <f>IFERROR(SUMIF('LISTA DE EMBARQUE'!B:B,MICRO!E:E,'LISTA DE EMBARQUE'!G:G),"")</f>
        <v>0</v>
      </c>
      <c r="V319" s="12" t="str">
        <f>IFERROR(VLOOKUP(Tabela1[[#This Row],[COD.MDE]],'LISTA DE EMBARQUE'!B:L,11,0),"")</f>
        <v/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0</v>
      </c>
      <c r="Y319" s="14">
        <f t="shared" si="56"/>
        <v>-1</v>
      </c>
      <c r="Z319" s="20">
        <f>Tabela1[[#This Row],[PESO TOTAL]]-Tabela1[[#This Row],[Peso Expedido]]</f>
        <v>96.4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/>
      <c r="AI319" s="33" t="str">
        <f t="shared" si="53"/>
        <v/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96.4</v>
      </c>
      <c r="AU319" s="37">
        <f t="shared" si="54"/>
        <v>0</v>
      </c>
      <c r="AV319" s="37">
        <f t="shared" si="55"/>
        <v>96.4</v>
      </c>
      <c r="AW319" s="37"/>
    </row>
    <row r="320" spans="1:49" ht="15.75" hidden="1" customHeight="1" x14ac:dyDescent="0.25">
      <c r="A320" s="6" t="s">
        <v>3958</v>
      </c>
      <c r="B320" s="21" t="s">
        <v>3962</v>
      </c>
      <c r="C320" s="7">
        <v>1</v>
      </c>
      <c r="D320" s="39" t="s">
        <v>3963</v>
      </c>
      <c r="E320" s="7">
        <v>4205</v>
      </c>
      <c r="F320" s="7" t="s">
        <v>3961</v>
      </c>
      <c r="G320" s="23">
        <v>25.2</v>
      </c>
      <c r="H320" s="34">
        <f>Tabela1[[#This Row],[PESO UNI]]*Tabela1[[#This Row],[QTE]]</f>
        <v>25.2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-1</v>
      </c>
      <c r="R320" s="18">
        <f t="shared" si="51"/>
        <v>25.2</v>
      </c>
      <c r="S320" s="18">
        <f t="shared" si="57"/>
        <v>25.2</v>
      </c>
      <c r="T320" s="19">
        <f t="shared" si="52"/>
        <v>0</v>
      </c>
      <c r="U320" s="16">
        <f>IFERROR(SUMIF('LISTA DE EMBARQUE'!B:B,MICRO!E:E,'LISTA DE EMBARQUE'!G:G),"")</f>
        <v>0</v>
      </c>
      <c r="V320" s="12" t="str">
        <f>IFERROR(VLOOKUP(Tabela1[[#This Row],[COD.MDE]],'LISTA DE EMBARQUE'!B:L,11,0),"")</f>
        <v/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0</v>
      </c>
      <c r="Y320" s="14">
        <f t="shared" si="56"/>
        <v>-1</v>
      </c>
      <c r="Z320" s="20">
        <f>Tabela1[[#This Row],[PESO TOTAL]]-Tabela1[[#This Row],[Peso Expedido]]</f>
        <v>25.2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/>
      <c r="AI320" s="33" t="str">
        <f t="shared" si="53"/>
        <v/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25.2</v>
      </c>
      <c r="AU320" s="37">
        <f t="shared" si="54"/>
        <v>0</v>
      </c>
      <c r="AV320" s="37">
        <f t="shared" si="55"/>
        <v>25.2</v>
      </c>
      <c r="AW320" s="37"/>
    </row>
    <row r="321" spans="1:49" ht="15.75" hidden="1" customHeight="1" x14ac:dyDescent="0.25">
      <c r="A321" s="6" t="s">
        <v>3958</v>
      </c>
      <c r="B321" s="21" t="s">
        <v>3964</v>
      </c>
      <c r="C321" s="7">
        <v>2</v>
      </c>
      <c r="D321" s="39" t="s">
        <v>3965</v>
      </c>
      <c r="E321" s="7">
        <v>4206</v>
      </c>
      <c r="F321" s="7" t="s">
        <v>3961</v>
      </c>
      <c r="G321" s="23">
        <v>2</v>
      </c>
      <c r="H321" s="34">
        <f>Tabela1[[#This Row],[PESO UNI]]*Tabela1[[#This Row],[QTE]]</f>
        <v>4</v>
      </c>
      <c r="I321" s="7">
        <v>1</v>
      </c>
      <c r="J321" s="8" t="s">
        <v>2276</v>
      </c>
      <c r="K321" s="8" t="s">
        <v>327</v>
      </c>
      <c r="L321" s="9" t="s">
        <v>2069</v>
      </c>
      <c r="M321" s="10">
        <v>46149</v>
      </c>
      <c r="N321" s="8" t="s">
        <v>327</v>
      </c>
      <c r="O321" s="12"/>
      <c r="P321" s="13"/>
      <c r="Q321" s="14">
        <f>Tabela1[[#This Row],[QTDE/ Fabricação]]-Tabela1[[#This Row],[QTE]]</f>
        <v>-2</v>
      </c>
      <c r="R321" s="18">
        <f t="shared" si="51"/>
        <v>4</v>
      </c>
      <c r="S321" s="18">
        <f t="shared" si="57"/>
        <v>4</v>
      </c>
      <c r="T321" s="19">
        <f t="shared" si="52"/>
        <v>0</v>
      </c>
      <c r="U321" s="16">
        <f>IFERROR(SUMIF('LISTA DE EMBARQUE'!B:B,MICRO!E:E,'LISTA DE EMBARQUE'!G:G),"")</f>
        <v>0</v>
      </c>
      <c r="V321" s="12" t="str">
        <f>IFERROR(VLOOKUP(Tabela1[[#This Row],[COD.MDE]],'LISTA DE EMBARQUE'!B:L,11,0),"")</f>
        <v/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0</v>
      </c>
      <c r="Y321" s="14">
        <f t="shared" si="56"/>
        <v>-2</v>
      </c>
      <c r="Z321" s="20">
        <f>Tabela1[[#This Row],[PESO TOTAL]]-Tabela1[[#This Row],[Peso Expedido]]</f>
        <v>4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/>
      <c r="AI321" s="33" t="str">
        <f t="shared" si="53"/>
        <v/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T-072989-1/1073-TC-007</v>
      </c>
      <c r="AP321" t="str">
        <f>Tabela1[[#This Row],[TAG]]&amp;Tabela1[[#This Row],[PEDIDO]]&amp;Tabela1[[#This Row],[PRODUTO]]</f>
        <v>1073-TC-007P-188RMF</v>
      </c>
      <c r="AQ321" s="22" t="str">
        <f>Tabela1[[#This Row],[PRODUTO]]&amp;Tabela1[[#This Row],[TAG]]</f>
        <v>RMF1073-TC-007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4</v>
      </c>
      <c r="AU321" s="37">
        <f t="shared" si="54"/>
        <v>0</v>
      </c>
      <c r="AV321" s="37">
        <f t="shared" si="55"/>
        <v>4</v>
      </c>
      <c r="AW321" s="37"/>
    </row>
    <row r="322" spans="1:49" ht="15.75" hidden="1" customHeight="1" x14ac:dyDescent="0.25">
      <c r="A322" s="6" t="s">
        <v>3966</v>
      </c>
      <c r="B322" s="21" t="s">
        <v>3967</v>
      </c>
      <c r="C322" s="7">
        <v>1</v>
      </c>
      <c r="D322" s="39" t="s">
        <v>3968</v>
      </c>
      <c r="E322" s="7">
        <v>4207</v>
      </c>
      <c r="F322" s="7" t="s">
        <v>3961</v>
      </c>
      <c r="G322" s="23">
        <v>97.6</v>
      </c>
      <c r="H322" s="34">
        <f>Tabela1[[#This Row],[PESO UNI]]*Tabela1[[#This Row],[QTE]]</f>
        <v>97.6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97.6</v>
      </c>
      <c r="S322" s="18">
        <f t="shared" si="57"/>
        <v>97.6</v>
      </c>
      <c r="T322" s="19">
        <f t="shared" si="52"/>
        <v>0</v>
      </c>
      <c r="U322" s="16">
        <f>IFERROR(SUMIF('LISTA DE EMBARQUE'!B:B,MICRO!E:E,'LISTA DE EMBARQUE'!G:G),"")</f>
        <v>0</v>
      </c>
      <c r="V322" s="12" t="str">
        <f>IFERROR(VLOOKUP(Tabela1[[#This Row],[COD.MDE]],'LISTA DE EMBARQUE'!B:L,11,0),"")</f>
        <v/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0</v>
      </c>
      <c r="Y322" s="14">
        <f t="shared" si="56"/>
        <v>-1</v>
      </c>
      <c r="Z322" s="20">
        <f>Tabela1[[#This Row],[PESO TOTAL]]-Tabela1[[#This Row],[Peso Expedido]]</f>
        <v>97.6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/>
      <c r="AI322" s="33" t="str">
        <f t="shared" si="53"/>
        <v/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97.6</v>
      </c>
      <c r="AU322" s="37">
        <f t="shared" si="54"/>
        <v>0</v>
      </c>
      <c r="AV322" s="37">
        <f t="shared" si="55"/>
        <v>97.6</v>
      </c>
      <c r="AW322" s="37"/>
    </row>
    <row r="323" spans="1:49" ht="15.75" hidden="1" customHeight="1" x14ac:dyDescent="0.25">
      <c r="A323" s="6" t="s">
        <v>3966</v>
      </c>
      <c r="B323" s="21" t="s">
        <v>3969</v>
      </c>
      <c r="C323" s="7">
        <v>1</v>
      </c>
      <c r="D323" s="39" t="s">
        <v>3963</v>
      </c>
      <c r="E323" s="7">
        <v>4208</v>
      </c>
      <c r="F323" s="7" t="s">
        <v>3961</v>
      </c>
      <c r="G323" s="23">
        <v>25.2</v>
      </c>
      <c r="H323" s="34">
        <f>Tabela1[[#This Row],[PESO UNI]]*Tabela1[[#This Row],[QTE]]</f>
        <v>25.2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-1</v>
      </c>
      <c r="R323" s="18">
        <f t="shared" si="51"/>
        <v>25.2</v>
      </c>
      <c r="S323" s="18">
        <f t="shared" si="57"/>
        <v>25.2</v>
      </c>
      <c r="T323" s="19">
        <f t="shared" si="52"/>
        <v>0</v>
      </c>
      <c r="U323" s="16">
        <f>IFERROR(SUMIF('LISTA DE EMBARQUE'!B:B,MICRO!E:E,'LISTA DE EMBARQUE'!G:G),"")</f>
        <v>0</v>
      </c>
      <c r="V323" s="12" t="str">
        <f>IFERROR(VLOOKUP(Tabela1[[#This Row],[COD.MDE]],'LISTA DE EMBARQUE'!B:L,11,0),"")</f>
        <v/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0</v>
      </c>
      <c r="Y323" s="14">
        <f t="shared" si="56"/>
        <v>-1</v>
      </c>
      <c r="Z323" s="20">
        <f>Tabela1[[#This Row],[PESO TOTAL]]-Tabela1[[#This Row],[Peso Expedido]]</f>
        <v>25.2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/>
      <c r="AI323" s="33" t="str">
        <f t="shared" si="53"/>
        <v/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25.2</v>
      </c>
      <c r="AU323" s="37">
        <f t="shared" si="54"/>
        <v>0</v>
      </c>
      <c r="AV323" s="37">
        <f t="shared" si="55"/>
        <v>25.2</v>
      </c>
      <c r="AW323" s="37"/>
    </row>
    <row r="324" spans="1:49" ht="15.75" hidden="1" customHeight="1" x14ac:dyDescent="0.25">
      <c r="A324" s="6" t="s">
        <v>3966</v>
      </c>
      <c r="B324" s="21" t="s">
        <v>3970</v>
      </c>
      <c r="C324" s="7">
        <v>2</v>
      </c>
      <c r="D324" s="39" t="s">
        <v>3965</v>
      </c>
      <c r="E324" s="7">
        <v>4209</v>
      </c>
      <c r="F324" s="7" t="s">
        <v>3961</v>
      </c>
      <c r="G324" s="23">
        <v>2</v>
      </c>
      <c r="H324" s="34">
        <f>Tabela1[[#This Row],[PESO UNI]]*Tabela1[[#This Row],[QTE]]</f>
        <v>4</v>
      </c>
      <c r="I324" s="7">
        <v>0</v>
      </c>
      <c r="J324" s="8" t="s">
        <v>2274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-2</v>
      </c>
      <c r="R324" s="18">
        <f t="shared" si="51"/>
        <v>4</v>
      </c>
      <c r="S324" s="18">
        <f t="shared" si="57"/>
        <v>4</v>
      </c>
      <c r="T324" s="19">
        <f t="shared" si="52"/>
        <v>0</v>
      </c>
      <c r="U324" s="16">
        <f>IFERROR(SUMIF('LISTA DE EMBARQUE'!B:B,MICRO!E:E,'LISTA DE EMBARQUE'!G:G),"")</f>
        <v>0</v>
      </c>
      <c r="V324" s="12" t="str">
        <f>IFERROR(VLOOKUP(Tabela1[[#This Row],[COD.MDE]],'LISTA DE EMBARQUE'!B:L,11,0),"")</f>
        <v/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0</v>
      </c>
      <c r="Y324" s="14">
        <f t="shared" si="56"/>
        <v>-2</v>
      </c>
      <c r="Z324" s="20">
        <f>Tabela1[[#This Row],[PESO TOTAL]]-Tabela1[[#This Row],[Peso Expedido]]</f>
        <v>4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/>
      <c r="AI324" s="33" t="str">
        <f t="shared" si="53"/>
        <v/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si="50"/>
        <v>T-072990-1/1073-TC-006</v>
      </c>
      <c r="AP324" t="str">
        <f>Tabela1[[#This Row],[TAG]]&amp;Tabela1[[#This Row],[PEDIDO]]&amp;Tabela1[[#This Row],[PRODUTO]]</f>
        <v>1073-TC-006P-188RMF</v>
      </c>
      <c r="AQ324" s="22" t="str">
        <f>Tabela1[[#This Row],[PRODUTO]]&amp;Tabela1[[#This Row],[TAG]]</f>
        <v>RMF1073-TC-006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4</v>
      </c>
      <c r="AU324" s="37">
        <f t="shared" si="54"/>
        <v>0</v>
      </c>
      <c r="AV324" s="37">
        <f t="shared" si="55"/>
        <v>4</v>
      </c>
      <c r="AW324" s="37"/>
    </row>
    <row r="325" spans="1:49" ht="15.75" hidden="1" customHeight="1" x14ac:dyDescent="0.25">
      <c r="A325" s="6" t="s">
        <v>3966</v>
      </c>
      <c r="B325" s="21" t="s">
        <v>3967</v>
      </c>
      <c r="C325" s="7">
        <v>1</v>
      </c>
      <c r="D325" s="39" t="s">
        <v>3968</v>
      </c>
      <c r="E325" s="7">
        <v>4210</v>
      </c>
      <c r="F325" s="7" t="s">
        <v>3961</v>
      </c>
      <c r="G325" s="23">
        <v>97.6</v>
      </c>
      <c r="H325" s="34">
        <f>Tabela1[[#This Row],[PESO UNI]]*Tabela1[[#This Row],[QTE]]</f>
        <v>97.6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97.6</v>
      </c>
      <c r="S325" s="18">
        <f t="shared" si="57"/>
        <v>97.6</v>
      </c>
      <c r="T325" s="19">
        <f t="shared" si="52"/>
        <v>0</v>
      </c>
      <c r="U325" s="16">
        <f>IFERROR(SUMIF('LISTA DE EMBARQUE'!B:B,MICRO!E:E,'LISTA DE EMBARQUE'!G:G),"")</f>
        <v>0</v>
      </c>
      <c r="V325" s="12" t="str">
        <f>IFERROR(VLOOKUP(Tabela1[[#This Row],[COD.MDE]],'LISTA DE EMBARQUE'!B:L,11,0),"")</f>
        <v/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0</v>
      </c>
      <c r="Y325" s="14">
        <f t="shared" si="56"/>
        <v>-1</v>
      </c>
      <c r="Z325" s="20">
        <f>Tabela1[[#This Row],[PESO TOTAL]]-Tabela1[[#This Row],[Peso Expedido]]</f>
        <v>97.6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/>
      <c r="AI325" s="33" t="str">
        <f t="shared" si="53"/>
        <v/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ref="AO325:AO388" si="58">A325&amp;"/"&amp;J325</f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97.6</v>
      </c>
      <c r="AU325" s="37">
        <f t="shared" si="54"/>
        <v>0</v>
      </c>
      <c r="AV325" s="37">
        <f t="shared" si="55"/>
        <v>97.6</v>
      </c>
      <c r="AW325" s="37"/>
    </row>
    <row r="326" spans="1:49" ht="15.75" hidden="1" customHeight="1" x14ac:dyDescent="0.25">
      <c r="A326" s="6" t="s">
        <v>3966</v>
      </c>
      <c r="B326" s="21" t="s">
        <v>3969</v>
      </c>
      <c r="C326" s="7">
        <v>1</v>
      </c>
      <c r="D326" s="39" t="s">
        <v>3963</v>
      </c>
      <c r="E326" s="7">
        <v>4211</v>
      </c>
      <c r="F326" s="7" t="s">
        <v>3961</v>
      </c>
      <c r="G326" s="23">
        <v>25.2</v>
      </c>
      <c r="H326" s="34">
        <f>Tabela1[[#This Row],[PESO UNI]]*Tabela1[[#This Row],[QTE]]</f>
        <v>25.2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-1</v>
      </c>
      <c r="R326" s="18">
        <f t="shared" si="51"/>
        <v>25.2</v>
      </c>
      <c r="S326" s="18">
        <f t="shared" si="57"/>
        <v>25.2</v>
      </c>
      <c r="T326" s="19">
        <f t="shared" si="52"/>
        <v>0</v>
      </c>
      <c r="U326" s="16">
        <f>IFERROR(SUMIF('LISTA DE EMBARQUE'!B:B,MICRO!E:E,'LISTA DE EMBARQUE'!G:G),"")</f>
        <v>0</v>
      </c>
      <c r="V326" s="12" t="str">
        <f>IFERROR(VLOOKUP(Tabela1[[#This Row],[COD.MDE]],'LISTA DE EMBARQUE'!B:L,11,0),"")</f>
        <v/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0</v>
      </c>
      <c r="Y326" s="14">
        <f t="shared" si="56"/>
        <v>-1</v>
      </c>
      <c r="Z326" s="20">
        <f>Tabela1[[#This Row],[PESO TOTAL]]-Tabela1[[#This Row],[Peso Expedido]]</f>
        <v>25.2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/>
      <c r="AI326" s="33" t="str">
        <f t="shared" si="53"/>
        <v/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25.2</v>
      </c>
      <c r="AU326" s="37">
        <f t="shared" si="54"/>
        <v>0</v>
      </c>
      <c r="AV326" s="37">
        <f t="shared" si="55"/>
        <v>25.2</v>
      </c>
      <c r="AW326" s="37"/>
    </row>
    <row r="327" spans="1:49" ht="15.75" hidden="1" customHeight="1" x14ac:dyDescent="0.25">
      <c r="A327" s="6" t="s">
        <v>3966</v>
      </c>
      <c r="B327" s="21" t="s">
        <v>3970</v>
      </c>
      <c r="C327" s="7">
        <v>2</v>
      </c>
      <c r="D327" s="39" t="s">
        <v>3965</v>
      </c>
      <c r="E327" s="7">
        <v>4212</v>
      </c>
      <c r="F327" s="7" t="s">
        <v>3961</v>
      </c>
      <c r="G327" s="23">
        <v>2</v>
      </c>
      <c r="H327" s="34">
        <f>Tabela1[[#This Row],[PESO UNI]]*Tabela1[[#This Row],[QTE]]</f>
        <v>4</v>
      </c>
      <c r="I327" s="7">
        <v>0</v>
      </c>
      <c r="J327" s="8" t="s">
        <v>2276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-2</v>
      </c>
      <c r="R327" s="18">
        <f t="shared" si="51"/>
        <v>4</v>
      </c>
      <c r="S327" s="18">
        <f t="shared" si="57"/>
        <v>4</v>
      </c>
      <c r="T327" s="19">
        <f t="shared" si="52"/>
        <v>0</v>
      </c>
      <c r="U327" s="16">
        <f>IFERROR(SUMIF('LISTA DE EMBARQUE'!B:B,MICRO!E:E,'LISTA DE EMBARQUE'!G:G),"")</f>
        <v>0</v>
      </c>
      <c r="V327" s="12" t="str">
        <f>IFERROR(VLOOKUP(Tabela1[[#This Row],[COD.MDE]],'LISTA DE EMBARQUE'!B:L,11,0),"")</f>
        <v/>
      </c>
      <c r="W327" s="13" t="str">
        <f>IFERROR(VLOOKUP(Tabela1[[#This Row],[COD.MDE]],'LISTA DE EMBARQUE'!B:M,12,0),"")</f>
        <v/>
      </c>
      <c r="X327" s="14">
        <f>IFERROR(Tabela1[[#This Row],[QIANTIDADE EXPEDIDA]]*Tabela1[[#This Row],[PESO UNI]],"")</f>
        <v>0</v>
      </c>
      <c r="Y327" s="14">
        <f t="shared" si="56"/>
        <v>-2</v>
      </c>
      <c r="Z327" s="20">
        <f>Tabela1[[#This Row],[PESO TOTAL]]-Tabela1[[#This Row],[Peso Expedido]]</f>
        <v>4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/>
      <c r="AI327" s="33" t="str">
        <f t="shared" si="53"/>
        <v/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T-072990-1/1073-TC-007</v>
      </c>
      <c r="AP327" t="str">
        <f>Tabela1[[#This Row],[TAG]]&amp;Tabela1[[#This Row],[PEDIDO]]&amp;Tabela1[[#This Row],[PRODUTO]]</f>
        <v>1073-TC-007P-188RMF</v>
      </c>
      <c r="AQ327" s="22" t="str">
        <f>Tabela1[[#This Row],[PRODUTO]]&amp;Tabela1[[#This Row],[TAG]]</f>
        <v>RMF1073-TC-007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4</v>
      </c>
      <c r="AU327" s="37">
        <f t="shared" si="54"/>
        <v>0</v>
      </c>
      <c r="AV327" s="37">
        <f t="shared" si="55"/>
        <v>4</v>
      </c>
      <c r="AW327" s="37"/>
    </row>
    <row r="328" spans="1:49" ht="15.75" hidden="1" customHeight="1" x14ac:dyDescent="0.25">
      <c r="A328" s="6" t="s">
        <v>3971</v>
      </c>
      <c r="B328" s="21" t="s">
        <v>3972</v>
      </c>
      <c r="C328" s="7">
        <v>1</v>
      </c>
      <c r="D328" s="39" t="s">
        <v>3973</v>
      </c>
      <c r="E328" s="7">
        <v>4213</v>
      </c>
      <c r="F328" s="7" t="s">
        <v>3974</v>
      </c>
      <c r="G328" s="23">
        <v>704.9</v>
      </c>
      <c r="H328" s="34">
        <f>Tabela1[[#This Row],[PESO UNI]]*Tabela1[[#This Row],[QTE]]</f>
        <v>704.9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-1</v>
      </c>
      <c r="R328" s="18">
        <f t="shared" si="51"/>
        <v>704.9</v>
      </c>
      <c r="S328" s="18">
        <f t="shared" si="57"/>
        <v>704.9</v>
      </c>
      <c r="T328" s="19">
        <f t="shared" si="52"/>
        <v>0</v>
      </c>
      <c r="U328" s="206">
        <v>1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704.9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704.9</v>
      </c>
      <c r="AV328" s="37">
        <f t="shared" si="55"/>
        <v>704.9</v>
      </c>
      <c r="AW328" s="37"/>
    </row>
    <row r="329" spans="1:49" ht="15.75" hidden="1" customHeight="1" x14ac:dyDescent="0.25">
      <c r="A329" s="6" t="s">
        <v>3971</v>
      </c>
      <c r="B329" s="21" t="s">
        <v>3975</v>
      </c>
      <c r="C329" s="7">
        <v>8</v>
      </c>
      <c r="D329" s="39" t="s">
        <v>3976</v>
      </c>
      <c r="E329" s="7">
        <v>4214</v>
      </c>
      <c r="F329" s="7" t="s">
        <v>3974</v>
      </c>
      <c r="G329" s="23">
        <v>2.6</v>
      </c>
      <c r="H329" s="34">
        <f>Tabela1[[#This Row],[PESO UNI]]*Tabela1[[#This Row],[QTE]]</f>
        <v>20.8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-8</v>
      </c>
      <c r="R329" s="18">
        <f t="shared" si="51"/>
        <v>20.8</v>
      </c>
      <c r="S329" s="18">
        <f t="shared" si="57"/>
        <v>20.8</v>
      </c>
      <c r="T329" s="19">
        <f t="shared" si="52"/>
        <v>0</v>
      </c>
      <c r="U329" s="206">
        <v>8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20.8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20.8</v>
      </c>
      <c r="AV329" s="37">
        <f t="shared" si="55"/>
        <v>20.8</v>
      </c>
      <c r="AW329" s="37"/>
    </row>
    <row r="330" spans="1:49" ht="15.75" hidden="1" customHeight="1" x14ac:dyDescent="0.25">
      <c r="A330" s="6" t="s">
        <v>3971</v>
      </c>
      <c r="B330" s="21" t="s">
        <v>3977</v>
      </c>
      <c r="C330" s="7">
        <v>2</v>
      </c>
      <c r="D330" s="39" t="s">
        <v>3978</v>
      </c>
      <c r="E330" s="7">
        <v>4215</v>
      </c>
      <c r="F330" s="7" t="s">
        <v>3974</v>
      </c>
      <c r="G330" s="23">
        <v>37.200000000000003</v>
      </c>
      <c r="H330" s="34">
        <f>Tabela1[[#This Row],[PESO UNI]]*Tabela1[[#This Row],[QTE]]</f>
        <v>74.400000000000006</v>
      </c>
      <c r="I330" s="7">
        <v>1</v>
      </c>
      <c r="J330" s="8" t="s">
        <v>2274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-2</v>
      </c>
      <c r="R330" s="18">
        <f t="shared" si="51"/>
        <v>74.400000000000006</v>
      </c>
      <c r="S330" s="18">
        <f t="shared" si="57"/>
        <v>74.400000000000006</v>
      </c>
      <c r="T330" s="19">
        <f t="shared" si="52"/>
        <v>0</v>
      </c>
      <c r="U330" s="206">
        <v>2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74.400000000000006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T-072991-1/1073-TC-006</v>
      </c>
      <c r="AP330" t="str">
        <f>Tabela1[[#This Row],[TAG]]&amp;Tabela1[[#This Row],[PEDIDO]]&amp;Tabela1[[#This Row],[PRODUTO]]</f>
        <v>1073-TC-006P-188RMF</v>
      </c>
      <c r="AQ330" s="22" t="str">
        <f>Tabela1[[#This Row],[PRODUTO]]&amp;Tabela1[[#This Row],[TAG]]</f>
        <v>RMF1073-TC-006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74.400000000000006</v>
      </c>
      <c r="AV330" s="37">
        <f t="shared" si="55"/>
        <v>74.400000000000006</v>
      </c>
      <c r="AW330" s="37"/>
    </row>
    <row r="331" spans="1:49" ht="15.75" hidden="1" customHeight="1" x14ac:dyDescent="0.25">
      <c r="A331" s="6" t="s">
        <v>3971</v>
      </c>
      <c r="B331" s="21" t="s">
        <v>3972</v>
      </c>
      <c r="C331" s="7">
        <v>1</v>
      </c>
      <c r="D331" s="39" t="s">
        <v>3973</v>
      </c>
      <c r="E331" s="7">
        <v>4216</v>
      </c>
      <c r="F331" s="7" t="s">
        <v>3974</v>
      </c>
      <c r="G331" s="23">
        <v>704.9</v>
      </c>
      <c r="H331" s="34">
        <f>Tabela1[[#This Row],[PESO UNI]]*Tabela1[[#This Row],[QTE]]</f>
        <v>704.9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-1</v>
      </c>
      <c r="R331" s="18">
        <f t="shared" si="51"/>
        <v>704.9</v>
      </c>
      <c r="S331" s="18">
        <f t="shared" si="57"/>
        <v>704.9</v>
      </c>
      <c r="T331" s="19">
        <f t="shared" si="52"/>
        <v>0</v>
      </c>
      <c r="U331" s="206">
        <v>1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704.9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704.9</v>
      </c>
      <c r="AV331" s="37">
        <f t="shared" si="55"/>
        <v>704.9</v>
      </c>
      <c r="AW331" s="37"/>
    </row>
    <row r="332" spans="1:49" ht="15.75" hidden="1" customHeight="1" x14ac:dyDescent="0.25">
      <c r="A332" s="6" t="s">
        <v>3971</v>
      </c>
      <c r="B332" s="21" t="s">
        <v>3975</v>
      </c>
      <c r="C332" s="7">
        <v>8</v>
      </c>
      <c r="D332" s="39" t="s">
        <v>3976</v>
      </c>
      <c r="E332" s="7">
        <v>4217</v>
      </c>
      <c r="F332" s="7" t="s">
        <v>3974</v>
      </c>
      <c r="G332" s="23">
        <v>2.6</v>
      </c>
      <c r="H332" s="34">
        <f>Tabela1[[#This Row],[PESO UNI]]*Tabela1[[#This Row],[QTE]]</f>
        <v>20.8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-8</v>
      </c>
      <c r="R332" s="18">
        <f t="shared" si="51"/>
        <v>20.8</v>
      </c>
      <c r="S332" s="18">
        <f t="shared" si="57"/>
        <v>20.8</v>
      </c>
      <c r="T332" s="19">
        <f t="shared" si="52"/>
        <v>0</v>
      </c>
      <c r="U332" s="206">
        <v>8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20.8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20.8</v>
      </c>
      <c r="AV332" s="37">
        <f t="shared" si="55"/>
        <v>20.8</v>
      </c>
      <c r="AW332" s="37"/>
    </row>
    <row r="333" spans="1:49" ht="15.75" hidden="1" customHeight="1" x14ac:dyDescent="0.25">
      <c r="A333" s="6" t="s">
        <v>3971</v>
      </c>
      <c r="B333" s="21" t="s">
        <v>3977</v>
      </c>
      <c r="C333" s="7">
        <v>2</v>
      </c>
      <c r="D333" s="39" t="s">
        <v>3978</v>
      </c>
      <c r="E333" s="7">
        <v>4218</v>
      </c>
      <c r="F333" s="7" t="s">
        <v>3974</v>
      </c>
      <c r="G333" s="23">
        <v>37.200000000000003</v>
      </c>
      <c r="H333" s="34">
        <f>Tabela1[[#This Row],[PESO UNI]]*Tabela1[[#This Row],[QTE]]</f>
        <v>74.400000000000006</v>
      </c>
      <c r="I333" s="7">
        <v>1</v>
      </c>
      <c r="J333" s="8" t="s">
        <v>2276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-2</v>
      </c>
      <c r="R333" s="18">
        <f t="shared" si="51"/>
        <v>74.400000000000006</v>
      </c>
      <c r="S333" s="18">
        <f t="shared" si="57"/>
        <v>74.400000000000006</v>
      </c>
      <c r="T333" s="19">
        <f t="shared" si="52"/>
        <v>0</v>
      </c>
      <c r="U333" s="206">
        <v>2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74.400000000000006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T-072991-1/1073-TC-007</v>
      </c>
      <c r="AP333" t="str">
        <f>Tabela1[[#This Row],[TAG]]&amp;Tabela1[[#This Row],[PEDIDO]]&amp;Tabela1[[#This Row],[PRODUTO]]</f>
        <v>1073-TC-007P-188RMF</v>
      </c>
      <c r="AQ333" s="22" t="str">
        <f>Tabela1[[#This Row],[PRODUTO]]&amp;Tabela1[[#This Row],[TAG]]</f>
        <v>RMF1073-TC-007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74.400000000000006</v>
      </c>
      <c r="AV333" s="37">
        <f t="shared" si="55"/>
        <v>74.400000000000006</v>
      </c>
      <c r="AW333" s="37"/>
    </row>
    <row r="334" spans="1:49" ht="15.75" hidden="1" customHeight="1" x14ac:dyDescent="0.25">
      <c r="A334" s="6" t="s">
        <v>3979</v>
      </c>
      <c r="B334" s="21" t="s">
        <v>3980</v>
      </c>
      <c r="C334" s="7">
        <v>1</v>
      </c>
      <c r="D334" s="39" t="s">
        <v>3981</v>
      </c>
      <c r="E334" s="7">
        <v>4219</v>
      </c>
      <c r="F334" s="7" t="s">
        <v>3974</v>
      </c>
      <c r="G334" s="23">
        <v>62.2</v>
      </c>
      <c r="H334" s="34">
        <f>Tabela1[[#This Row],[PESO UNI]]*Tabela1[[#This Row],[QTE]]</f>
        <v>62.2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-1</v>
      </c>
      <c r="R334" s="18">
        <f t="shared" si="51"/>
        <v>62.2</v>
      </c>
      <c r="S334" s="18">
        <f t="shared" si="57"/>
        <v>62.2</v>
      </c>
      <c r="T334" s="19">
        <f t="shared" si="52"/>
        <v>0</v>
      </c>
      <c r="U334" s="206">
        <v>1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62.2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62.2</v>
      </c>
      <c r="AV334" s="37">
        <f t="shared" si="55"/>
        <v>62.2</v>
      </c>
      <c r="AW334" s="37"/>
    </row>
    <row r="335" spans="1:49" ht="15.75" hidden="1" customHeight="1" x14ac:dyDescent="0.25">
      <c r="A335" s="6" t="s">
        <v>3979</v>
      </c>
      <c r="B335" s="21" t="s">
        <v>3980</v>
      </c>
      <c r="C335" s="7">
        <v>4</v>
      </c>
      <c r="D335" s="39" t="s">
        <v>3982</v>
      </c>
      <c r="E335" s="7">
        <v>4220</v>
      </c>
      <c r="F335" s="7" t="s">
        <v>3974</v>
      </c>
      <c r="G335" s="23">
        <v>2.6</v>
      </c>
      <c r="H335" s="34">
        <f>Tabela1[[#This Row],[PESO UNI]]*Tabela1[[#This Row],[QTE]]</f>
        <v>10.4</v>
      </c>
      <c r="I335" s="7">
        <v>1</v>
      </c>
      <c r="J335" s="8" t="s">
        <v>2274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-4</v>
      </c>
      <c r="R335" s="18">
        <f t="shared" si="51"/>
        <v>10.4</v>
      </c>
      <c r="S335" s="18">
        <f t="shared" si="57"/>
        <v>10.4</v>
      </c>
      <c r="T335" s="19">
        <f t="shared" si="52"/>
        <v>0</v>
      </c>
      <c r="U335" s="206">
        <v>4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10.4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T-072992-1/1073-TC-006</v>
      </c>
      <c r="AP335" t="str">
        <f>Tabela1[[#This Row],[TAG]]&amp;Tabela1[[#This Row],[PEDIDO]]&amp;Tabela1[[#This Row],[PRODUTO]]</f>
        <v>1073-TC-006P-188RMF</v>
      </c>
      <c r="AQ335" s="22" t="str">
        <f>Tabela1[[#This Row],[PRODUTO]]&amp;Tabela1[[#This Row],[TAG]]</f>
        <v>RMF1073-TC-006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10.4</v>
      </c>
      <c r="AV335" s="37">
        <f t="shared" si="55"/>
        <v>10.4</v>
      </c>
      <c r="AW335" s="37"/>
    </row>
    <row r="336" spans="1:49" ht="15.75" hidden="1" customHeight="1" x14ac:dyDescent="0.25">
      <c r="A336" s="6" t="s">
        <v>3979</v>
      </c>
      <c r="B336" s="21" t="s">
        <v>3980</v>
      </c>
      <c r="C336" s="7">
        <v>1</v>
      </c>
      <c r="D336" s="39" t="s">
        <v>3981</v>
      </c>
      <c r="E336" s="7">
        <v>4221</v>
      </c>
      <c r="F336" s="7" t="s">
        <v>3974</v>
      </c>
      <c r="G336" s="23">
        <v>62.2</v>
      </c>
      <c r="H336" s="34">
        <f>Tabela1[[#This Row],[PESO UNI]]*Tabela1[[#This Row],[QTE]]</f>
        <v>62.2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-1</v>
      </c>
      <c r="R336" s="18">
        <f t="shared" si="51"/>
        <v>62.2</v>
      </c>
      <c r="S336" s="18">
        <f t="shared" si="57"/>
        <v>62.2</v>
      </c>
      <c r="T336" s="19">
        <f t="shared" si="52"/>
        <v>0</v>
      </c>
      <c r="U336" s="206">
        <v>1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62.2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62.2</v>
      </c>
      <c r="AV336" s="37">
        <f t="shared" si="55"/>
        <v>62.2</v>
      </c>
      <c r="AW336" s="37"/>
    </row>
    <row r="337" spans="1:49" ht="15.75" hidden="1" customHeight="1" x14ac:dyDescent="0.25">
      <c r="A337" s="6" t="s">
        <v>3979</v>
      </c>
      <c r="B337" s="21" t="s">
        <v>3980</v>
      </c>
      <c r="C337" s="7">
        <v>4</v>
      </c>
      <c r="D337" s="39" t="s">
        <v>3982</v>
      </c>
      <c r="E337" s="7">
        <v>4222</v>
      </c>
      <c r="F337" s="7" t="s">
        <v>3974</v>
      </c>
      <c r="G337" s="23">
        <v>2.6</v>
      </c>
      <c r="H337" s="34">
        <f>Tabela1[[#This Row],[PESO UNI]]*Tabela1[[#This Row],[QTE]]</f>
        <v>10.4</v>
      </c>
      <c r="I337" s="7">
        <v>1</v>
      </c>
      <c r="J337" s="8" t="s">
        <v>2276</v>
      </c>
      <c r="K337" s="8" t="s">
        <v>327</v>
      </c>
      <c r="L337" s="9" t="s">
        <v>2069</v>
      </c>
      <c r="M337" s="10">
        <v>46142</v>
      </c>
      <c r="N337" s="8" t="s">
        <v>327</v>
      </c>
      <c r="O337" s="12"/>
      <c r="P337" s="13"/>
      <c r="Q337" s="14">
        <f>Tabela1[[#This Row],[QTDE/ Fabricação]]-Tabela1[[#This Row],[QTE]]</f>
        <v>-4</v>
      </c>
      <c r="R337" s="18">
        <f t="shared" si="51"/>
        <v>10.4</v>
      </c>
      <c r="S337" s="18">
        <f t="shared" si="57"/>
        <v>10.4</v>
      </c>
      <c r="T337" s="19">
        <f t="shared" si="52"/>
        <v>0</v>
      </c>
      <c r="U337" s="206">
        <v>4</v>
      </c>
      <c r="V337" s="12" t="str">
        <f>IFERROR(VLOOKUP(Tabela1[[#This Row],[COD.MDE]],'LISTA DE EMBARQUE'!B:L,11,0),"")</f>
        <v/>
      </c>
      <c r="W337" s="13"/>
      <c r="X337" s="14">
        <f>IFERROR(Tabela1[[#This Row],[QIANTIDADE EXPEDIDA]]*Tabela1[[#This Row],[PESO UNI]],"")</f>
        <v>10.4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T-072992-1/1073-TC-007</v>
      </c>
      <c r="AP337" t="str">
        <f>Tabela1[[#This Row],[TAG]]&amp;Tabela1[[#This Row],[PEDIDO]]&amp;Tabela1[[#This Row],[PRODUTO]]</f>
        <v>1073-TC-007P-188RMF</v>
      </c>
      <c r="AQ337" s="22" t="str">
        <f>Tabela1[[#This Row],[PRODUTO]]&amp;Tabela1[[#This Row],[TAG]]</f>
        <v>RMF1073-TC-007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10.4</v>
      </c>
      <c r="AV337" s="37">
        <f t="shared" si="55"/>
        <v>10.4</v>
      </c>
      <c r="AW337" s="37"/>
    </row>
    <row r="338" spans="1:49" ht="15.75" hidden="1" customHeight="1" x14ac:dyDescent="0.25">
      <c r="A338" s="6" t="s">
        <v>3773</v>
      </c>
      <c r="B338" s="21" t="s">
        <v>3983</v>
      </c>
      <c r="C338" s="7">
        <v>2</v>
      </c>
      <c r="D338" s="39" t="s">
        <v>3984</v>
      </c>
      <c r="E338" s="7">
        <v>4223</v>
      </c>
      <c r="F338" s="7" t="s">
        <v>3775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2274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f>IFERROR(SUMIF('LISTA DE EMBARQUE'!B:B,MICRO!E:E,'LISTA DE EMBARQUE'!G:G),"")</f>
        <v>0</v>
      </c>
      <c r="V338" s="12" t="str">
        <f>IFERROR(VLOOKUP(Tabela1[[#This Row],[COD.MDE]],'LISTA DE EMBARQUE'!B:L,11,0),"")</f>
        <v/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0</v>
      </c>
      <c r="Y338" s="14">
        <f t="shared" si="56"/>
        <v>-2</v>
      </c>
      <c r="Z338" s="20">
        <f>Tabela1[[#This Row],[PESO TOTAL]]-Tabela1[[#This Row],[Peso Expedido]]</f>
        <v>27.4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/>
      <c r="AI338" s="33" t="str">
        <f t="shared" si="53"/>
        <v/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T-072953-1/1073-TC-006</v>
      </c>
      <c r="AP338" t="str">
        <f>Tabela1[[#This Row],[TAG]]&amp;Tabela1[[#This Row],[PEDIDO]]&amp;Tabela1[[#This Row],[PRODUTO]]</f>
        <v>1073-TC-006P-188RMF</v>
      </c>
      <c r="AQ338" s="22" t="str">
        <f>Tabela1[[#This Row],[PRODUTO]]&amp;Tabela1[[#This Row],[TAG]]</f>
        <v>RMF1073-TC-006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27.4</v>
      </c>
      <c r="AU338" s="37">
        <f t="shared" si="54"/>
        <v>0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3773</v>
      </c>
      <c r="B339" s="21" t="s">
        <v>3983</v>
      </c>
      <c r="C339" s="7">
        <v>2</v>
      </c>
      <c r="D339" s="39" t="s">
        <v>3984</v>
      </c>
      <c r="E339" s="7">
        <v>4224</v>
      </c>
      <c r="F339" s="7" t="s">
        <v>3775</v>
      </c>
      <c r="G339" s="23">
        <v>13.7</v>
      </c>
      <c r="H339" s="34">
        <f>Tabela1[[#This Row],[PESO UNI]]*Tabela1[[#This Row],[QTE]]</f>
        <v>27.4</v>
      </c>
      <c r="I339" s="7">
        <v>5</v>
      </c>
      <c r="J339" s="8" t="s">
        <v>2276</v>
      </c>
      <c r="K339" s="8" t="s">
        <v>327</v>
      </c>
      <c r="L339" s="9" t="s">
        <v>2069</v>
      </c>
      <c r="M339" s="10">
        <v>46149</v>
      </c>
      <c r="N339" s="8" t="s">
        <v>327</v>
      </c>
      <c r="O339" s="12"/>
      <c r="P339" s="13"/>
      <c r="Q339" s="14">
        <f>Tabela1[[#This Row],[QTDE/ Fabricação]]-Tabela1[[#This Row],[QTE]]</f>
        <v>-2</v>
      </c>
      <c r="R339" s="18">
        <f t="shared" si="51"/>
        <v>27.4</v>
      </c>
      <c r="S339" s="18">
        <f t="shared" si="57"/>
        <v>27.4</v>
      </c>
      <c r="T339" s="19">
        <f t="shared" si="52"/>
        <v>0</v>
      </c>
      <c r="U339" s="16">
        <f>IFERROR(SUMIF('LISTA DE EMBARQUE'!B:B,MICRO!E:E,'LISTA DE EMBARQUE'!G:G),"")</f>
        <v>0</v>
      </c>
      <c r="V339" s="12" t="str">
        <f>IFERROR(VLOOKUP(Tabela1[[#This Row],[COD.MDE]],'LISTA DE EMBARQUE'!B:L,11,0),"")</f>
        <v/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0</v>
      </c>
      <c r="Y339" s="14">
        <f t="shared" si="56"/>
        <v>-2</v>
      </c>
      <c r="Z339" s="20">
        <f>Tabela1[[#This Row],[PESO TOTAL]]-Tabela1[[#This Row],[Peso Expedido]]</f>
        <v>27.4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/>
      <c r="AI339" s="33" t="str">
        <f t="shared" si="53"/>
        <v/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T-072953-1/1073-TC-007</v>
      </c>
      <c r="AP339" t="str">
        <f>Tabela1[[#This Row],[TAG]]&amp;Tabela1[[#This Row],[PEDIDO]]&amp;Tabela1[[#This Row],[PRODUTO]]</f>
        <v>1073-TC-007P-188RMF</v>
      </c>
      <c r="AQ339" s="22" t="str">
        <f>Tabela1[[#This Row],[PRODUTO]]&amp;Tabela1[[#This Row],[TAG]]</f>
        <v>RMF1073-TC-007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27.4</v>
      </c>
      <c r="AU339" s="37">
        <f t="shared" si="54"/>
        <v>0</v>
      </c>
      <c r="AV339" s="37">
        <f t="shared" si="55"/>
        <v>27.4</v>
      </c>
      <c r="AW339" s="37"/>
    </row>
    <row r="340" spans="1:49" ht="15.75" hidden="1" customHeight="1" x14ac:dyDescent="0.25">
      <c r="A340" s="6" t="s">
        <v>3985</v>
      </c>
      <c r="B340" s="21" t="s">
        <v>3986</v>
      </c>
      <c r="C340" s="7">
        <v>1</v>
      </c>
      <c r="D340" s="39" t="s">
        <v>3987</v>
      </c>
      <c r="E340" s="7">
        <v>4225</v>
      </c>
      <c r="F340" s="7" t="s">
        <v>3988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2274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f>IFERROR(SUMIF('LISTA DE EMBARQUE'!B:B,MICRO!E:E,'LISTA DE EMBARQUE'!G:G),"")</f>
        <v>0</v>
      </c>
      <c r="V340" s="12" t="str">
        <f>IFERROR(VLOOKUP(Tabela1[[#This Row],[COD.MDE]],'LISTA DE EMBARQUE'!B:L,11,0),"")</f>
        <v/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0</v>
      </c>
      <c r="Y340" s="14">
        <f t="shared" si="56"/>
        <v>-1</v>
      </c>
      <c r="Z340" s="20">
        <f>Tabela1[[#This Row],[PESO TOTAL]]-Tabela1[[#This Row],[Peso Expedido]]</f>
        <v>36.6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/>
      <c r="AI340" s="33" t="str">
        <f t="shared" si="53"/>
        <v/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T-072997-1/1073-TC-006</v>
      </c>
      <c r="AP340" t="str">
        <f>Tabela1[[#This Row],[TAG]]&amp;Tabela1[[#This Row],[PEDIDO]]&amp;Tabela1[[#This Row],[PRODUTO]]</f>
        <v>1073-TC-006P-188RMF</v>
      </c>
      <c r="AQ340" s="22" t="str">
        <f>Tabela1[[#This Row],[PRODUTO]]&amp;Tabela1[[#This Row],[TAG]]</f>
        <v>RMF1073-TC-006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36.6</v>
      </c>
      <c r="AU340" s="37">
        <f t="shared" si="54"/>
        <v>0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3985</v>
      </c>
      <c r="B341" s="21" t="s">
        <v>3986</v>
      </c>
      <c r="C341" s="7">
        <v>1</v>
      </c>
      <c r="D341" s="39" t="s">
        <v>3987</v>
      </c>
      <c r="E341" s="7">
        <v>4226</v>
      </c>
      <c r="F341" s="7" t="s">
        <v>3988</v>
      </c>
      <c r="G341" s="23">
        <v>36.6</v>
      </c>
      <c r="H341" s="34">
        <f>Tabela1[[#This Row],[PESO UNI]]*Tabela1[[#This Row],[QTE]]</f>
        <v>36.6</v>
      </c>
      <c r="I341" s="7">
        <v>2</v>
      </c>
      <c r="J341" s="8" t="s">
        <v>2276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-1</v>
      </c>
      <c r="R341" s="18">
        <f t="shared" si="51"/>
        <v>36.6</v>
      </c>
      <c r="S341" s="18">
        <f t="shared" si="57"/>
        <v>36.6</v>
      </c>
      <c r="T341" s="19">
        <f t="shared" si="52"/>
        <v>0</v>
      </c>
      <c r="U341" s="16">
        <f>IFERROR(SUMIF('LISTA DE EMBARQUE'!B:B,MICRO!E:E,'LISTA DE EMBARQUE'!G:G),"")</f>
        <v>0</v>
      </c>
      <c r="V341" s="12" t="str">
        <f>IFERROR(VLOOKUP(Tabela1[[#This Row],[COD.MDE]],'LISTA DE EMBARQUE'!B:L,11,0),"")</f>
        <v/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0</v>
      </c>
      <c r="Y341" s="14">
        <f t="shared" si="56"/>
        <v>-1</v>
      </c>
      <c r="Z341" s="20">
        <f>Tabela1[[#This Row],[PESO TOTAL]]-Tabela1[[#This Row],[Peso Expedido]]</f>
        <v>36.6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/>
      <c r="AI341" s="33" t="str">
        <f t="shared" si="53"/>
        <v/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T-072997-1/1073-TC-007</v>
      </c>
      <c r="AP341" t="str">
        <f>Tabela1[[#This Row],[TAG]]&amp;Tabela1[[#This Row],[PEDIDO]]&amp;Tabela1[[#This Row],[PRODUTO]]</f>
        <v>1073-TC-007P-188RMF</v>
      </c>
      <c r="AQ341" s="22" t="str">
        <f>Tabela1[[#This Row],[PRODUTO]]&amp;Tabela1[[#This Row],[TAG]]</f>
        <v>RMF1073-TC-007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36.6</v>
      </c>
      <c r="AU341" s="37">
        <f t="shared" si="54"/>
        <v>0</v>
      </c>
      <c r="AV341" s="37">
        <f t="shared" si="55"/>
        <v>36.6</v>
      </c>
      <c r="AW341" s="37"/>
    </row>
    <row r="342" spans="1:49" ht="15.75" hidden="1" customHeight="1" x14ac:dyDescent="0.25">
      <c r="A342" s="6" t="s">
        <v>3985</v>
      </c>
      <c r="B342" s="21" t="s">
        <v>3989</v>
      </c>
      <c r="C342" s="7">
        <v>2</v>
      </c>
      <c r="D342" s="39" t="s">
        <v>3990</v>
      </c>
      <c r="E342" s="7">
        <v>4227</v>
      </c>
      <c r="F342" s="7" t="s">
        <v>3988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2274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f>IFERROR(SUMIF('LISTA DE EMBARQUE'!B:B,MICRO!E:E,'LISTA DE EMBARQUE'!G:G),"")</f>
        <v>0</v>
      </c>
      <c r="V342" s="12" t="str">
        <f>IFERROR(VLOOKUP(Tabela1[[#This Row],[COD.MDE]],'LISTA DE EMBARQUE'!B:L,11,0),"")</f>
        <v/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0</v>
      </c>
      <c r="Y342" s="14">
        <f t="shared" si="56"/>
        <v>-2</v>
      </c>
      <c r="Z342" s="20">
        <f>Tabela1[[#This Row],[PESO TOTAL]]-Tabela1[[#This Row],[Peso Expedido]]</f>
        <v>12.6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/>
      <c r="AI342" s="33" t="str">
        <f t="shared" si="53"/>
        <v/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T-072997-1/1073-TC-006</v>
      </c>
      <c r="AP342" t="str">
        <f>Tabela1[[#This Row],[TAG]]&amp;Tabela1[[#This Row],[PEDIDO]]&amp;Tabela1[[#This Row],[PRODUTO]]</f>
        <v>1073-TC-006P-188RMF</v>
      </c>
      <c r="AQ342" s="22" t="str">
        <f>Tabela1[[#This Row],[PRODUTO]]&amp;Tabela1[[#This Row],[TAG]]</f>
        <v>RMF1073-TC-006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12.6</v>
      </c>
      <c r="AU342" s="37">
        <f t="shared" si="54"/>
        <v>0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3985</v>
      </c>
      <c r="B343" s="21" t="s">
        <v>3989</v>
      </c>
      <c r="C343" s="7">
        <v>2</v>
      </c>
      <c r="D343" s="39" t="s">
        <v>3990</v>
      </c>
      <c r="E343" s="7">
        <v>4228</v>
      </c>
      <c r="F343" s="7" t="s">
        <v>3988</v>
      </c>
      <c r="G343" s="23">
        <v>6.3</v>
      </c>
      <c r="H343" s="34">
        <f>Tabela1[[#This Row],[PESO UNI]]*Tabela1[[#This Row],[QTE]]</f>
        <v>12.6</v>
      </c>
      <c r="I343" s="7">
        <v>2</v>
      </c>
      <c r="J343" s="8" t="s">
        <v>2276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12.6</v>
      </c>
      <c r="S343" s="18">
        <f t="shared" si="57"/>
        <v>12.6</v>
      </c>
      <c r="T343" s="19">
        <f t="shared" si="52"/>
        <v>0</v>
      </c>
      <c r="U343" s="16">
        <f>IFERROR(SUMIF('LISTA DE EMBARQUE'!B:B,MICRO!E:E,'LISTA DE EMBARQUE'!G:G),"")</f>
        <v>0</v>
      </c>
      <c r="V343" s="12" t="str">
        <f>IFERROR(VLOOKUP(Tabela1[[#This Row],[COD.MDE]],'LISTA DE EMBARQUE'!B:L,11,0),"")</f>
        <v/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0</v>
      </c>
      <c r="Y343" s="14">
        <f t="shared" si="56"/>
        <v>-2</v>
      </c>
      <c r="Z343" s="20">
        <f>Tabela1[[#This Row],[PESO TOTAL]]-Tabela1[[#This Row],[Peso Expedido]]</f>
        <v>12.6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/>
      <c r="AI343" s="33" t="str">
        <f t="shared" si="53"/>
        <v/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T-072997-1/1073-TC-007</v>
      </c>
      <c r="AP343" t="str">
        <f>Tabela1[[#This Row],[TAG]]&amp;Tabela1[[#This Row],[PEDIDO]]&amp;Tabela1[[#This Row],[PRODUTO]]</f>
        <v>1073-TC-007P-188RMF</v>
      </c>
      <c r="AQ343" s="22" t="str">
        <f>Tabela1[[#This Row],[PRODUTO]]&amp;Tabela1[[#This Row],[TAG]]</f>
        <v>RMF1073-TC-007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12.6</v>
      </c>
      <c r="AU343" s="37">
        <f t="shared" si="54"/>
        <v>0</v>
      </c>
      <c r="AV343" s="37">
        <f t="shared" si="55"/>
        <v>12.6</v>
      </c>
      <c r="AW343" s="37"/>
    </row>
    <row r="344" spans="1:49" ht="15.75" hidden="1" customHeight="1" x14ac:dyDescent="0.25">
      <c r="A344" s="6" t="s">
        <v>3985</v>
      </c>
      <c r="B344" s="21" t="s">
        <v>3991</v>
      </c>
      <c r="C344" s="7">
        <v>2</v>
      </c>
      <c r="D344" s="39" t="s">
        <v>3992</v>
      </c>
      <c r="E344" s="7">
        <v>4229</v>
      </c>
      <c r="F344" s="7" t="s">
        <v>3988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2274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f>IFERROR(SUMIF('LISTA DE EMBARQUE'!B:B,MICRO!E:E,'LISTA DE EMBARQUE'!G:G),"")</f>
        <v>0</v>
      </c>
      <c r="V344" s="12" t="str">
        <f>IFERROR(VLOOKUP(Tabela1[[#This Row],[COD.MDE]],'LISTA DE EMBARQUE'!B:L,11,0),"")</f>
        <v/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0</v>
      </c>
      <c r="Y344" s="14">
        <f t="shared" si="56"/>
        <v>-2</v>
      </c>
      <c r="Z344" s="20">
        <f>Tabela1[[#This Row],[PESO TOTAL]]-Tabela1[[#This Row],[Peso Expedido]]</f>
        <v>1.4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/>
      <c r="AI344" s="33" t="str">
        <f t="shared" si="53"/>
        <v/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T-072997-1/1073-TC-006</v>
      </c>
      <c r="AP344" t="str">
        <f>Tabela1[[#This Row],[TAG]]&amp;Tabela1[[#This Row],[PEDIDO]]&amp;Tabela1[[#This Row],[PRODUTO]]</f>
        <v>1073-TC-006P-188RMF</v>
      </c>
      <c r="AQ344" s="22" t="str">
        <f>Tabela1[[#This Row],[PRODUTO]]&amp;Tabela1[[#This Row],[TAG]]</f>
        <v>RMF1073-TC-006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1.4</v>
      </c>
      <c r="AU344" s="37">
        <f t="shared" si="54"/>
        <v>0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3985</v>
      </c>
      <c r="B345" s="21" t="s">
        <v>3991</v>
      </c>
      <c r="C345" s="7">
        <v>2</v>
      </c>
      <c r="D345" s="39" t="s">
        <v>3992</v>
      </c>
      <c r="E345" s="7">
        <v>4230</v>
      </c>
      <c r="F345" s="7" t="s">
        <v>3988</v>
      </c>
      <c r="G345" s="23">
        <v>0.7</v>
      </c>
      <c r="H345" s="34">
        <f>Tabela1[[#This Row],[PESO UNI]]*Tabela1[[#This Row],[QTE]]</f>
        <v>1.4</v>
      </c>
      <c r="I345" s="7">
        <v>2</v>
      </c>
      <c r="J345" s="8" t="s">
        <v>2276</v>
      </c>
      <c r="K345" s="8" t="s">
        <v>327</v>
      </c>
      <c r="L345" s="9" t="s">
        <v>2069</v>
      </c>
      <c r="M345" s="10">
        <v>46161</v>
      </c>
      <c r="N345" s="8" t="s">
        <v>327</v>
      </c>
      <c r="O345" s="12"/>
      <c r="P345" s="13"/>
      <c r="Q345" s="14">
        <f>Tabela1[[#This Row],[QTDE/ Fabricação]]-Tabela1[[#This Row],[QTE]]</f>
        <v>-2</v>
      </c>
      <c r="R345" s="18">
        <f t="shared" si="51"/>
        <v>1.4</v>
      </c>
      <c r="S345" s="18">
        <f t="shared" si="57"/>
        <v>1.4</v>
      </c>
      <c r="T345" s="19">
        <f t="shared" si="52"/>
        <v>0</v>
      </c>
      <c r="U345" s="16">
        <f>IFERROR(SUMIF('LISTA DE EMBARQUE'!B:B,MICRO!E:E,'LISTA DE EMBARQUE'!G:G),"")</f>
        <v>0</v>
      </c>
      <c r="V345" s="12" t="str">
        <f>IFERROR(VLOOKUP(Tabela1[[#This Row],[COD.MDE]],'LISTA DE EMBARQUE'!B:L,11,0),"")</f>
        <v/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0</v>
      </c>
      <c r="Y345" s="14">
        <f t="shared" si="56"/>
        <v>-2</v>
      </c>
      <c r="Z345" s="20">
        <f>Tabela1[[#This Row],[PESO TOTAL]]-Tabela1[[#This Row],[Peso Expedido]]</f>
        <v>1.4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/>
      <c r="AI345" s="33" t="str">
        <f t="shared" si="53"/>
        <v/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T-072997-1/1073-TC-007</v>
      </c>
      <c r="AP345" t="str">
        <f>Tabela1[[#This Row],[TAG]]&amp;Tabela1[[#This Row],[PEDIDO]]&amp;Tabela1[[#This Row],[PRODUTO]]</f>
        <v>1073-TC-007P-188RMF</v>
      </c>
      <c r="AQ345" s="22" t="str">
        <f>Tabela1[[#This Row],[PRODUTO]]&amp;Tabela1[[#This Row],[TAG]]</f>
        <v>RMF1073-TC-007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1.4</v>
      </c>
      <c r="AU345" s="37">
        <f t="shared" si="54"/>
        <v>0</v>
      </c>
      <c r="AV345" s="37">
        <f t="shared" si="55"/>
        <v>1.4</v>
      </c>
      <c r="AW345" s="37"/>
    </row>
    <row r="346" spans="1:49" ht="15.75" hidden="1" customHeight="1" x14ac:dyDescent="0.25">
      <c r="A346" s="6" t="s">
        <v>3993</v>
      </c>
      <c r="B346" s="21" t="s">
        <v>3994</v>
      </c>
      <c r="C346" s="7">
        <v>1</v>
      </c>
      <c r="D346" s="39" t="s">
        <v>3995</v>
      </c>
      <c r="E346" s="7">
        <v>4231</v>
      </c>
      <c r="F346" s="7" t="s">
        <v>3996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2274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ref="R346:R409" si="59">IFERROR(H346*((AA346*0.25)+(AC346*0.25)+(AD346*0.225)+(AE346*0.225)+(AF346*0.05)),"")</f>
        <v>11.3</v>
      </c>
      <c r="S346" s="18">
        <f t="shared" si="57"/>
        <v>11.3</v>
      </c>
      <c r="T346" s="19">
        <f t="shared" ref="T346:T355" si="60">IFERROR(S346-H346,"")</f>
        <v>0</v>
      </c>
      <c r="U346" s="16">
        <f>IFERROR(SUMIF('LISTA DE EMBARQUE'!B:B,MICRO!E:E,'LISTA DE EMBARQUE'!G:G),"")</f>
        <v>0</v>
      </c>
      <c r="V346" s="12" t="str">
        <f>IFERROR(VLOOKUP(Tabela1[[#This Row],[COD.MDE]],'LISTA DE EMBARQUE'!B:L,11,0),"")</f>
        <v/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0</v>
      </c>
      <c r="Y346" s="14">
        <f t="shared" si="56"/>
        <v>-1</v>
      </c>
      <c r="Z346" s="20">
        <f>Tabela1[[#This Row],[PESO TOTAL]]-Tabela1[[#This Row],[Peso Expedido]]</f>
        <v>11.3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/>
      <c r="AI346" s="33" t="str">
        <f t="shared" si="53"/>
        <v/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T-072993-1/1073-TC-006</v>
      </c>
      <c r="AP346" t="str">
        <f>Tabela1[[#This Row],[TAG]]&amp;Tabela1[[#This Row],[PEDIDO]]&amp;Tabela1[[#This Row],[PRODUTO]]</f>
        <v>1073-TC-006P-188RMF</v>
      </c>
      <c r="AQ346" s="22" t="str">
        <f>Tabela1[[#This Row],[PRODUTO]]&amp;Tabela1[[#This Row],[TAG]]</f>
        <v>RMF1073-TC-006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11.3</v>
      </c>
      <c r="AU346" s="37">
        <f t="shared" si="54"/>
        <v>0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3993</v>
      </c>
      <c r="B347" s="21" t="s">
        <v>3994</v>
      </c>
      <c r="C347" s="7">
        <v>1</v>
      </c>
      <c r="D347" s="39" t="s">
        <v>3995</v>
      </c>
      <c r="E347" s="7">
        <v>4232</v>
      </c>
      <c r="F347" s="7" t="s">
        <v>3996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2276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f>IFERROR(SUMIF('LISTA DE EMBARQUE'!B:B,MICRO!E:E,'LISTA DE EMBARQUE'!G:G),"")</f>
        <v>0</v>
      </c>
      <c r="V347" s="12" t="str">
        <f>IFERROR(VLOOKUP(Tabela1[[#This Row],[COD.MDE]],'LISTA DE EMBARQUE'!B:L,11,0),"")</f>
        <v/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0</v>
      </c>
      <c r="Y347" s="14">
        <f t="shared" si="56"/>
        <v>-1</v>
      </c>
      <c r="Z347" s="20">
        <f>Tabela1[[#This Row],[PESO TOTAL]]-Tabela1[[#This Row],[Peso Expedido]]</f>
        <v>11.3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/>
      <c r="AI347" s="33" t="str">
        <f t="shared" si="53"/>
        <v/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T-072993-1/1073-TC-007</v>
      </c>
      <c r="AP347" t="str">
        <f>Tabela1[[#This Row],[TAG]]&amp;Tabela1[[#This Row],[PEDIDO]]&amp;Tabela1[[#This Row],[PRODUTO]]</f>
        <v>1073-TC-007P-188RMF</v>
      </c>
      <c r="AQ347" s="22" t="str">
        <f>Tabela1[[#This Row],[PRODUTO]]&amp;Tabela1[[#This Row],[TAG]]</f>
        <v>RMF1073-TC-007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11.3</v>
      </c>
      <c r="AU347" s="37">
        <f t="shared" si="54"/>
        <v>0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3993</v>
      </c>
      <c r="B348" s="21" t="s">
        <v>3997</v>
      </c>
      <c r="C348" s="7">
        <v>1</v>
      </c>
      <c r="D348" s="39" t="s">
        <v>3995</v>
      </c>
      <c r="E348" s="7">
        <v>4233</v>
      </c>
      <c r="F348" s="7" t="s">
        <v>3996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2274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f>IFERROR(SUMIF('LISTA DE EMBARQUE'!B:B,MICRO!E:E,'LISTA DE EMBARQUE'!G:G),"")</f>
        <v>0</v>
      </c>
      <c r="V348" s="12" t="str">
        <f>IFERROR(VLOOKUP(Tabela1[[#This Row],[COD.MDE]],'LISTA DE EMBARQUE'!B:L,11,0),"")</f>
        <v/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0</v>
      </c>
      <c r="Y348" s="14">
        <f t="shared" si="56"/>
        <v>-1</v>
      </c>
      <c r="Z348" s="20">
        <f>Tabela1[[#This Row],[PESO TOTAL]]-Tabela1[[#This Row],[Peso Expedido]]</f>
        <v>11.3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/>
      <c r="AI348" s="33" t="str">
        <f t="shared" ref="AI348:AI411" si="61">IF(Z348&lt;=0,"ok","")</f>
        <v/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T-072993-1/1073-TC-006</v>
      </c>
      <c r="AP348" t="str">
        <f>Tabela1[[#This Row],[TAG]]&amp;Tabela1[[#This Row],[PEDIDO]]&amp;Tabela1[[#This Row],[PRODUTO]]</f>
        <v>1073-TC-006P-188RMF</v>
      </c>
      <c r="AQ348" s="22" t="str">
        <f>Tabela1[[#This Row],[PRODUTO]]&amp;Tabela1[[#This Row],[TAG]]</f>
        <v>RMF1073-TC-006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11.3</v>
      </c>
      <c r="AU348" s="37">
        <f t="shared" si="54"/>
        <v>0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3993</v>
      </c>
      <c r="B349" s="21" t="s">
        <v>3997</v>
      </c>
      <c r="C349" s="7">
        <v>1</v>
      </c>
      <c r="D349" s="39" t="s">
        <v>3995</v>
      </c>
      <c r="E349" s="7">
        <v>4234</v>
      </c>
      <c r="F349" s="7" t="s">
        <v>3996</v>
      </c>
      <c r="G349" s="23">
        <v>11.3</v>
      </c>
      <c r="H349" s="34">
        <f>Tabela1[[#This Row],[PESO UNI]]*Tabela1[[#This Row],[QTE]]</f>
        <v>11.3</v>
      </c>
      <c r="I349" s="7">
        <v>2</v>
      </c>
      <c r="J349" s="8" t="s">
        <v>2276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11.3</v>
      </c>
      <c r="S349" s="18">
        <f t="shared" si="57"/>
        <v>11.3</v>
      </c>
      <c r="T349" s="19">
        <f t="shared" si="60"/>
        <v>0</v>
      </c>
      <c r="U349" s="16">
        <f>IFERROR(SUMIF('LISTA DE EMBARQUE'!B:B,MICRO!E:E,'LISTA DE EMBARQUE'!G:G),"")</f>
        <v>0</v>
      </c>
      <c r="V349" s="12" t="str">
        <f>IFERROR(VLOOKUP(Tabela1[[#This Row],[COD.MDE]],'LISTA DE EMBARQUE'!B:L,11,0),"")</f>
        <v/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0</v>
      </c>
      <c r="Y349" s="14">
        <f t="shared" si="56"/>
        <v>-1</v>
      </c>
      <c r="Z349" s="20">
        <f>Tabela1[[#This Row],[PESO TOTAL]]-Tabela1[[#This Row],[Peso Expedido]]</f>
        <v>11.3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/>
      <c r="AI349" s="33" t="str">
        <f t="shared" si="61"/>
        <v/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T-072993-1/1073-TC-007</v>
      </c>
      <c r="AP349" t="str">
        <f>Tabela1[[#This Row],[TAG]]&amp;Tabela1[[#This Row],[PEDIDO]]&amp;Tabela1[[#This Row],[PRODUTO]]</f>
        <v>1073-TC-007P-188RMF</v>
      </c>
      <c r="AQ349" s="22" t="str">
        <f>Tabela1[[#This Row],[PRODUTO]]&amp;Tabela1[[#This Row],[TAG]]</f>
        <v>RMF1073-TC-007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11.3</v>
      </c>
      <c r="AU349" s="37">
        <f t="shared" si="54"/>
        <v>0</v>
      </c>
      <c r="AV349" s="37">
        <f t="shared" si="55"/>
        <v>11.3</v>
      </c>
      <c r="AW349" s="37"/>
    </row>
    <row r="350" spans="1:49" ht="15.75" hidden="1" customHeight="1" x14ac:dyDescent="0.25">
      <c r="A350" s="6" t="s">
        <v>3993</v>
      </c>
      <c r="B350" s="21" t="s">
        <v>3998</v>
      </c>
      <c r="C350" s="7">
        <v>1</v>
      </c>
      <c r="D350" s="39" t="s">
        <v>3995</v>
      </c>
      <c r="E350" s="7">
        <v>4235</v>
      </c>
      <c r="F350" s="7" t="s">
        <v>3996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2274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f>IFERROR(SUMIF('LISTA DE EMBARQUE'!B:B,MICRO!E:E,'LISTA DE EMBARQUE'!G:G),"")</f>
        <v>0</v>
      </c>
      <c r="V350" s="12" t="str">
        <f>IFERROR(VLOOKUP(Tabela1[[#This Row],[COD.MDE]],'LISTA DE EMBARQUE'!B:L,11,0),"")</f>
        <v/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0</v>
      </c>
      <c r="Y350" s="14">
        <f t="shared" si="56"/>
        <v>-1</v>
      </c>
      <c r="Z350" s="20">
        <f>Tabela1[[#This Row],[PESO TOTAL]]-Tabela1[[#This Row],[Peso Expedido]]</f>
        <v>19.8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/>
      <c r="AI350" s="33" t="str">
        <f t="shared" si="61"/>
        <v/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T-072993-1/1073-TC-006</v>
      </c>
      <c r="AP350" t="str">
        <f>Tabela1[[#This Row],[TAG]]&amp;Tabela1[[#This Row],[PEDIDO]]&amp;Tabela1[[#This Row],[PRODUTO]]</f>
        <v>1073-TC-006P-188RMF</v>
      </c>
      <c r="AQ350" s="22" t="str">
        <f>Tabela1[[#This Row],[PRODUTO]]&amp;Tabela1[[#This Row],[TAG]]</f>
        <v>RMF1073-TC-006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19.8</v>
      </c>
      <c r="AU350" s="37">
        <f t="shared" si="54"/>
        <v>0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3993</v>
      </c>
      <c r="B351" s="21" t="s">
        <v>3998</v>
      </c>
      <c r="C351" s="7">
        <v>1</v>
      </c>
      <c r="D351" s="39" t="s">
        <v>3995</v>
      </c>
      <c r="E351" s="7">
        <v>4236</v>
      </c>
      <c r="F351" s="7" t="s">
        <v>3996</v>
      </c>
      <c r="G351" s="23">
        <v>19.8</v>
      </c>
      <c r="H351" s="34">
        <f>Tabela1[[#This Row],[PESO UNI]]*Tabela1[[#This Row],[QTE]]</f>
        <v>19.8</v>
      </c>
      <c r="I351" s="7">
        <v>2</v>
      </c>
      <c r="J351" s="8" t="s">
        <v>2276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19.8</v>
      </c>
      <c r="S351" s="18">
        <f t="shared" si="57"/>
        <v>19.8</v>
      </c>
      <c r="T351" s="19">
        <f t="shared" si="60"/>
        <v>0</v>
      </c>
      <c r="U351" s="16">
        <f>IFERROR(SUMIF('LISTA DE EMBARQUE'!B:B,MICRO!E:E,'LISTA DE EMBARQUE'!G:G),"")</f>
        <v>0</v>
      </c>
      <c r="V351" s="12" t="str">
        <f>IFERROR(VLOOKUP(Tabela1[[#This Row],[COD.MDE]],'LISTA DE EMBARQUE'!B:L,11,0),"")</f>
        <v/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0</v>
      </c>
      <c r="Y351" s="14">
        <f t="shared" si="56"/>
        <v>-1</v>
      </c>
      <c r="Z351" s="20">
        <f>Tabela1[[#This Row],[PESO TOTAL]]-Tabela1[[#This Row],[Peso Expedido]]</f>
        <v>19.8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/>
      <c r="AI351" s="33" t="str">
        <f t="shared" si="61"/>
        <v/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T-072993-1/1073-TC-007</v>
      </c>
      <c r="AP351" t="str">
        <f>Tabela1[[#This Row],[TAG]]&amp;Tabela1[[#This Row],[PEDIDO]]&amp;Tabela1[[#This Row],[PRODUTO]]</f>
        <v>1073-TC-007P-188RMF</v>
      </c>
      <c r="AQ351" s="22" t="str">
        <f>Tabela1[[#This Row],[PRODUTO]]&amp;Tabela1[[#This Row],[TAG]]</f>
        <v>RMF1073-TC-007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19.8</v>
      </c>
      <c r="AU351" s="37">
        <f t="shared" si="54"/>
        <v>0</v>
      </c>
      <c r="AV351" s="37">
        <f t="shared" si="55"/>
        <v>19.8</v>
      </c>
      <c r="AW351" s="37"/>
    </row>
    <row r="352" spans="1:49" ht="15.75" hidden="1" customHeight="1" x14ac:dyDescent="0.25">
      <c r="A352" s="6" t="s">
        <v>3993</v>
      </c>
      <c r="B352" s="21" t="s">
        <v>3999</v>
      </c>
      <c r="C352" s="7">
        <v>1</v>
      </c>
      <c r="D352" s="39" t="s">
        <v>3995</v>
      </c>
      <c r="E352" s="7">
        <v>4237</v>
      </c>
      <c r="F352" s="7" t="s">
        <v>3996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2274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f>IFERROR(SUMIF('LISTA DE EMBARQUE'!B:B,MICRO!E:E,'LISTA DE EMBARQUE'!G:G),"")</f>
        <v>0</v>
      </c>
      <c r="V352" s="12" t="str">
        <f>IFERROR(VLOOKUP(Tabela1[[#This Row],[COD.MDE]],'LISTA DE EMBARQUE'!B:L,11,0),"")</f>
        <v/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0</v>
      </c>
      <c r="Y352" s="14">
        <f t="shared" si="56"/>
        <v>-1</v>
      </c>
      <c r="Z352" s="20">
        <f>Tabela1[[#This Row],[PESO TOTAL]]-Tabela1[[#This Row],[Peso Expedido]]</f>
        <v>24.9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/>
      <c r="AI352" s="33" t="str">
        <f t="shared" si="61"/>
        <v/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T-072993-1/1073-TC-006</v>
      </c>
      <c r="AP352" t="str">
        <f>Tabela1[[#This Row],[TAG]]&amp;Tabela1[[#This Row],[PEDIDO]]&amp;Tabela1[[#This Row],[PRODUTO]]</f>
        <v>1073-TC-006P-188RMF</v>
      </c>
      <c r="AQ352" s="22" t="str">
        <f>Tabela1[[#This Row],[PRODUTO]]&amp;Tabela1[[#This Row],[TAG]]</f>
        <v>RMF1073-TC-006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24.9</v>
      </c>
      <c r="AU352" s="37">
        <f t="shared" si="54"/>
        <v>0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3993</v>
      </c>
      <c r="B353" s="21" t="s">
        <v>3999</v>
      </c>
      <c r="C353" s="7">
        <v>1</v>
      </c>
      <c r="D353" s="39" t="s">
        <v>3995</v>
      </c>
      <c r="E353" s="7">
        <v>4238</v>
      </c>
      <c r="F353" s="7" t="s">
        <v>3996</v>
      </c>
      <c r="G353" s="23">
        <v>24.9</v>
      </c>
      <c r="H353" s="34">
        <f>Tabela1[[#This Row],[PESO UNI]]*Tabela1[[#This Row],[QTE]]</f>
        <v>24.9</v>
      </c>
      <c r="I353" s="7">
        <v>2</v>
      </c>
      <c r="J353" s="8" t="s">
        <v>2276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-1</v>
      </c>
      <c r="R353" s="18">
        <f t="shared" si="59"/>
        <v>24.9</v>
      </c>
      <c r="S353" s="18">
        <f t="shared" si="57"/>
        <v>24.9</v>
      </c>
      <c r="T353" s="19">
        <f t="shared" si="60"/>
        <v>0</v>
      </c>
      <c r="U353" s="16">
        <f>IFERROR(SUMIF('LISTA DE EMBARQUE'!B:B,MICRO!E:E,'LISTA DE EMBARQUE'!G:G),"")</f>
        <v>0</v>
      </c>
      <c r="V353" s="12" t="str">
        <f>IFERROR(VLOOKUP(Tabela1[[#This Row],[COD.MDE]],'LISTA DE EMBARQUE'!B:L,11,0),"")</f>
        <v/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0</v>
      </c>
      <c r="Y353" s="14">
        <f t="shared" si="56"/>
        <v>-1</v>
      </c>
      <c r="Z353" s="20">
        <f>Tabela1[[#This Row],[PESO TOTAL]]-Tabela1[[#This Row],[Peso Expedido]]</f>
        <v>24.9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/>
      <c r="AI353" s="33" t="str">
        <f t="shared" si="61"/>
        <v/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T-072993-1/1073-TC-007</v>
      </c>
      <c r="AP353" t="str">
        <f>Tabela1[[#This Row],[TAG]]&amp;Tabela1[[#This Row],[PEDIDO]]&amp;Tabela1[[#This Row],[PRODUTO]]</f>
        <v>1073-TC-007P-188RMF</v>
      </c>
      <c r="AQ353" s="22" t="str">
        <f>Tabela1[[#This Row],[PRODUTO]]&amp;Tabela1[[#This Row],[TAG]]</f>
        <v>RMF1073-TC-007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24.9</v>
      </c>
      <c r="AU353" s="37">
        <f t="shared" si="54"/>
        <v>0</v>
      </c>
      <c r="AV353" s="37">
        <f t="shared" si="55"/>
        <v>24.9</v>
      </c>
      <c r="AW353" s="37"/>
    </row>
    <row r="354" spans="1:49" ht="15.75" hidden="1" customHeight="1" x14ac:dyDescent="0.25">
      <c r="A354" s="6" t="s">
        <v>3993</v>
      </c>
      <c r="B354" s="21" t="s">
        <v>4000</v>
      </c>
      <c r="C354" s="7">
        <v>2</v>
      </c>
      <c r="D354" s="39" t="s">
        <v>3995</v>
      </c>
      <c r="E354" s="7">
        <v>4239</v>
      </c>
      <c r="F354" s="7" t="s">
        <v>3996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2274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f>IFERROR(SUMIF('LISTA DE EMBARQUE'!B:B,MICRO!E:E,'LISTA DE EMBARQUE'!G:G),"")</f>
        <v>0</v>
      </c>
      <c r="V354" s="12" t="str">
        <f>IFERROR(VLOOKUP(Tabela1[[#This Row],[COD.MDE]],'LISTA DE EMBARQUE'!B:L,11,0),"")</f>
        <v/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0</v>
      </c>
      <c r="Y354" s="14">
        <f t="shared" si="56"/>
        <v>-2</v>
      </c>
      <c r="Z354" s="20">
        <f>Tabela1[[#This Row],[PESO TOTAL]]-Tabela1[[#This Row],[Peso Expedido]]</f>
        <v>74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/>
      <c r="AI354" s="33" t="str">
        <f t="shared" si="61"/>
        <v/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T-072993-1/1073-TC-006</v>
      </c>
      <c r="AP354" t="str">
        <f>Tabela1[[#This Row],[TAG]]&amp;Tabela1[[#This Row],[PEDIDO]]&amp;Tabela1[[#This Row],[PRODUTO]]</f>
        <v>1073-TC-006P-188RMF</v>
      </c>
      <c r="AQ354" s="22" t="str">
        <f>Tabela1[[#This Row],[PRODUTO]]&amp;Tabela1[[#This Row],[TAG]]</f>
        <v>RMF1073-TC-006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74</v>
      </c>
      <c r="AU354" s="37">
        <f t="shared" si="54"/>
        <v>0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3993</v>
      </c>
      <c r="B355" s="21" t="s">
        <v>4000</v>
      </c>
      <c r="C355" s="7">
        <v>2</v>
      </c>
      <c r="D355" s="39" t="s">
        <v>3995</v>
      </c>
      <c r="E355" s="7">
        <v>4240</v>
      </c>
      <c r="F355" s="7" t="s">
        <v>3996</v>
      </c>
      <c r="G355" s="23">
        <v>37</v>
      </c>
      <c r="H355" s="34">
        <f>Tabela1[[#This Row],[PESO UNI]]*Tabela1[[#This Row],[QTE]]</f>
        <v>74</v>
      </c>
      <c r="I355" s="7">
        <v>2</v>
      </c>
      <c r="J355" s="8" t="s">
        <v>2276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74</v>
      </c>
      <c r="S355" s="18">
        <f t="shared" si="57"/>
        <v>74</v>
      </c>
      <c r="T355" s="19">
        <f t="shared" si="60"/>
        <v>0</v>
      </c>
      <c r="U355" s="16">
        <f>IFERROR(SUMIF('LISTA DE EMBARQUE'!B:B,MICRO!E:E,'LISTA DE EMBARQUE'!G:G),"")</f>
        <v>0</v>
      </c>
      <c r="V355" s="12" t="str">
        <f>IFERROR(VLOOKUP(Tabela1[[#This Row],[COD.MDE]],'LISTA DE EMBARQUE'!B:L,11,0),"")</f>
        <v/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0</v>
      </c>
      <c r="Y355" s="14">
        <f t="shared" si="56"/>
        <v>-2</v>
      </c>
      <c r="Z355" s="20">
        <f>Tabela1[[#This Row],[PESO TOTAL]]-Tabela1[[#This Row],[Peso Expedido]]</f>
        <v>74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/>
      <c r="AI355" s="33" t="str">
        <f t="shared" si="61"/>
        <v/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T-072993-1/1073-TC-007</v>
      </c>
      <c r="AP355" t="str">
        <f>Tabela1[[#This Row],[TAG]]&amp;Tabela1[[#This Row],[PEDIDO]]&amp;Tabela1[[#This Row],[PRODUTO]]</f>
        <v>1073-TC-007P-188RMF</v>
      </c>
      <c r="AQ355" s="22" t="str">
        <f>Tabela1[[#This Row],[PRODUTO]]&amp;Tabela1[[#This Row],[TAG]]</f>
        <v>RMF1073-TC-007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74</v>
      </c>
      <c r="AU355" s="37">
        <f t="shared" si="54"/>
        <v>0</v>
      </c>
      <c r="AV355" s="37">
        <f t="shared" si="55"/>
        <v>74</v>
      </c>
      <c r="AW355" s="37"/>
    </row>
    <row r="356" spans="1:49" ht="15.75" hidden="1" customHeight="1" x14ac:dyDescent="0.25">
      <c r="A356" s="6" t="s">
        <v>3993</v>
      </c>
      <c r="B356" s="21" t="s">
        <v>4001</v>
      </c>
      <c r="C356" s="7">
        <v>2</v>
      </c>
      <c r="D356" s="39" t="s">
        <v>3995</v>
      </c>
      <c r="E356" s="7">
        <v>4241</v>
      </c>
      <c r="F356" s="7" t="s">
        <v>3996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2274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ref="T356:T419" si="62">IFERROR(S356-H356,"")</f>
        <v>0</v>
      </c>
      <c r="U356" s="16">
        <f>IFERROR(SUMIF('LISTA DE EMBARQUE'!B:B,MICRO!E:E,'LISTA DE EMBARQUE'!G:G),"")</f>
        <v>0</v>
      </c>
      <c r="V356" s="12" t="str">
        <f>IFERROR(VLOOKUP(Tabela1[[#This Row],[COD.MDE]],'LISTA DE EMBARQUE'!B:L,11,0),"")</f>
        <v/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0</v>
      </c>
      <c r="Y356" s="14">
        <f t="shared" ref="Y356:Y419" si="63">U356-C356</f>
        <v>-2</v>
      </c>
      <c r="Z356" s="20">
        <f>Tabela1[[#This Row],[PESO TOTAL]]-Tabela1[[#This Row],[Peso Expedido]]</f>
        <v>65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/>
      <c r="AI356" s="33" t="str">
        <f t="shared" si="61"/>
        <v/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T-072993-1/1073-TC-006</v>
      </c>
      <c r="AP356" t="str">
        <f>Tabela1[[#This Row],[TAG]]&amp;Tabela1[[#This Row],[PEDIDO]]&amp;Tabela1[[#This Row],[PRODUTO]]</f>
        <v>1073-TC-006P-188RMF</v>
      </c>
      <c r="AQ356" s="22" t="str">
        <f>Tabela1[[#This Row],[PRODUTO]]&amp;Tabela1[[#This Row],[TAG]]</f>
        <v>RMF1073-TC-006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65</v>
      </c>
      <c r="AU356" s="37">
        <f t="shared" si="54"/>
        <v>0</v>
      </c>
      <c r="AV356" s="37">
        <f t="shared" si="55"/>
        <v>65</v>
      </c>
      <c r="AW356" s="37"/>
    </row>
    <row r="357" spans="1:49" ht="15.75" hidden="1" customHeight="1" x14ac:dyDescent="0.25">
      <c r="A357" s="6" t="s">
        <v>3993</v>
      </c>
      <c r="B357" s="21" t="s">
        <v>4001</v>
      </c>
      <c r="C357" s="7">
        <v>2</v>
      </c>
      <c r="D357" s="39" t="s">
        <v>3995</v>
      </c>
      <c r="E357" s="7">
        <v>4242</v>
      </c>
      <c r="F357" s="7" t="s">
        <v>3996</v>
      </c>
      <c r="G357" s="23">
        <v>32.5</v>
      </c>
      <c r="H357" s="34">
        <f>Tabela1[[#This Row],[PESO UNI]]*Tabela1[[#This Row],[QTE]]</f>
        <v>65</v>
      </c>
      <c r="I357" s="7">
        <v>2</v>
      </c>
      <c r="J357" s="8" t="s">
        <v>2276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-2</v>
      </c>
      <c r="R357" s="18">
        <f t="shared" si="59"/>
        <v>65</v>
      </c>
      <c r="S357" s="18">
        <f t="shared" si="57"/>
        <v>65</v>
      </c>
      <c r="T357" s="19">
        <f t="shared" si="62"/>
        <v>0</v>
      </c>
      <c r="U357" s="16">
        <f>IFERROR(SUMIF('LISTA DE EMBARQUE'!B:B,MICRO!E:E,'LISTA DE EMBARQUE'!G:G),"")</f>
        <v>0</v>
      </c>
      <c r="V357" s="12" t="str">
        <f>IFERROR(VLOOKUP(Tabela1[[#This Row],[COD.MDE]],'LISTA DE EMBARQUE'!B:L,11,0),"")</f>
        <v/>
      </c>
      <c r="W357" s="13" t="str">
        <f>IFERROR(VLOOKUP(Tabela1[[#This Row],[COD.MDE]],'LISTA DE EMBARQUE'!B:M,12,0),"")</f>
        <v/>
      </c>
      <c r="X357" s="14">
        <f>IFERROR(Tabela1[[#This Row],[QIANTIDADE EXPEDIDA]]*Tabela1[[#This Row],[PESO UNI]],"")</f>
        <v>0</v>
      </c>
      <c r="Y357" s="14">
        <f t="shared" si="63"/>
        <v>-2</v>
      </c>
      <c r="Z357" s="20">
        <f>Tabela1[[#This Row],[PESO TOTAL]]-Tabela1[[#This Row],[Peso Expedido]]</f>
        <v>65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/>
      <c r="AI357" s="33" t="str">
        <f t="shared" si="61"/>
        <v/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T-072993-1/1073-TC-007</v>
      </c>
      <c r="AP357" t="str">
        <f>Tabela1[[#This Row],[TAG]]&amp;Tabela1[[#This Row],[PEDIDO]]&amp;Tabela1[[#This Row],[PRODUTO]]</f>
        <v>1073-TC-007P-188RMF</v>
      </c>
      <c r="AQ357" s="22" t="str">
        <f>Tabela1[[#This Row],[PRODUTO]]&amp;Tabela1[[#This Row],[TAG]]</f>
        <v>RMF1073-TC-007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65</v>
      </c>
      <c r="AU357" s="37">
        <f t="shared" ref="AU357:AU420" si="64">IF(AH357="",0,IF(ISTEXT(AH357),H357*VALUE(SUBSTITUTE(AH357,"%",""))/100,H357*AH357))</f>
        <v>0</v>
      </c>
      <c r="AV357" s="37">
        <f t="shared" ref="AV357:AV420" si="65">IF(AG357="",0,IF(ISTEXT(AG357),H357*VALUE(SUBSTITUTE(AG357,"%",""))/100,H357*AG357))</f>
        <v>65</v>
      </c>
      <c r="AW357" s="37"/>
    </row>
    <row r="358" spans="1:49" ht="15.75" hidden="1" customHeight="1" x14ac:dyDescent="0.25">
      <c r="A358" s="6" t="s">
        <v>3773</v>
      </c>
      <c r="B358" s="21" t="s">
        <v>4002</v>
      </c>
      <c r="C358" s="7">
        <v>1</v>
      </c>
      <c r="D358" s="39" t="s">
        <v>4003</v>
      </c>
      <c r="E358" s="7">
        <v>4243</v>
      </c>
      <c r="F358" s="7" t="s">
        <v>3775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2274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 t="str">
        <f>IFERROR(VLOOKUP(Tabela1[[#This Row],[COD.MDE]],'LISTA DE EMBARQUE'!B:L,11,0),"")</f>
        <v/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T-072953-1/1073-TC-006</v>
      </c>
      <c r="AP358" t="str">
        <f>Tabela1[[#This Row],[TAG]]&amp;Tabela1[[#This Row],[PEDIDO]]&amp;Tabela1[[#This Row],[PRODUTO]]</f>
        <v>1073-TC-006P-188RMF</v>
      </c>
      <c r="AQ358" s="22" t="str">
        <f>Tabela1[[#This Row],[PRODUTO]]&amp;Tabela1[[#This Row],[TAG]]</f>
        <v>RMF1073-TC-006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3773</v>
      </c>
      <c r="B359" s="21" t="s">
        <v>4002</v>
      </c>
      <c r="C359" s="7">
        <v>1</v>
      </c>
      <c r="D359" s="39" t="s">
        <v>4003</v>
      </c>
      <c r="E359" s="7">
        <v>4244</v>
      </c>
      <c r="F359" s="7" t="s">
        <v>3775</v>
      </c>
      <c r="G359" s="23">
        <v>151.80000000000001</v>
      </c>
      <c r="H359" s="34">
        <f>Tabela1[[#This Row],[PESO UNI]]*Tabela1[[#This Row],[QTE]]</f>
        <v>151.80000000000001</v>
      </c>
      <c r="I359" s="7">
        <v>5</v>
      </c>
      <c r="J359" s="8" t="s">
        <v>2276</v>
      </c>
      <c r="K359" s="8" t="s">
        <v>327</v>
      </c>
      <c r="L359" s="9" t="s">
        <v>2069</v>
      </c>
      <c r="M359" s="10">
        <v>46156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151.80000000000001</v>
      </c>
      <c r="S359" s="18">
        <f t="shared" si="57"/>
        <v>151.80000000000001</v>
      </c>
      <c r="T359" s="19">
        <f t="shared" si="62"/>
        <v>0</v>
      </c>
      <c r="U359" s="206">
        <v>1</v>
      </c>
      <c r="V359" s="12" t="str">
        <f>IFERROR(VLOOKUP(Tabela1[[#This Row],[COD.MDE]],'LISTA DE EMBARQUE'!B:L,11,0),"")</f>
        <v/>
      </c>
      <c r="W359" s="13"/>
      <c r="X359" s="14">
        <f>IFERROR(Tabela1[[#This Row],[QIANTIDADE EXPEDIDA]]*Tabela1[[#This Row],[PESO UNI]],"")</f>
        <v>151.80000000000001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T-072953-1/1073-TC-007</v>
      </c>
      <c r="AP359" t="str">
        <f>Tabela1[[#This Row],[TAG]]&amp;Tabela1[[#This Row],[PEDIDO]]&amp;Tabela1[[#This Row],[PRODUTO]]</f>
        <v>1073-TC-007P-188RMF</v>
      </c>
      <c r="AQ359" s="22" t="str">
        <f>Tabela1[[#This Row],[PRODUTO]]&amp;Tabela1[[#This Row],[TAG]]</f>
        <v>RMF1073-TC-007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151.80000000000001</v>
      </c>
      <c r="AV359" s="37">
        <f t="shared" si="65"/>
        <v>151.80000000000001</v>
      </c>
      <c r="AW359" s="37"/>
    </row>
    <row r="360" spans="1:49" ht="15.75" hidden="1" customHeight="1" x14ac:dyDescent="0.25">
      <c r="A360" s="6" t="s">
        <v>4004</v>
      </c>
      <c r="B360" s="21" t="s">
        <v>4005</v>
      </c>
      <c r="C360" s="7">
        <v>1</v>
      </c>
      <c r="D360" s="39" t="s">
        <v>4006</v>
      </c>
      <c r="E360" s="7">
        <v>4245</v>
      </c>
      <c r="F360" s="7" t="s">
        <v>4007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2274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f>IFERROR(SUMIF('LISTA DE EMBARQUE'!B:B,MICRO!E:E,'LISTA DE EMBARQUE'!G:G),"")</f>
        <v>0</v>
      </c>
      <c r="V360" s="12" t="str">
        <f>IFERROR(VLOOKUP(Tabela1[[#This Row],[COD.MDE]],'LISTA DE EMBARQUE'!B:L,11,0),"")</f>
        <v/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0</v>
      </c>
      <c r="Y360" s="14">
        <f t="shared" si="63"/>
        <v>-1</v>
      </c>
      <c r="Z360" s="20">
        <f>Tabela1[[#This Row],[PESO TOTAL]]-Tabela1[[#This Row],[Peso Expedido]]</f>
        <v>17.899999999999999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/>
      <c r="AI360" s="33" t="str">
        <f t="shared" si="61"/>
        <v/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MDE-M-0028-RA/1073-TC-006</v>
      </c>
      <c r="AP360" t="str">
        <f>Tabela1[[#This Row],[TAG]]&amp;Tabela1[[#This Row],[PEDIDO]]&amp;Tabela1[[#This Row],[PRODUTO]]</f>
        <v>1073-TC-006P-188RMF</v>
      </c>
      <c r="AQ360" s="22" t="str">
        <f>Tabela1[[#This Row],[PRODUTO]]&amp;Tabela1[[#This Row],[TAG]]</f>
        <v>RMF1073-TC-006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17.899999999999999</v>
      </c>
      <c r="AU360" s="37">
        <f t="shared" si="64"/>
        <v>0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4004</v>
      </c>
      <c r="B361" s="21" t="s">
        <v>4005</v>
      </c>
      <c r="C361" s="7">
        <v>1</v>
      </c>
      <c r="D361" s="39" t="s">
        <v>4006</v>
      </c>
      <c r="E361" s="7">
        <v>4246</v>
      </c>
      <c r="F361" s="7" t="s">
        <v>4007</v>
      </c>
      <c r="G361" s="23">
        <v>17.899999999999999</v>
      </c>
      <c r="H361" s="34">
        <f>Tabela1[[#This Row],[PESO UNI]]*Tabela1[[#This Row],[QTE]]</f>
        <v>17.899999999999999</v>
      </c>
      <c r="I361" s="7" t="s">
        <v>2</v>
      </c>
      <c r="J361" s="8" t="s">
        <v>2276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-1</v>
      </c>
      <c r="R361" s="18">
        <f t="shared" si="59"/>
        <v>17.899999999999999</v>
      </c>
      <c r="S361" s="18">
        <f t="shared" si="57"/>
        <v>17.899999999999999</v>
      </c>
      <c r="T361" s="19">
        <f t="shared" si="62"/>
        <v>0</v>
      </c>
      <c r="U361" s="16">
        <f>IFERROR(SUMIF('LISTA DE EMBARQUE'!B:B,MICRO!E:E,'LISTA DE EMBARQUE'!G:G),"")</f>
        <v>0</v>
      </c>
      <c r="V361" s="12" t="str">
        <f>IFERROR(VLOOKUP(Tabela1[[#This Row],[COD.MDE]],'LISTA DE EMBARQUE'!B:L,11,0),"")</f>
        <v/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0</v>
      </c>
      <c r="Y361" s="14">
        <f t="shared" si="63"/>
        <v>-1</v>
      </c>
      <c r="Z361" s="20">
        <f>Tabela1[[#This Row],[PESO TOTAL]]-Tabela1[[#This Row],[Peso Expedido]]</f>
        <v>17.899999999999999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/>
      <c r="AI361" s="33" t="str">
        <f t="shared" si="61"/>
        <v/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MDE-M-0028-RA/1073-TC-007</v>
      </c>
      <c r="AP361" t="str">
        <f>Tabela1[[#This Row],[TAG]]&amp;Tabela1[[#This Row],[PEDIDO]]&amp;Tabela1[[#This Row],[PRODUTO]]</f>
        <v>1073-TC-007P-188RMF</v>
      </c>
      <c r="AQ361" s="22" t="str">
        <f>Tabela1[[#This Row],[PRODUTO]]&amp;Tabela1[[#This Row],[TAG]]</f>
        <v>RMF1073-TC-007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17.899999999999999</v>
      </c>
      <c r="AU361" s="37">
        <f t="shared" si="64"/>
        <v>0</v>
      </c>
      <c r="AV361" s="37">
        <f t="shared" si="65"/>
        <v>17.899999999999999</v>
      </c>
      <c r="AW361" s="37"/>
    </row>
    <row r="362" spans="1:49" ht="15.75" hidden="1" customHeight="1" x14ac:dyDescent="0.25">
      <c r="A362" s="6" t="s">
        <v>4004</v>
      </c>
      <c r="B362" s="21" t="s">
        <v>4008</v>
      </c>
      <c r="C362" s="7">
        <v>2</v>
      </c>
      <c r="D362" s="39" t="s">
        <v>4009</v>
      </c>
      <c r="E362" s="7">
        <v>4247</v>
      </c>
      <c r="F362" s="7" t="s">
        <v>4007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2274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f>IFERROR(SUMIF('LISTA DE EMBARQUE'!B:B,MICRO!E:E,'LISTA DE EMBARQUE'!G:G),"")</f>
        <v>0</v>
      </c>
      <c r="V362" s="12" t="str">
        <f>IFERROR(VLOOKUP(Tabela1[[#This Row],[COD.MDE]],'LISTA DE EMBARQUE'!B:L,11,0),"")</f>
        <v/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0</v>
      </c>
      <c r="Y362" s="14">
        <f t="shared" si="63"/>
        <v>-2</v>
      </c>
      <c r="Z362" s="20">
        <f>Tabela1[[#This Row],[PESO TOTAL]]-Tabela1[[#This Row],[Peso Expedido]]</f>
        <v>7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/>
      <c r="AI362" s="33" t="str">
        <f t="shared" si="61"/>
        <v/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MDE-M-0028-RA/1073-TC-006</v>
      </c>
      <c r="AP362" t="str">
        <f>Tabela1[[#This Row],[TAG]]&amp;Tabela1[[#This Row],[PEDIDO]]&amp;Tabela1[[#This Row],[PRODUTO]]</f>
        <v>1073-TC-006P-188RMF</v>
      </c>
      <c r="AQ362" s="22" t="str">
        <f>Tabela1[[#This Row],[PRODUTO]]&amp;Tabela1[[#This Row],[TAG]]</f>
        <v>RMF1073-TC-006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7</v>
      </c>
      <c r="AU362" s="37">
        <f t="shared" si="64"/>
        <v>0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4004</v>
      </c>
      <c r="B363" s="21" t="s">
        <v>4008</v>
      </c>
      <c r="C363" s="7">
        <v>2</v>
      </c>
      <c r="D363" s="39" t="s">
        <v>4009</v>
      </c>
      <c r="E363" s="7">
        <v>4248</v>
      </c>
      <c r="F363" s="7" t="s">
        <v>4007</v>
      </c>
      <c r="G363" s="23">
        <v>3.5</v>
      </c>
      <c r="H363" s="34">
        <f>Tabela1[[#This Row],[PESO UNI]]*Tabela1[[#This Row],[QTE]]</f>
        <v>7</v>
      </c>
      <c r="I363" s="7" t="s">
        <v>2</v>
      </c>
      <c r="J363" s="8" t="s">
        <v>2276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-2</v>
      </c>
      <c r="R363" s="18">
        <f t="shared" si="59"/>
        <v>7</v>
      </c>
      <c r="S363" s="18">
        <f t="shared" si="57"/>
        <v>7</v>
      </c>
      <c r="T363" s="19">
        <f t="shared" si="62"/>
        <v>0</v>
      </c>
      <c r="U363" s="16">
        <f>IFERROR(SUMIF('LISTA DE EMBARQUE'!B:B,MICRO!E:E,'LISTA DE EMBARQUE'!G:G),"")</f>
        <v>0</v>
      </c>
      <c r="V363" s="12" t="str">
        <f>IFERROR(VLOOKUP(Tabela1[[#This Row],[COD.MDE]],'LISTA DE EMBARQUE'!B:L,11,0),"")</f>
        <v/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0</v>
      </c>
      <c r="Y363" s="14">
        <f t="shared" si="63"/>
        <v>-2</v>
      </c>
      <c r="Z363" s="20">
        <f>Tabela1[[#This Row],[PESO TOTAL]]-Tabela1[[#This Row],[Peso Expedido]]</f>
        <v>7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/>
      <c r="AI363" s="33" t="str">
        <f t="shared" si="61"/>
        <v/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MDE-M-0028-RA/1073-TC-007</v>
      </c>
      <c r="AP363" t="str">
        <f>Tabela1[[#This Row],[TAG]]&amp;Tabela1[[#This Row],[PEDIDO]]&amp;Tabela1[[#This Row],[PRODUTO]]</f>
        <v>1073-TC-007P-188RMF</v>
      </c>
      <c r="AQ363" s="22" t="str">
        <f>Tabela1[[#This Row],[PRODUTO]]&amp;Tabela1[[#This Row],[TAG]]</f>
        <v>RMF1073-TC-007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7</v>
      </c>
      <c r="AU363" s="37">
        <f t="shared" si="64"/>
        <v>0</v>
      </c>
      <c r="AV363" s="37">
        <f t="shared" si="65"/>
        <v>7</v>
      </c>
      <c r="AW363" s="37"/>
    </row>
    <row r="364" spans="1:49" ht="15.75" hidden="1" customHeight="1" x14ac:dyDescent="0.25">
      <c r="A364" s="6" t="s">
        <v>4004</v>
      </c>
      <c r="B364" s="21" t="s">
        <v>4010</v>
      </c>
      <c r="C364" s="7">
        <v>1</v>
      </c>
      <c r="D364" s="39" t="s">
        <v>2557</v>
      </c>
      <c r="E364" s="7">
        <v>4249</v>
      </c>
      <c r="F364" s="7" t="s">
        <v>4007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2274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f>IFERROR(SUMIF('LISTA DE EMBARQUE'!B:B,MICRO!E:E,'LISTA DE EMBARQUE'!G:G),"")</f>
        <v>0</v>
      </c>
      <c r="V364" s="12" t="str">
        <f>IFERROR(VLOOKUP(Tabela1[[#This Row],[COD.MDE]],'LISTA DE EMBARQUE'!B:L,11,0),"")</f>
        <v/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0</v>
      </c>
      <c r="Y364" s="14">
        <f t="shared" si="63"/>
        <v>-1</v>
      </c>
      <c r="Z364" s="20">
        <f>Tabela1[[#This Row],[PESO TOTAL]]-Tabela1[[#This Row],[Peso Expedido]]</f>
        <v>8.4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/>
      <c r="AI364" s="33" t="str">
        <f t="shared" si="61"/>
        <v/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MDE-M-0028-RA/1073-TC-006</v>
      </c>
      <c r="AP364" t="str">
        <f>Tabela1[[#This Row],[TAG]]&amp;Tabela1[[#This Row],[PEDIDO]]&amp;Tabela1[[#This Row],[PRODUTO]]</f>
        <v>1073-TC-006P-188RMF</v>
      </c>
      <c r="AQ364" s="22" t="str">
        <f>Tabela1[[#This Row],[PRODUTO]]&amp;Tabela1[[#This Row],[TAG]]</f>
        <v>RMF1073-TC-006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8.4</v>
      </c>
      <c r="AU364" s="37">
        <f t="shared" si="64"/>
        <v>0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4004</v>
      </c>
      <c r="B365" s="21" t="s">
        <v>4010</v>
      </c>
      <c r="C365" s="7">
        <v>1</v>
      </c>
      <c r="D365" s="39" t="s">
        <v>2557</v>
      </c>
      <c r="E365" s="7">
        <v>4250</v>
      </c>
      <c r="F365" s="7" t="s">
        <v>4007</v>
      </c>
      <c r="G365" s="23">
        <v>8.4</v>
      </c>
      <c r="H365" s="34">
        <f>Tabela1[[#This Row],[PESO UNI]]*Tabela1[[#This Row],[QTE]]</f>
        <v>8.4</v>
      </c>
      <c r="I365" s="7" t="s">
        <v>2</v>
      </c>
      <c r="J365" s="8" t="s">
        <v>2276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8.4</v>
      </c>
      <c r="S365" s="18">
        <f t="shared" si="57"/>
        <v>8.4</v>
      </c>
      <c r="T365" s="19">
        <f t="shared" si="62"/>
        <v>0</v>
      </c>
      <c r="U365" s="16">
        <f>IFERROR(SUMIF('LISTA DE EMBARQUE'!B:B,MICRO!E:E,'LISTA DE EMBARQUE'!G:G),"")</f>
        <v>0</v>
      </c>
      <c r="V365" s="12" t="str">
        <f>IFERROR(VLOOKUP(Tabela1[[#This Row],[COD.MDE]],'LISTA DE EMBARQUE'!B:L,11,0),"")</f>
        <v/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</v>
      </c>
      <c r="Y365" s="14">
        <f t="shared" si="63"/>
        <v>-1</v>
      </c>
      <c r="Z365" s="20">
        <f>Tabela1[[#This Row],[PESO TOTAL]]-Tabela1[[#This Row],[Peso Expedido]]</f>
        <v>8.4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/>
      <c r="AI365" s="33" t="str">
        <f t="shared" si="61"/>
        <v/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MDE-M-0028-RA/1073-TC-007</v>
      </c>
      <c r="AP365" t="str">
        <f>Tabela1[[#This Row],[TAG]]&amp;Tabela1[[#This Row],[PEDIDO]]&amp;Tabela1[[#This Row],[PRODUTO]]</f>
        <v>1073-TC-007P-188RMF</v>
      </c>
      <c r="AQ365" s="22" t="str">
        <f>Tabela1[[#This Row],[PRODUTO]]&amp;Tabela1[[#This Row],[TAG]]</f>
        <v>RMF1073-TC-007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8.4</v>
      </c>
      <c r="AU365" s="37">
        <f t="shared" si="64"/>
        <v>0</v>
      </c>
      <c r="AV365" s="37">
        <f t="shared" si="65"/>
        <v>8.4</v>
      </c>
      <c r="AW365" s="37"/>
    </row>
    <row r="366" spans="1:49" ht="15.75" hidden="1" customHeight="1" x14ac:dyDescent="0.25">
      <c r="A366" s="6" t="s">
        <v>4004</v>
      </c>
      <c r="B366" s="21" t="s">
        <v>4011</v>
      </c>
      <c r="C366" s="7">
        <v>1</v>
      </c>
      <c r="D366" s="39" t="s">
        <v>4012</v>
      </c>
      <c r="E366" s="7">
        <v>4251</v>
      </c>
      <c r="F366" s="7" t="s">
        <v>4007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2274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f>IFERROR(SUMIF('LISTA DE EMBARQUE'!B:B,MICRO!E:E,'LISTA DE EMBARQUE'!G:G),"")</f>
        <v>0</v>
      </c>
      <c r="V366" s="12" t="str">
        <f>IFERROR(VLOOKUP(Tabela1[[#This Row],[COD.MDE]],'LISTA DE EMBARQUE'!B:L,11,0),"")</f>
        <v/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</v>
      </c>
      <c r="Y366" s="14">
        <f t="shared" si="63"/>
        <v>-1</v>
      </c>
      <c r="Z366" s="20">
        <f>Tabela1[[#This Row],[PESO TOTAL]]-Tabela1[[#This Row],[Peso Expedido]]</f>
        <v>0.5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/>
      <c r="AI366" s="33" t="str">
        <f t="shared" si="61"/>
        <v/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MDE-M-0028-RA/1073-TC-006</v>
      </c>
      <c r="AP366" t="str">
        <f>Tabela1[[#This Row],[TAG]]&amp;Tabela1[[#This Row],[PEDIDO]]&amp;Tabela1[[#This Row],[PRODUTO]]</f>
        <v>1073-TC-006P-188RMF</v>
      </c>
      <c r="AQ366" s="22" t="str">
        <f>Tabela1[[#This Row],[PRODUTO]]&amp;Tabela1[[#This Row],[TAG]]</f>
        <v>RMF1073-TC-006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0.5</v>
      </c>
      <c r="AU366" s="37">
        <f t="shared" si="64"/>
        <v>0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4004</v>
      </c>
      <c r="B367" s="21" t="s">
        <v>4011</v>
      </c>
      <c r="C367" s="7">
        <v>1</v>
      </c>
      <c r="D367" s="39" t="s">
        <v>4012</v>
      </c>
      <c r="E367" s="7">
        <v>4252</v>
      </c>
      <c r="F367" s="7" t="s">
        <v>4007</v>
      </c>
      <c r="G367" s="23">
        <v>0.5</v>
      </c>
      <c r="H367" s="34">
        <f>Tabela1[[#This Row],[PESO UNI]]*Tabela1[[#This Row],[QTE]]</f>
        <v>0.5</v>
      </c>
      <c r="I367" s="7" t="s">
        <v>2</v>
      </c>
      <c r="J367" s="8" t="s">
        <v>2276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-1</v>
      </c>
      <c r="R367" s="18">
        <f t="shared" si="59"/>
        <v>0.5</v>
      </c>
      <c r="S367" s="18">
        <f t="shared" si="57"/>
        <v>0.5</v>
      </c>
      <c r="T367" s="19">
        <f t="shared" si="62"/>
        <v>0</v>
      </c>
      <c r="U367" s="16">
        <f>IFERROR(SUMIF('LISTA DE EMBARQUE'!B:B,MICRO!E:E,'LISTA DE EMBARQUE'!G:G),"")</f>
        <v>0</v>
      </c>
      <c r="V367" s="12" t="str">
        <f>IFERROR(VLOOKUP(Tabela1[[#This Row],[COD.MDE]],'LISTA DE EMBARQUE'!B:L,11,0),"")</f>
        <v/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0</v>
      </c>
      <c r="Y367" s="14">
        <f t="shared" si="63"/>
        <v>-1</v>
      </c>
      <c r="Z367" s="20">
        <f>Tabela1[[#This Row],[PESO TOTAL]]-Tabela1[[#This Row],[Peso Expedido]]</f>
        <v>0.5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/>
      <c r="AI367" s="33" t="str">
        <f t="shared" si="61"/>
        <v/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MDE-M-0028-RA/1073-TC-007</v>
      </c>
      <c r="AP367" t="str">
        <f>Tabela1[[#This Row],[TAG]]&amp;Tabela1[[#This Row],[PEDIDO]]&amp;Tabela1[[#This Row],[PRODUTO]]</f>
        <v>1073-TC-007P-188RMF</v>
      </c>
      <c r="AQ367" s="22" t="str">
        <f>Tabela1[[#This Row],[PRODUTO]]&amp;Tabela1[[#This Row],[TAG]]</f>
        <v>RMF1073-TC-007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0.5</v>
      </c>
      <c r="AU367" s="37">
        <f t="shared" si="64"/>
        <v>0</v>
      </c>
      <c r="AV367" s="37">
        <f t="shared" si="65"/>
        <v>0.5</v>
      </c>
      <c r="AW367" s="37"/>
    </row>
    <row r="368" spans="1:49" ht="15.75" hidden="1" customHeight="1" x14ac:dyDescent="0.25">
      <c r="A368" s="6" t="s">
        <v>4004</v>
      </c>
      <c r="B368" s="21" t="s">
        <v>4013</v>
      </c>
      <c r="C368" s="7">
        <v>2</v>
      </c>
      <c r="D368" s="39" t="s">
        <v>4014</v>
      </c>
      <c r="E368" s="7">
        <v>4253</v>
      </c>
      <c r="F368" s="7" t="s">
        <v>4007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2274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f>IFERROR(SUMIF('LISTA DE EMBARQUE'!B:B,MICRO!E:E,'LISTA DE EMBARQUE'!G:G),"")</f>
        <v>0</v>
      </c>
      <c r="V368" s="12" t="str">
        <f>IFERROR(VLOOKUP(Tabela1[[#This Row],[COD.MDE]],'LISTA DE EMBARQUE'!B:L,11,0),"")</f>
        <v/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0</v>
      </c>
      <c r="Y368" s="14">
        <f t="shared" si="63"/>
        <v>-2</v>
      </c>
      <c r="Z368" s="20">
        <f>Tabela1[[#This Row],[PESO TOTAL]]-Tabela1[[#This Row],[Peso Expedido]]</f>
        <v>6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/>
      <c r="AI368" s="33" t="str">
        <f t="shared" si="61"/>
        <v/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MDE-M-0028-RA/1073-TC-006</v>
      </c>
      <c r="AP368" t="str">
        <f>Tabela1[[#This Row],[TAG]]&amp;Tabela1[[#This Row],[PEDIDO]]&amp;Tabela1[[#This Row],[PRODUTO]]</f>
        <v>1073-TC-006P-188RMF</v>
      </c>
      <c r="AQ368" s="22" t="str">
        <f>Tabela1[[#This Row],[PRODUTO]]&amp;Tabela1[[#This Row],[TAG]]</f>
        <v>RMF1073-TC-006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6</v>
      </c>
      <c r="AU368" s="37">
        <f t="shared" si="64"/>
        <v>0</v>
      </c>
      <c r="AV368" s="37">
        <f t="shared" si="65"/>
        <v>6</v>
      </c>
      <c r="AW368" s="37"/>
    </row>
    <row r="369" spans="1:49" ht="15.75" hidden="1" customHeight="1" x14ac:dyDescent="0.25">
      <c r="A369" s="6" t="s">
        <v>4004</v>
      </c>
      <c r="B369" s="21" t="s">
        <v>4013</v>
      </c>
      <c r="C369" s="7">
        <v>2</v>
      </c>
      <c r="D369" s="39" t="s">
        <v>4014</v>
      </c>
      <c r="E369" s="7">
        <v>4254</v>
      </c>
      <c r="F369" s="7" t="s">
        <v>4007</v>
      </c>
      <c r="G369" s="23">
        <v>3</v>
      </c>
      <c r="H369" s="34">
        <f>Tabela1[[#This Row],[PESO UNI]]*Tabela1[[#This Row],[QTE]]</f>
        <v>6</v>
      </c>
      <c r="I369" s="7" t="s">
        <v>2</v>
      </c>
      <c r="J369" s="8" t="s">
        <v>2276</v>
      </c>
      <c r="K369" s="8" t="s">
        <v>327</v>
      </c>
      <c r="L369" s="9" t="s">
        <v>2069</v>
      </c>
      <c r="M369" s="10">
        <v>46149</v>
      </c>
      <c r="N369" s="8" t="s">
        <v>327</v>
      </c>
      <c r="O369" s="12"/>
      <c r="P369" s="13"/>
      <c r="Q369" s="14">
        <f>Tabela1[[#This Row],[QTDE/ Fabricação]]-Tabela1[[#This Row],[QTE]]</f>
        <v>-2</v>
      </c>
      <c r="R369" s="18">
        <f t="shared" si="59"/>
        <v>6</v>
      </c>
      <c r="S369" s="18">
        <f t="shared" si="57"/>
        <v>6</v>
      </c>
      <c r="T369" s="19">
        <f t="shared" si="62"/>
        <v>0</v>
      </c>
      <c r="U369" s="16">
        <f>IFERROR(SUMIF('LISTA DE EMBARQUE'!B:B,MICRO!E:E,'LISTA DE EMBARQUE'!G:G),"")</f>
        <v>0</v>
      </c>
      <c r="V369" s="12" t="str">
        <f>IFERROR(VLOOKUP(Tabela1[[#This Row],[COD.MDE]],'LISTA DE EMBARQUE'!B:L,11,0),"")</f>
        <v/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</v>
      </c>
      <c r="Y369" s="14">
        <f t="shared" si="63"/>
        <v>-2</v>
      </c>
      <c r="Z369" s="20">
        <f>Tabela1[[#This Row],[PESO TOTAL]]-Tabela1[[#This Row],[Peso Expedido]]</f>
        <v>6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/>
      <c r="AI369" s="33" t="str">
        <f t="shared" si="61"/>
        <v/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MDE-M-0028-RA/1073-TC-007</v>
      </c>
      <c r="AP369" t="str">
        <f>Tabela1[[#This Row],[TAG]]&amp;Tabela1[[#This Row],[PEDIDO]]&amp;Tabela1[[#This Row],[PRODUTO]]</f>
        <v>1073-TC-007P-188RMF</v>
      </c>
      <c r="AQ369" s="22" t="str">
        <f>Tabela1[[#This Row],[PRODUTO]]&amp;Tabela1[[#This Row],[TAG]]</f>
        <v>RMF1073-TC-007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6</v>
      </c>
      <c r="AU369" s="37">
        <f t="shared" si="64"/>
        <v>0</v>
      </c>
      <c r="AV369" s="37">
        <f t="shared" si="65"/>
        <v>6</v>
      </c>
      <c r="AW369" s="37"/>
    </row>
    <row r="370" spans="1:49" ht="15.75" hidden="1" customHeight="1" x14ac:dyDescent="0.25">
      <c r="A370" s="6" t="s">
        <v>4015</v>
      </c>
      <c r="B370" s="21" t="s">
        <v>4016</v>
      </c>
      <c r="C370" s="7">
        <v>1</v>
      </c>
      <c r="D370" s="39" t="s">
        <v>4017</v>
      </c>
      <c r="E370" s="7">
        <v>4255</v>
      </c>
      <c r="F370" s="7" t="s">
        <v>4018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2274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f>IFERROR(SUMIF('LISTA DE EMBARQUE'!B:B,MICRO!E:E,'LISTA DE EMBARQUE'!G:G),"")</f>
        <v>0</v>
      </c>
      <c r="V370" s="12" t="str">
        <f>IFERROR(VLOOKUP(Tabela1[[#This Row],[COD.MDE]],'LISTA DE EMBARQUE'!B:L,11,0),"")</f>
        <v/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</v>
      </c>
      <c r="Y370" s="14">
        <f t="shared" si="63"/>
        <v>-1</v>
      </c>
      <c r="Z370" s="20">
        <f>Tabela1[[#This Row],[PESO TOTAL]]-Tabela1[[#This Row],[Peso Expedido]]</f>
        <v>0.4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/>
      <c r="AI370" s="33" t="str">
        <f t="shared" si="61"/>
        <v/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MDE-M-0029-RA/1073-TC-006</v>
      </c>
      <c r="AP370" t="str">
        <f>Tabela1[[#This Row],[TAG]]&amp;Tabela1[[#This Row],[PEDIDO]]&amp;Tabela1[[#This Row],[PRODUTO]]</f>
        <v>1073-TC-006P-188RMF</v>
      </c>
      <c r="AQ370" s="22" t="str">
        <f>Tabela1[[#This Row],[PRODUTO]]&amp;Tabela1[[#This Row],[TAG]]</f>
        <v>RMF1073-TC-006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0.4</v>
      </c>
      <c r="AU370" s="37">
        <f t="shared" si="64"/>
        <v>0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4015</v>
      </c>
      <c r="B371" s="21" t="s">
        <v>4016</v>
      </c>
      <c r="C371" s="7">
        <v>1</v>
      </c>
      <c r="D371" s="39" t="s">
        <v>4017</v>
      </c>
      <c r="E371" s="7">
        <v>4256</v>
      </c>
      <c r="F371" s="7" t="s">
        <v>4018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2276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f>IFERROR(SUMIF('LISTA DE EMBARQUE'!B:B,MICRO!E:E,'LISTA DE EMBARQUE'!G:G),"")</f>
        <v>0</v>
      </c>
      <c r="V371" s="12" t="str">
        <f>IFERROR(VLOOKUP(Tabela1[[#This Row],[COD.MDE]],'LISTA DE EMBARQUE'!B:L,11,0),"")</f>
        <v/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</v>
      </c>
      <c r="Y371" s="14">
        <f t="shared" si="63"/>
        <v>-1</v>
      </c>
      <c r="Z371" s="20">
        <f>Tabela1[[#This Row],[PESO TOTAL]]-Tabela1[[#This Row],[Peso Expedido]]</f>
        <v>0.4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/>
      <c r="AI371" s="33" t="str">
        <f t="shared" si="61"/>
        <v/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MDE-M-0029-RA/1073-TC-007</v>
      </c>
      <c r="AP371" t="str">
        <f>Tabela1[[#This Row],[TAG]]&amp;Tabela1[[#This Row],[PEDIDO]]&amp;Tabela1[[#This Row],[PRODUTO]]</f>
        <v>1073-TC-007P-188RMF</v>
      </c>
      <c r="AQ371" s="22" t="str">
        <f>Tabela1[[#This Row],[PRODUTO]]&amp;Tabela1[[#This Row],[TAG]]</f>
        <v>RMF1073-TC-007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0.4</v>
      </c>
      <c r="AU371" s="37">
        <f t="shared" si="64"/>
        <v>0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4015</v>
      </c>
      <c r="B372" s="21" t="s">
        <v>4019</v>
      </c>
      <c r="C372" s="7">
        <v>1</v>
      </c>
      <c r="D372" s="39" t="s">
        <v>4020</v>
      </c>
      <c r="E372" s="7">
        <v>4257</v>
      </c>
      <c r="F372" s="7" t="s">
        <v>4018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2274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f>IFERROR(SUMIF('LISTA DE EMBARQUE'!B:B,MICRO!E:E,'LISTA DE EMBARQUE'!G:G),"")</f>
        <v>0</v>
      </c>
      <c r="V372" s="12" t="str">
        <f>IFERROR(VLOOKUP(Tabela1[[#This Row],[COD.MDE]],'LISTA DE EMBARQUE'!B:L,11,0),"")</f>
        <v/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</v>
      </c>
      <c r="Y372" s="14">
        <f t="shared" si="63"/>
        <v>-1</v>
      </c>
      <c r="Z372" s="20">
        <f>Tabela1[[#This Row],[PESO TOTAL]]-Tabela1[[#This Row],[Peso Expedido]]</f>
        <v>0.4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/>
      <c r="AI372" s="33" t="str">
        <f t="shared" si="61"/>
        <v/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MDE-M-0029-RA/1073-TC-006</v>
      </c>
      <c r="AP372" t="str">
        <f>Tabela1[[#This Row],[TAG]]&amp;Tabela1[[#This Row],[PEDIDO]]&amp;Tabela1[[#This Row],[PRODUTO]]</f>
        <v>1073-TC-006P-188RMF</v>
      </c>
      <c r="AQ372" s="22" t="str">
        <f>Tabela1[[#This Row],[PRODUTO]]&amp;Tabela1[[#This Row],[TAG]]</f>
        <v>RMF1073-TC-006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0.4</v>
      </c>
      <c r="AU372" s="37">
        <f t="shared" si="64"/>
        <v>0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4015</v>
      </c>
      <c r="B373" s="21" t="s">
        <v>4019</v>
      </c>
      <c r="C373" s="7">
        <v>1</v>
      </c>
      <c r="D373" s="39" t="s">
        <v>4020</v>
      </c>
      <c r="E373" s="7">
        <v>4258</v>
      </c>
      <c r="F373" s="7" t="s">
        <v>4018</v>
      </c>
      <c r="G373" s="23">
        <v>0.4</v>
      </c>
      <c r="H373" s="34">
        <f>Tabela1[[#This Row],[PESO UNI]]*Tabela1[[#This Row],[QTE]]</f>
        <v>0.4</v>
      </c>
      <c r="I373" s="7">
        <v>0</v>
      </c>
      <c r="J373" s="8" t="s">
        <v>2276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0.4</v>
      </c>
      <c r="S373" s="18">
        <f t="shared" si="57"/>
        <v>0.4</v>
      </c>
      <c r="T373" s="19">
        <f t="shared" si="62"/>
        <v>0</v>
      </c>
      <c r="U373" s="16">
        <f>IFERROR(SUMIF('LISTA DE EMBARQUE'!B:B,MICRO!E:E,'LISTA DE EMBARQUE'!G:G),"")</f>
        <v>0</v>
      </c>
      <c r="V373" s="12" t="str">
        <f>IFERROR(VLOOKUP(Tabela1[[#This Row],[COD.MDE]],'LISTA DE EMBARQUE'!B:L,11,0),"")</f>
        <v/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</v>
      </c>
      <c r="Y373" s="14">
        <f t="shared" si="63"/>
        <v>-1</v>
      </c>
      <c r="Z373" s="20">
        <f>Tabela1[[#This Row],[PESO TOTAL]]-Tabela1[[#This Row],[Peso Expedido]]</f>
        <v>0.4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/>
      <c r="AI373" s="33" t="str">
        <f t="shared" si="61"/>
        <v/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MDE-M-0029-RA/1073-TC-007</v>
      </c>
      <c r="AP373" t="str">
        <f>Tabela1[[#This Row],[TAG]]&amp;Tabela1[[#This Row],[PEDIDO]]&amp;Tabela1[[#This Row],[PRODUTO]]</f>
        <v>1073-TC-007P-188RMF</v>
      </c>
      <c r="AQ373" s="22" t="str">
        <f>Tabela1[[#This Row],[PRODUTO]]&amp;Tabela1[[#This Row],[TAG]]</f>
        <v>RMF1073-TC-007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0.4</v>
      </c>
      <c r="AU373" s="37">
        <f t="shared" si="64"/>
        <v>0</v>
      </c>
      <c r="AV373" s="37">
        <f t="shared" si="65"/>
        <v>0.4</v>
      </c>
      <c r="AW373" s="37"/>
    </row>
    <row r="374" spans="1:49" ht="15.75" hidden="1" customHeight="1" x14ac:dyDescent="0.25">
      <c r="A374" s="6" t="s">
        <v>4015</v>
      </c>
      <c r="B374" s="21" t="s">
        <v>4021</v>
      </c>
      <c r="C374" s="7">
        <v>1</v>
      </c>
      <c r="D374" s="39" t="s">
        <v>4022</v>
      </c>
      <c r="E374" s="7">
        <v>4259</v>
      </c>
      <c r="F374" s="7" t="s">
        <v>4018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2274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ref="S374:S437" si="66">IFERROR(H374*AG374,"")</f>
        <v>0.2</v>
      </c>
      <c r="T374" s="19">
        <f t="shared" si="62"/>
        <v>0</v>
      </c>
      <c r="U374" s="16">
        <f>IFERROR(SUMIF('LISTA DE EMBARQUE'!B:B,MICRO!E:E,'LISTA DE EMBARQUE'!G:G),"")</f>
        <v>0</v>
      </c>
      <c r="V374" s="12" t="str">
        <f>IFERROR(VLOOKUP(Tabela1[[#This Row],[COD.MDE]],'LISTA DE EMBARQUE'!B:L,11,0),"")</f>
        <v/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</v>
      </c>
      <c r="Y374" s="14">
        <f t="shared" si="63"/>
        <v>-1</v>
      </c>
      <c r="Z374" s="20">
        <f>Tabela1[[#This Row],[PESO TOTAL]]-Tabela1[[#This Row],[Peso Expedido]]</f>
        <v>0.2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/>
      <c r="AI374" s="33" t="str">
        <f t="shared" si="61"/>
        <v/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MDE-M-0029-RA/1073-TC-006</v>
      </c>
      <c r="AP374" t="str">
        <f>Tabela1[[#This Row],[TAG]]&amp;Tabela1[[#This Row],[PEDIDO]]&amp;Tabela1[[#This Row],[PRODUTO]]</f>
        <v>1073-TC-006P-188RMF</v>
      </c>
      <c r="AQ374" s="22" t="str">
        <f>Tabela1[[#This Row],[PRODUTO]]&amp;Tabela1[[#This Row],[TAG]]</f>
        <v>RMF1073-TC-006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0.2</v>
      </c>
      <c r="AU374" s="37">
        <f t="shared" si="64"/>
        <v>0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4015</v>
      </c>
      <c r="B375" s="21" t="s">
        <v>4021</v>
      </c>
      <c r="C375" s="7">
        <v>1</v>
      </c>
      <c r="D375" s="39" t="s">
        <v>4022</v>
      </c>
      <c r="E375" s="7">
        <v>4260</v>
      </c>
      <c r="F375" s="7" t="s">
        <v>4018</v>
      </c>
      <c r="G375" s="23">
        <v>0.2</v>
      </c>
      <c r="H375" s="34">
        <f>Tabela1[[#This Row],[PESO UNI]]*Tabela1[[#This Row],[QTE]]</f>
        <v>0.2</v>
      </c>
      <c r="I375" s="7">
        <v>0</v>
      </c>
      <c r="J375" s="8" t="s">
        <v>2276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-1</v>
      </c>
      <c r="R375" s="18">
        <f t="shared" si="59"/>
        <v>0.2</v>
      </c>
      <c r="S375" s="18">
        <f t="shared" si="66"/>
        <v>0.2</v>
      </c>
      <c r="T375" s="19">
        <f t="shared" si="62"/>
        <v>0</v>
      </c>
      <c r="U375" s="16">
        <f>IFERROR(SUMIF('LISTA DE EMBARQUE'!B:B,MICRO!E:E,'LISTA DE EMBARQUE'!G:G),"")</f>
        <v>0</v>
      </c>
      <c r="V375" s="12" t="str">
        <f>IFERROR(VLOOKUP(Tabela1[[#This Row],[COD.MDE]],'LISTA DE EMBARQUE'!B:L,11,0),"")</f>
        <v/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0</v>
      </c>
      <c r="Y375" s="14">
        <f t="shared" si="63"/>
        <v>-1</v>
      </c>
      <c r="Z375" s="20">
        <f>Tabela1[[#This Row],[PESO TOTAL]]-Tabela1[[#This Row],[Peso Expedido]]</f>
        <v>0.2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/>
      <c r="AI375" s="33" t="str">
        <f t="shared" si="61"/>
        <v/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MDE-M-0029-RA/1073-TC-007</v>
      </c>
      <c r="AP375" t="str">
        <f>Tabela1[[#This Row],[TAG]]&amp;Tabela1[[#This Row],[PEDIDO]]&amp;Tabela1[[#This Row],[PRODUTO]]</f>
        <v>1073-TC-007P-188RMF</v>
      </c>
      <c r="AQ375" s="22" t="str">
        <f>Tabela1[[#This Row],[PRODUTO]]&amp;Tabela1[[#This Row],[TAG]]</f>
        <v>RMF1073-TC-007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0.2</v>
      </c>
      <c r="AU375" s="37">
        <f t="shared" si="64"/>
        <v>0</v>
      </c>
      <c r="AV375" s="37">
        <f t="shared" si="65"/>
        <v>0.2</v>
      </c>
      <c r="AW375" s="37"/>
    </row>
    <row r="376" spans="1:49" ht="15.75" hidden="1" customHeight="1" x14ac:dyDescent="0.25">
      <c r="A376" s="6" t="s">
        <v>4015</v>
      </c>
      <c r="B376" s="21" t="s">
        <v>4023</v>
      </c>
      <c r="C376" s="7">
        <v>2</v>
      </c>
      <c r="D376" s="39" t="s">
        <v>4024</v>
      </c>
      <c r="E376" s="7">
        <v>4261</v>
      </c>
      <c r="F376" s="7" t="s">
        <v>4018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2274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f>IFERROR(SUMIF('LISTA DE EMBARQUE'!B:B,MICRO!E:E,'LISTA DE EMBARQUE'!G:G),"")</f>
        <v>0</v>
      </c>
      <c r="V376" s="12" t="str">
        <f>IFERROR(VLOOKUP(Tabela1[[#This Row],[COD.MDE]],'LISTA DE EMBARQUE'!B:L,11,0),"")</f>
        <v/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0</v>
      </c>
      <c r="Y376" s="14">
        <f t="shared" si="63"/>
        <v>-2</v>
      </c>
      <c r="Z376" s="20">
        <f>Tabela1[[#This Row],[PESO TOTAL]]-Tabela1[[#This Row],[Peso Expedido]]</f>
        <v>7.8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/>
      <c r="AI376" s="33" t="str">
        <f t="shared" si="61"/>
        <v/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MDE-M-0029-RA/1073-TC-006</v>
      </c>
      <c r="AP376" t="str">
        <f>Tabela1[[#This Row],[TAG]]&amp;Tabela1[[#This Row],[PEDIDO]]&amp;Tabela1[[#This Row],[PRODUTO]]</f>
        <v>1073-TC-006P-188RMF</v>
      </c>
      <c r="AQ376" s="22" t="str">
        <f>Tabela1[[#This Row],[PRODUTO]]&amp;Tabela1[[#This Row],[TAG]]</f>
        <v>RMF1073-TC-006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7.8</v>
      </c>
      <c r="AU376" s="37">
        <f t="shared" si="64"/>
        <v>0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4015</v>
      </c>
      <c r="B377" s="21" t="s">
        <v>4023</v>
      </c>
      <c r="C377" s="7">
        <v>2</v>
      </c>
      <c r="D377" s="39" t="s">
        <v>4024</v>
      </c>
      <c r="E377" s="7">
        <v>4262</v>
      </c>
      <c r="F377" s="7" t="s">
        <v>4018</v>
      </c>
      <c r="G377" s="23">
        <v>3.9</v>
      </c>
      <c r="H377" s="34">
        <f>Tabela1[[#This Row],[PESO UNI]]*Tabela1[[#This Row],[QTE]]</f>
        <v>7.8</v>
      </c>
      <c r="I377" s="7">
        <v>0</v>
      </c>
      <c r="J377" s="8" t="s">
        <v>2276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-2</v>
      </c>
      <c r="R377" s="18">
        <f t="shared" si="59"/>
        <v>7.8</v>
      </c>
      <c r="S377" s="18">
        <f t="shared" si="66"/>
        <v>7.8</v>
      </c>
      <c r="T377" s="19">
        <f t="shared" si="62"/>
        <v>0</v>
      </c>
      <c r="U377" s="16">
        <f>IFERROR(SUMIF('LISTA DE EMBARQUE'!B:B,MICRO!E:E,'LISTA DE EMBARQUE'!G:G),"")</f>
        <v>0</v>
      </c>
      <c r="V377" s="12" t="str">
        <f>IFERROR(VLOOKUP(Tabela1[[#This Row],[COD.MDE]],'LISTA DE EMBARQUE'!B:L,11,0),"")</f>
        <v/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0</v>
      </c>
      <c r="Y377" s="14">
        <f t="shared" si="63"/>
        <v>-2</v>
      </c>
      <c r="Z377" s="20">
        <f>Tabela1[[#This Row],[PESO TOTAL]]-Tabela1[[#This Row],[Peso Expedido]]</f>
        <v>7.8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/>
      <c r="AI377" s="33" t="str">
        <f t="shared" si="61"/>
        <v/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MDE-M-0029-RA/1073-TC-007</v>
      </c>
      <c r="AP377" t="str">
        <f>Tabela1[[#This Row],[TAG]]&amp;Tabela1[[#This Row],[PEDIDO]]&amp;Tabela1[[#This Row],[PRODUTO]]</f>
        <v>1073-TC-007P-188RMF</v>
      </c>
      <c r="AQ377" s="22" t="str">
        <f>Tabela1[[#This Row],[PRODUTO]]&amp;Tabela1[[#This Row],[TAG]]</f>
        <v>RMF1073-TC-007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7.8</v>
      </c>
      <c r="AU377" s="37">
        <f t="shared" si="64"/>
        <v>0</v>
      </c>
      <c r="AV377" s="37">
        <f t="shared" si="65"/>
        <v>7.8</v>
      </c>
      <c r="AW377" s="37"/>
    </row>
    <row r="378" spans="1:49" ht="15.75" hidden="1" customHeight="1" x14ac:dyDescent="0.25">
      <c r="A378" s="6" t="s">
        <v>4015</v>
      </c>
      <c r="B378" s="21" t="s">
        <v>4025</v>
      </c>
      <c r="C378" s="7">
        <v>4</v>
      </c>
      <c r="D378" s="39" t="s">
        <v>4026</v>
      </c>
      <c r="E378" s="7">
        <v>4263</v>
      </c>
      <c r="F378" s="7" t="s">
        <v>4018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2274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f>IFERROR(SUMIF('LISTA DE EMBARQUE'!B:B,MICRO!E:E,'LISTA DE EMBARQUE'!G:G),"")</f>
        <v>0</v>
      </c>
      <c r="V378" s="12" t="str">
        <f>IFERROR(VLOOKUP(Tabela1[[#This Row],[COD.MDE]],'LISTA DE EMBARQUE'!B:L,11,0),"")</f>
        <v/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0</v>
      </c>
      <c r="Y378" s="14">
        <f t="shared" si="63"/>
        <v>-4</v>
      </c>
      <c r="Z378" s="20">
        <f>Tabela1[[#This Row],[PESO TOTAL]]-Tabela1[[#This Row],[Peso Expedido]]</f>
        <v>9.1999999999999993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/>
      <c r="AI378" s="33" t="str">
        <f t="shared" si="61"/>
        <v/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MDE-M-0029-RA/1073-TC-006</v>
      </c>
      <c r="AP378" t="str">
        <f>Tabela1[[#This Row],[TAG]]&amp;Tabela1[[#This Row],[PEDIDO]]&amp;Tabela1[[#This Row],[PRODUTO]]</f>
        <v>1073-TC-006P-188RMF</v>
      </c>
      <c r="AQ378" s="22" t="str">
        <f>Tabela1[[#This Row],[PRODUTO]]&amp;Tabela1[[#This Row],[TAG]]</f>
        <v>RMF1073-TC-006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9.1999999999999993</v>
      </c>
      <c r="AU378" s="37">
        <f t="shared" si="64"/>
        <v>0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4015</v>
      </c>
      <c r="B379" s="21" t="s">
        <v>4025</v>
      </c>
      <c r="C379" s="7">
        <v>4</v>
      </c>
      <c r="D379" s="39" t="s">
        <v>4026</v>
      </c>
      <c r="E379" s="7">
        <v>4264</v>
      </c>
      <c r="F379" s="7" t="s">
        <v>4018</v>
      </c>
      <c r="G379" s="23">
        <v>2.2999999999999998</v>
      </c>
      <c r="H379" s="34">
        <f>Tabela1[[#This Row],[PESO UNI]]*Tabela1[[#This Row],[QTE]]</f>
        <v>9.1999999999999993</v>
      </c>
      <c r="I379" s="7">
        <v>0</v>
      </c>
      <c r="J379" s="8" t="s">
        <v>2276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-4</v>
      </c>
      <c r="R379" s="18">
        <f t="shared" si="59"/>
        <v>9.1999999999999993</v>
      </c>
      <c r="S379" s="18">
        <f t="shared" si="66"/>
        <v>9.1999999999999993</v>
      </c>
      <c r="T379" s="19">
        <f t="shared" si="62"/>
        <v>0</v>
      </c>
      <c r="U379" s="16">
        <f>IFERROR(SUMIF('LISTA DE EMBARQUE'!B:B,MICRO!E:E,'LISTA DE EMBARQUE'!G:G),"")</f>
        <v>0</v>
      </c>
      <c r="V379" s="12" t="str">
        <f>IFERROR(VLOOKUP(Tabela1[[#This Row],[COD.MDE]],'LISTA DE EMBARQUE'!B:L,11,0),"")</f>
        <v/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0</v>
      </c>
      <c r="Y379" s="14">
        <f t="shared" si="63"/>
        <v>-4</v>
      </c>
      <c r="Z379" s="20">
        <f>Tabela1[[#This Row],[PESO TOTAL]]-Tabela1[[#This Row],[Peso Expedido]]</f>
        <v>9.1999999999999993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/>
      <c r="AI379" s="33" t="str">
        <f t="shared" si="61"/>
        <v/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MDE-M-0029-RA/1073-TC-007</v>
      </c>
      <c r="AP379" t="str">
        <f>Tabela1[[#This Row],[TAG]]&amp;Tabela1[[#This Row],[PEDIDO]]&amp;Tabela1[[#This Row],[PRODUTO]]</f>
        <v>1073-TC-007P-188RMF</v>
      </c>
      <c r="AQ379" s="22" t="str">
        <f>Tabela1[[#This Row],[PRODUTO]]&amp;Tabela1[[#This Row],[TAG]]</f>
        <v>RMF1073-TC-007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9.1999999999999993</v>
      </c>
      <c r="AU379" s="37">
        <f t="shared" si="64"/>
        <v>0</v>
      </c>
      <c r="AV379" s="37">
        <f t="shared" si="65"/>
        <v>9.1999999999999993</v>
      </c>
      <c r="AW379" s="37"/>
    </row>
    <row r="380" spans="1:49" ht="15.75" hidden="1" customHeight="1" x14ac:dyDescent="0.25">
      <c r="A380" s="6" t="s">
        <v>4015</v>
      </c>
      <c r="B380" s="21" t="s">
        <v>4027</v>
      </c>
      <c r="C380" s="7">
        <v>1</v>
      </c>
      <c r="D380" s="39" t="s">
        <v>4028</v>
      </c>
      <c r="E380" s="7">
        <v>4265</v>
      </c>
      <c r="F380" s="7" t="s">
        <v>4018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2274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f>IFERROR(SUMIF('LISTA DE EMBARQUE'!B:B,MICRO!E:E,'LISTA DE EMBARQUE'!G:G),"")</f>
        <v>0</v>
      </c>
      <c r="V380" s="12" t="str">
        <f>IFERROR(VLOOKUP(Tabela1[[#This Row],[COD.MDE]],'LISTA DE EMBARQUE'!B:L,11,0),"")</f>
        <v/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0</v>
      </c>
      <c r="Y380" s="14">
        <f t="shared" si="63"/>
        <v>-1</v>
      </c>
      <c r="Z380" s="20">
        <f>Tabela1[[#This Row],[PESO TOTAL]]-Tabela1[[#This Row],[Peso Expedido]]</f>
        <v>4.3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/>
      <c r="AI380" s="33" t="str">
        <f t="shared" si="61"/>
        <v/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MDE-M-0029-RA/1073-TC-006</v>
      </c>
      <c r="AP380" t="str">
        <f>Tabela1[[#This Row],[TAG]]&amp;Tabela1[[#This Row],[PEDIDO]]&amp;Tabela1[[#This Row],[PRODUTO]]</f>
        <v>1073-TC-006P-188RMF</v>
      </c>
      <c r="AQ380" s="22" t="str">
        <f>Tabela1[[#This Row],[PRODUTO]]&amp;Tabela1[[#This Row],[TAG]]</f>
        <v>RMF1073-TC-006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4.3</v>
      </c>
      <c r="AU380" s="37">
        <f t="shared" si="64"/>
        <v>0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4015</v>
      </c>
      <c r="B381" s="21" t="s">
        <v>4027</v>
      </c>
      <c r="C381" s="7">
        <v>1</v>
      </c>
      <c r="D381" s="39" t="s">
        <v>4028</v>
      </c>
      <c r="E381" s="7">
        <v>4266</v>
      </c>
      <c r="F381" s="7" t="s">
        <v>4018</v>
      </c>
      <c r="G381" s="23">
        <v>4.3</v>
      </c>
      <c r="H381" s="34">
        <f>Tabela1[[#This Row],[PESO UNI]]*Tabela1[[#This Row],[QTE]]</f>
        <v>4.3</v>
      </c>
      <c r="I381" s="7">
        <v>0</v>
      </c>
      <c r="J381" s="8" t="s">
        <v>2276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4.3</v>
      </c>
      <c r="S381" s="18">
        <f t="shared" si="66"/>
        <v>4.3</v>
      </c>
      <c r="T381" s="19">
        <f t="shared" si="62"/>
        <v>0</v>
      </c>
      <c r="U381" s="16">
        <f>IFERROR(SUMIF('LISTA DE EMBARQUE'!B:B,MICRO!E:E,'LISTA DE EMBARQUE'!G:G),"")</f>
        <v>0</v>
      </c>
      <c r="V381" s="12" t="str">
        <f>IFERROR(VLOOKUP(Tabela1[[#This Row],[COD.MDE]],'LISTA DE EMBARQUE'!B:L,11,0),"")</f>
        <v/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0</v>
      </c>
      <c r="Y381" s="14">
        <f t="shared" si="63"/>
        <v>-1</v>
      </c>
      <c r="Z381" s="20">
        <f>Tabela1[[#This Row],[PESO TOTAL]]-Tabela1[[#This Row],[Peso Expedido]]</f>
        <v>4.3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/>
      <c r="AI381" s="33" t="str">
        <f t="shared" si="61"/>
        <v/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MDE-M-0029-RA/1073-TC-007</v>
      </c>
      <c r="AP381" t="str">
        <f>Tabela1[[#This Row],[TAG]]&amp;Tabela1[[#This Row],[PEDIDO]]&amp;Tabela1[[#This Row],[PRODUTO]]</f>
        <v>1073-TC-007P-188RMF</v>
      </c>
      <c r="AQ381" s="22" t="str">
        <f>Tabela1[[#This Row],[PRODUTO]]&amp;Tabela1[[#This Row],[TAG]]</f>
        <v>RMF1073-TC-007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4.3</v>
      </c>
      <c r="AU381" s="37">
        <f t="shared" si="64"/>
        <v>0</v>
      </c>
      <c r="AV381" s="37">
        <f t="shared" si="65"/>
        <v>4.3</v>
      </c>
      <c r="AW381" s="37"/>
    </row>
    <row r="382" spans="1:49" ht="15.75" hidden="1" customHeight="1" x14ac:dyDescent="0.25">
      <c r="A382" s="6" t="s">
        <v>4015</v>
      </c>
      <c r="B382" s="21" t="s">
        <v>4029</v>
      </c>
      <c r="C382" s="7">
        <v>1</v>
      </c>
      <c r="D382" s="39" t="s">
        <v>4028</v>
      </c>
      <c r="E382" s="7">
        <v>4267</v>
      </c>
      <c r="F382" s="7" t="s">
        <v>4018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2274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f>IFERROR(SUMIF('LISTA DE EMBARQUE'!B:B,MICRO!E:E,'LISTA DE EMBARQUE'!G:G),"")</f>
        <v>0</v>
      </c>
      <c r="V382" s="12" t="str">
        <f>IFERROR(VLOOKUP(Tabela1[[#This Row],[COD.MDE]],'LISTA DE EMBARQUE'!B:L,11,0),"")</f>
        <v/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0</v>
      </c>
      <c r="Y382" s="14">
        <f t="shared" si="63"/>
        <v>-1</v>
      </c>
      <c r="Z382" s="20">
        <f>Tabela1[[#This Row],[PESO TOTAL]]-Tabela1[[#This Row],[Peso Expedido]]</f>
        <v>4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/>
      <c r="AI382" s="33" t="str">
        <f t="shared" si="61"/>
        <v/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MDE-M-0029-RA/1073-TC-006</v>
      </c>
      <c r="AP382" t="str">
        <f>Tabela1[[#This Row],[TAG]]&amp;Tabela1[[#This Row],[PEDIDO]]&amp;Tabela1[[#This Row],[PRODUTO]]</f>
        <v>1073-TC-006P-188RMF</v>
      </c>
      <c r="AQ382" s="22" t="str">
        <f>Tabela1[[#This Row],[PRODUTO]]&amp;Tabela1[[#This Row],[TAG]]</f>
        <v>RMF1073-TC-006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4</v>
      </c>
      <c r="AU382" s="37">
        <f t="shared" si="64"/>
        <v>0</v>
      </c>
      <c r="AV382" s="37">
        <f t="shared" si="65"/>
        <v>4</v>
      </c>
      <c r="AW382" s="37"/>
    </row>
    <row r="383" spans="1:49" ht="15.75" hidden="1" customHeight="1" x14ac:dyDescent="0.25">
      <c r="A383" s="6" t="s">
        <v>4015</v>
      </c>
      <c r="B383" s="21" t="s">
        <v>4029</v>
      </c>
      <c r="C383" s="7">
        <v>1</v>
      </c>
      <c r="D383" s="39" t="s">
        <v>4028</v>
      </c>
      <c r="E383" s="7">
        <v>4268</v>
      </c>
      <c r="F383" s="7" t="s">
        <v>4018</v>
      </c>
      <c r="G383" s="23">
        <v>4</v>
      </c>
      <c r="H383" s="34">
        <f>Tabela1[[#This Row],[PESO UNI]]*Tabela1[[#This Row],[QTE]]</f>
        <v>4</v>
      </c>
      <c r="I383" s="7">
        <v>0</v>
      </c>
      <c r="J383" s="8" t="s">
        <v>2276</v>
      </c>
      <c r="K383" s="8" t="s">
        <v>327</v>
      </c>
      <c r="L383" s="9" t="s">
        <v>2069</v>
      </c>
      <c r="M383" s="10">
        <v>46150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4</v>
      </c>
      <c r="S383" s="18">
        <f t="shared" si="66"/>
        <v>4</v>
      </c>
      <c r="T383" s="19">
        <f t="shared" si="62"/>
        <v>0</v>
      </c>
      <c r="U383" s="16">
        <f>IFERROR(SUMIF('LISTA DE EMBARQUE'!B:B,MICRO!E:E,'LISTA DE EMBARQUE'!G:G),"")</f>
        <v>0</v>
      </c>
      <c r="V383" s="12" t="str">
        <f>IFERROR(VLOOKUP(Tabela1[[#This Row],[COD.MDE]],'LISTA DE EMBARQUE'!B:L,11,0),"")</f>
        <v/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0</v>
      </c>
      <c r="Y383" s="14">
        <f t="shared" si="63"/>
        <v>-1</v>
      </c>
      <c r="Z383" s="20">
        <f>Tabela1[[#This Row],[PESO TOTAL]]-Tabela1[[#This Row],[Peso Expedido]]</f>
        <v>4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/>
      <c r="AI383" s="33" t="str">
        <f t="shared" si="61"/>
        <v/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MDE-M-0029-RA/1073-TC-007</v>
      </c>
      <c r="AP383" t="str">
        <f>Tabela1[[#This Row],[TAG]]&amp;Tabela1[[#This Row],[PEDIDO]]&amp;Tabela1[[#This Row],[PRODUTO]]</f>
        <v>1073-TC-007P-188RMF</v>
      </c>
      <c r="AQ383" s="22" t="str">
        <f>Tabela1[[#This Row],[PRODUTO]]&amp;Tabela1[[#This Row],[TAG]]</f>
        <v>RMF1073-TC-007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4</v>
      </c>
      <c r="AU383" s="37">
        <f t="shared" si="64"/>
        <v>0</v>
      </c>
      <c r="AV383" s="37">
        <f t="shared" si="65"/>
        <v>4</v>
      </c>
      <c r="AW383" s="37"/>
    </row>
    <row r="384" spans="1:49" ht="15.75" hidden="1" customHeight="1" x14ac:dyDescent="0.25">
      <c r="A384" s="6" t="s">
        <v>4030</v>
      </c>
      <c r="B384" s="21" t="s">
        <v>4031</v>
      </c>
      <c r="C384" s="7">
        <v>1</v>
      </c>
      <c r="D384" s="39" t="s">
        <v>4032</v>
      </c>
      <c r="E384" s="7">
        <v>4269</v>
      </c>
      <c r="F384" s="7" t="s">
        <v>3996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2274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f>IFERROR(SUMIF('LISTA DE EMBARQUE'!B:B,MICRO!E:E,'LISTA DE EMBARQUE'!G:G),"")</f>
        <v>0</v>
      </c>
      <c r="V384" s="12" t="str">
        <f>IFERROR(VLOOKUP(Tabela1[[#This Row],[COD.MDE]],'LISTA DE EMBARQUE'!B:L,11,0),"")</f>
        <v/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0</v>
      </c>
      <c r="Y384" s="14">
        <f t="shared" si="63"/>
        <v>-1</v>
      </c>
      <c r="Z384" s="20">
        <f>Tabela1[[#This Row],[PESO TOTAL]]-Tabela1[[#This Row],[Peso Expedido]]</f>
        <v>11.8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/>
      <c r="AI384" s="33" t="str">
        <f t="shared" si="61"/>
        <v/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T-072994-1/1073-TC-006</v>
      </c>
      <c r="AP384" t="str">
        <f>Tabela1[[#This Row],[TAG]]&amp;Tabela1[[#This Row],[PEDIDO]]&amp;Tabela1[[#This Row],[PRODUTO]]</f>
        <v>1073-TC-006P-188RMF</v>
      </c>
      <c r="AQ384" s="22" t="str">
        <f>Tabela1[[#This Row],[PRODUTO]]&amp;Tabela1[[#This Row],[TAG]]</f>
        <v>RMF1073-TC-006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11.8</v>
      </c>
      <c r="AU384" s="37">
        <f t="shared" si="64"/>
        <v>0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4030</v>
      </c>
      <c r="B385" s="21" t="s">
        <v>4031</v>
      </c>
      <c r="C385" s="7">
        <v>1</v>
      </c>
      <c r="D385" s="39" t="s">
        <v>4032</v>
      </c>
      <c r="E385" s="7">
        <v>4270</v>
      </c>
      <c r="F385" s="7" t="s">
        <v>3996</v>
      </c>
      <c r="G385" s="23">
        <v>11.8</v>
      </c>
      <c r="H385" s="34">
        <f>Tabela1[[#This Row],[PESO UNI]]*Tabela1[[#This Row],[QTE]]</f>
        <v>11.8</v>
      </c>
      <c r="I385" s="7">
        <v>0</v>
      </c>
      <c r="J385" s="8" t="s">
        <v>2276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11.8</v>
      </c>
      <c r="S385" s="18">
        <f t="shared" si="66"/>
        <v>11.8</v>
      </c>
      <c r="T385" s="19">
        <f t="shared" si="62"/>
        <v>0</v>
      </c>
      <c r="U385" s="16">
        <f>IFERROR(SUMIF('LISTA DE EMBARQUE'!B:B,MICRO!E:E,'LISTA DE EMBARQUE'!G:G),"")</f>
        <v>0</v>
      </c>
      <c r="V385" s="12" t="str">
        <f>IFERROR(VLOOKUP(Tabela1[[#This Row],[COD.MDE]],'LISTA DE EMBARQUE'!B:L,11,0),"")</f>
        <v/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0</v>
      </c>
      <c r="Y385" s="14">
        <f t="shared" si="63"/>
        <v>-1</v>
      </c>
      <c r="Z385" s="20">
        <f>Tabela1[[#This Row],[PESO TOTAL]]-Tabela1[[#This Row],[Peso Expedido]]</f>
        <v>11.8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/>
      <c r="AI385" s="33" t="str">
        <f t="shared" si="61"/>
        <v/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T-072994-1/1073-TC-007</v>
      </c>
      <c r="AP385" t="str">
        <f>Tabela1[[#This Row],[TAG]]&amp;Tabela1[[#This Row],[PEDIDO]]&amp;Tabela1[[#This Row],[PRODUTO]]</f>
        <v>1073-TC-007P-188RMF</v>
      </c>
      <c r="AQ385" s="22" t="str">
        <f>Tabela1[[#This Row],[PRODUTO]]&amp;Tabela1[[#This Row],[TAG]]</f>
        <v>RMF1073-TC-007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11.8</v>
      </c>
      <c r="AU385" s="37">
        <f t="shared" si="64"/>
        <v>0</v>
      </c>
      <c r="AV385" s="37">
        <f t="shared" si="65"/>
        <v>11.8</v>
      </c>
      <c r="AW385" s="37"/>
    </row>
    <row r="386" spans="1:49" ht="15.75" hidden="1" customHeight="1" x14ac:dyDescent="0.25">
      <c r="A386" s="6" t="s">
        <v>4030</v>
      </c>
      <c r="B386" s="21" t="s">
        <v>4033</v>
      </c>
      <c r="C386" s="7">
        <v>1</v>
      </c>
      <c r="D386" s="39" t="s">
        <v>4032</v>
      </c>
      <c r="E386" s="7">
        <v>4271</v>
      </c>
      <c r="F386" s="7" t="s">
        <v>3996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2274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f>IFERROR(SUMIF('LISTA DE EMBARQUE'!B:B,MICRO!E:E,'LISTA DE EMBARQUE'!G:G),"")</f>
        <v>0</v>
      </c>
      <c r="V386" s="12" t="str">
        <f>IFERROR(VLOOKUP(Tabela1[[#This Row],[COD.MDE]],'LISTA DE EMBARQUE'!B:L,11,0),"")</f>
        <v/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0</v>
      </c>
      <c r="Y386" s="14">
        <f t="shared" si="63"/>
        <v>-1</v>
      </c>
      <c r="Z386" s="20">
        <f>Tabela1[[#This Row],[PESO TOTAL]]-Tabela1[[#This Row],[Peso Expedido]]</f>
        <v>11.2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/>
      <c r="AI386" s="33" t="str">
        <f t="shared" si="61"/>
        <v/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T-072994-1/1073-TC-006</v>
      </c>
      <c r="AP386" t="str">
        <f>Tabela1[[#This Row],[TAG]]&amp;Tabela1[[#This Row],[PEDIDO]]&amp;Tabela1[[#This Row],[PRODUTO]]</f>
        <v>1073-TC-006P-188RMF</v>
      </c>
      <c r="AQ386" s="22" t="str">
        <f>Tabela1[[#This Row],[PRODUTO]]&amp;Tabela1[[#This Row],[TAG]]</f>
        <v>RMF1073-TC-006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11.2</v>
      </c>
      <c r="AU386" s="37">
        <f t="shared" si="64"/>
        <v>0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4030</v>
      </c>
      <c r="B387" s="21" t="s">
        <v>4033</v>
      </c>
      <c r="C387" s="7">
        <v>1</v>
      </c>
      <c r="D387" s="39" t="s">
        <v>4032</v>
      </c>
      <c r="E387" s="7">
        <v>4272</v>
      </c>
      <c r="F387" s="7" t="s">
        <v>3996</v>
      </c>
      <c r="G387" s="23">
        <v>11.2</v>
      </c>
      <c r="H387" s="34">
        <f>Tabela1[[#This Row],[PESO UNI]]*Tabela1[[#This Row],[QTE]]</f>
        <v>11.2</v>
      </c>
      <c r="I387" s="7">
        <v>0</v>
      </c>
      <c r="J387" s="8" t="s">
        <v>2276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-1</v>
      </c>
      <c r="R387" s="18">
        <f t="shared" si="59"/>
        <v>11.2</v>
      </c>
      <c r="S387" s="18">
        <f t="shared" si="66"/>
        <v>11.2</v>
      </c>
      <c r="T387" s="19">
        <f t="shared" si="62"/>
        <v>0</v>
      </c>
      <c r="U387" s="16">
        <f>IFERROR(SUMIF('LISTA DE EMBARQUE'!B:B,MICRO!E:E,'LISTA DE EMBARQUE'!G:G),"")</f>
        <v>0</v>
      </c>
      <c r="V387" s="12" t="str">
        <f>IFERROR(VLOOKUP(Tabela1[[#This Row],[COD.MDE]],'LISTA DE EMBARQUE'!B:L,11,0),"")</f>
        <v/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0</v>
      </c>
      <c r="Y387" s="14">
        <f t="shared" si="63"/>
        <v>-1</v>
      </c>
      <c r="Z387" s="20">
        <f>Tabela1[[#This Row],[PESO TOTAL]]-Tabela1[[#This Row],[Peso Expedido]]</f>
        <v>11.2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/>
      <c r="AI387" s="33" t="str">
        <f t="shared" si="61"/>
        <v/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T-072994-1/1073-TC-007</v>
      </c>
      <c r="AP387" t="str">
        <f>Tabela1[[#This Row],[TAG]]&amp;Tabela1[[#This Row],[PEDIDO]]&amp;Tabela1[[#This Row],[PRODUTO]]</f>
        <v>1073-TC-007P-188RMF</v>
      </c>
      <c r="AQ387" s="22" t="str">
        <f>Tabela1[[#This Row],[PRODUTO]]&amp;Tabela1[[#This Row],[TAG]]</f>
        <v>RMF1073-TC-007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11.2</v>
      </c>
      <c r="AU387" s="37">
        <f t="shared" si="64"/>
        <v>0</v>
      </c>
      <c r="AV387" s="37">
        <f t="shared" si="65"/>
        <v>11.2</v>
      </c>
      <c r="AW387" s="37"/>
    </row>
    <row r="388" spans="1:49" ht="15.75" hidden="1" customHeight="1" x14ac:dyDescent="0.25">
      <c r="A388" s="6" t="s">
        <v>4030</v>
      </c>
      <c r="B388" s="21" t="s">
        <v>4034</v>
      </c>
      <c r="C388" s="7">
        <v>2</v>
      </c>
      <c r="D388" s="39" t="s">
        <v>4032</v>
      </c>
      <c r="E388" s="7">
        <v>4273</v>
      </c>
      <c r="F388" s="7" t="s">
        <v>3996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2274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f>IFERROR(SUMIF('LISTA DE EMBARQUE'!B:B,MICRO!E:E,'LISTA DE EMBARQUE'!G:G),"")</f>
        <v>0</v>
      </c>
      <c r="V388" s="12" t="str">
        <f>IFERROR(VLOOKUP(Tabela1[[#This Row],[COD.MDE]],'LISTA DE EMBARQUE'!B:L,11,0),"")</f>
        <v/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0</v>
      </c>
      <c r="Y388" s="14">
        <f t="shared" si="63"/>
        <v>-2</v>
      </c>
      <c r="Z388" s="20">
        <f>Tabela1[[#This Row],[PESO TOTAL]]-Tabela1[[#This Row],[Peso Expedido]]</f>
        <v>31.8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/>
      <c r="AI388" s="33" t="str">
        <f t="shared" si="61"/>
        <v/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si="58"/>
        <v>T-072994-1/1073-TC-006</v>
      </c>
      <c r="AP388" t="str">
        <f>Tabela1[[#This Row],[TAG]]&amp;Tabela1[[#This Row],[PEDIDO]]&amp;Tabela1[[#This Row],[PRODUTO]]</f>
        <v>1073-TC-006P-188RMF</v>
      </c>
      <c r="AQ388" s="22" t="str">
        <f>Tabela1[[#This Row],[PRODUTO]]&amp;Tabela1[[#This Row],[TAG]]</f>
        <v>RMF1073-TC-006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31.8</v>
      </c>
      <c r="AU388" s="37">
        <f t="shared" si="64"/>
        <v>0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4030</v>
      </c>
      <c r="B389" s="21" t="s">
        <v>4034</v>
      </c>
      <c r="C389" s="7">
        <v>2</v>
      </c>
      <c r="D389" s="39" t="s">
        <v>4032</v>
      </c>
      <c r="E389" s="7">
        <v>4274</v>
      </c>
      <c r="F389" s="7" t="s">
        <v>3996</v>
      </c>
      <c r="G389" s="23">
        <v>15.9</v>
      </c>
      <c r="H389" s="34">
        <f>Tabela1[[#This Row],[PESO UNI]]*Tabela1[[#This Row],[QTE]]</f>
        <v>31.8</v>
      </c>
      <c r="I389" s="7">
        <v>0</v>
      </c>
      <c r="J389" s="8" t="s">
        <v>2276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-2</v>
      </c>
      <c r="R389" s="18">
        <f t="shared" si="59"/>
        <v>31.8</v>
      </c>
      <c r="S389" s="18">
        <f t="shared" si="66"/>
        <v>31.8</v>
      </c>
      <c r="T389" s="19">
        <f t="shared" si="62"/>
        <v>0</v>
      </c>
      <c r="U389" s="16">
        <f>IFERROR(SUMIF('LISTA DE EMBARQUE'!B:B,MICRO!E:E,'LISTA DE EMBARQUE'!G:G),"")</f>
        <v>0</v>
      </c>
      <c r="V389" s="12" t="str">
        <f>IFERROR(VLOOKUP(Tabela1[[#This Row],[COD.MDE]],'LISTA DE EMBARQUE'!B:L,11,0),"")</f>
        <v/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0</v>
      </c>
      <c r="Y389" s="14">
        <f t="shared" si="63"/>
        <v>-2</v>
      </c>
      <c r="Z389" s="20">
        <f>Tabela1[[#This Row],[PESO TOTAL]]-Tabela1[[#This Row],[Peso Expedido]]</f>
        <v>31.8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/>
      <c r="AI389" s="33" t="str">
        <f t="shared" si="61"/>
        <v/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ref="AO389:AO439" si="67">A389&amp;"/"&amp;J389</f>
        <v>T-072994-1/1073-TC-007</v>
      </c>
      <c r="AP389" t="str">
        <f>Tabela1[[#This Row],[TAG]]&amp;Tabela1[[#This Row],[PEDIDO]]&amp;Tabela1[[#This Row],[PRODUTO]]</f>
        <v>1073-TC-007P-188RMF</v>
      </c>
      <c r="AQ389" s="22" t="str">
        <f>Tabela1[[#This Row],[PRODUTO]]&amp;Tabela1[[#This Row],[TAG]]</f>
        <v>RMF1073-TC-007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31.8</v>
      </c>
      <c r="AU389" s="37">
        <f t="shared" si="64"/>
        <v>0</v>
      </c>
      <c r="AV389" s="37">
        <f t="shared" si="65"/>
        <v>31.8</v>
      </c>
      <c r="AW389" s="37"/>
    </row>
    <row r="390" spans="1:49" ht="15.75" hidden="1" customHeight="1" x14ac:dyDescent="0.25">
      <c r="A390" s="6" t="s">
        <v>4030</v>
      </c>
      <c r="B390" s="21" t="s">
        <v>4035</v>
      </c>
      <c r="C390" s="7">
        <v>3</v>
      </c>
      <c r="D390" s="39" t="s">
        <v>3781</v>
      </c>
      <c r="E390" s="7">
        <v>4275</v>
      </c>
      <c r="F390" s="7" t="s">
        <v>3996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2274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f>IFERROR(SUMIF('LISTA DE EMBARQUE'!B:B,MICRO!E:E,'LISTA DE EMBARQUE'!G:G),"")</f>
        <v>0</v>
      </c>
      <c r="V390" s="12" t="str">
        <f>IFERROR(VLOOKUP(Tabela1[[#This Row],[COD.MDE]],'LISTA DE EMBARQUE'!B:L,11,0),"")</f>
        <v/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0</v>
      </c>
      <c r="Y390" s="14">
        <f t="shared" si="63"/>
        <v>-3</v>
      </c>
      <c r="Z390" s="20">
        <f>Tabela1[[#This Row],[PESO TOTAL]]-Tabela1[[#This Row],[Peso Expedido]]</f>
        <v>58.199999999999996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/>
      <c r="AI390" s="33" t="str">
        <f t="shared" si="61"/>
        <v/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T-072994-1/1073-TC-006</v>
      </c>
      <c r="AP390" t="str">
        <f>Tabela1[[#This Row],[TAG]]&amp;Tabela1[[#This Row],[PEDIDO]]&amp;Tabela1[[#This Row],[PRODUTO]]</f>
        <v>1073-TC-006P-188RMF</v>
      </c>
      <c r="AQ390" s="22" t="str">
        <f>Tabela1[[#This Row],[PRODUTO]]&amp;Tabela1[[#This Row],[TAG]]</f>
        <v>RMF1073-TC-006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58.199999999999996</v>
      </c>
      <c r="AU390" s="37">
        <f t="shared" si="64"/>
        <v>0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4030</v>
      </c>
      <c r="B391" s="21" t="s">
        <v>4035</v>
      </c>
      <c r="C391" s="7">
        <v>3</v>
      </c>
      <c r="D391" s="39" t="s">
        <v>3781</v>
      </c>
      <c r="E391" s="7">
        <v>4276</v>
      </c>
      <c r="F391" s="7" t="s">
        <v>3996</v>
      </c>
      <c r="G391" s="23">
        <v>19.399999999999999</v>
      </c>
      <c r="H391" s="34">
        <f>Tabela1[[#This Row],[PESO UNI]]*Tabela1[[#This Row],[QTE]]</f>
        <v>58.199999999999996</v>
      </c>
      <c r="I391" s="7">
        <v>0</v>
      </c>
      <c r="J391" s="8" t="s">
        <v>2276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-3</v>
      </c>
      <c r="R391" s="18">
        <f t="shared" si="59"/>
        <v>58.199999999999996</v>
      </c>
      <c r="S391" s="18">
        <f t="shared" si="66"/>
        <v>58.199999999999996</v>
      </c>
      <c r="T391" s="19">
        <f t="shared" si="62"/>
        <v>0</v>
      </c>
      <c r="U391" s="16">
        <f>IFERROR(SUMIF('LISTA DE EMBARQUE'!B:B,MICRO!E:E,'LISTA DE EMBARQUE'!G:G),"")</f>
        <v>0</v>
      </c>
      <c r="V391" s="12" t="str">
        <f>IFERROR(VLOOKUP(Tabela1[[#This Row],[COD.MDE]],'LISTA DE EMBARQUE'!B:L,11,0),"")</f>
        <v/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0</v>
      </c>
      <c r="Y391" s="14">
        <f t="shared" si="63"/>
        <v>-3</v>
      </c>
      <c r="Z391" s="20">
        <f>Tabela1[[#This Row],[PESO TOTAL]]-Tabela1[[#This Row],[Peso Expedido]]</f>
        <v>58.199999999999996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/>
      <c r="AI391" s="33" t="str">
        <f t="shared" si="61"/>
        <v/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T-072994-1/1073-TC-007</v>
      </c>
      <c r="AP391" t="str">
        <f>Tabela1[[#This Row],[TAG]]&amp;Tabela1[[#This Row],[PEDIDO]]&amp;Tabela1[[#This Row],[PRODUTO]]</f>
        <v>1073-TC-007P-188RMF</v>
      </c>
      <c r="AQ391" s="22" t="str">
        <f>Tabela1[[#This Row],[PRODUTO]]&amp;Tabela1[[#This Row],[TAG]]</f>
        <v>RMF1073-TC-007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58.199999999999996</v>
      </c>
      <c r="AU391" s="37">
        <f t="shared" si="64"/>
        <v>0</v>
      </c>
      <c r="AV391" s="37">
        <f t="shared" si="65"/>
        <v>58.199999999999996</v>
      </c>
      <c r="AW391" s="37"/>
    </row>
    <row r="392" spans="1:49" ht="15.75" hidden="1" customHeight="1" x14ac:dyDescent="0.25">
      <c r="A392" s="6" t="s">
        <v>4030</v>
      </c>
      <c r="B392" s="21" t="s">
        <v>4036</v>
      </c>
      <c r="C392" s="7">
        <v>1</v>
      </c>
      <c r="D392" s="39" t="s">
        <v>3781</v>
      </c>
      <c r="E392" s="7">
        <v>4277</v>
      </c>
      <c r="F392" s="7" t="s">
        <v>3996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2274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f>IFERROR(SUMIF('LISTA DE EMBARQUE'!B:B,MICRO!E:E,'LISTA DE EMBARQUE'!G:G),"")</f>
        <v>0</v>
      </c>
      <c r="V392" s="12" t="str">
        <f>IFERROR(VLOOKUP(Tabela1[[#This Row],[COD.MDE]],'LISTA DE EMBARQUE'!B:L,11,0),"")</f>
        <v/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0</v>
      </c>
      <c r="Y392" s="14">
        <f t="shared" si="63"/>
        <v>-1</v>
      </c>
      <c r="Z392" s="20">
        <f>Tabela1[[#This Row],[PESO TOTAL]]-Tabela1[[#This Row],[Peso Expedido]]</f>
        <v>19.399999999999999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/>
      <c r="AI392" s="33" t="str">
        <f t="shared" si="61"/>
        <v/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T-072994-1/1073-TC-006</v>
      </c>
      <c r="AP392" t="str">
        <f>Tabela1[[#This Row],[TAG]]&amp;Tabela1[[#This Row],[PEDIDO]]&amp;Tabela1[[#This Row],[PRODUTO]]</f>
        <v>1073-TC-006P-188RMF</v>
      </c>
      <c r="AQ392" s="22" t="str">
        <f>Tabela1[[#This Row],[PRODUTO]]&amp;Tabela1[[#This Row],[TAG]]</f>
        <v>RMF1073-TC-006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19.399999999999999</v>
      </c>
      <c r="AU392" s="37">
        <f t="shared" si="64"/>
        <v>0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4030</v>
      </c>
      <c r="B393" s="21" t="s">
        <v>4036</v>
      </c>
      <c r="C393" s="7">
        <v>1</v>
      </c>
      <c r="D393" s="39" t="s">
        <v>3781</v>
      </c>
      <c r="E393" s="7">
        <v>4278</v>
      </c>
      <c r="F393" s="7" t="s">
        <v>3996</v>
      </c>
      <c r="G393" s="23">
        <v>19.399999999999999</v>
      </c>
      <c r="H393" s="34">
        <f>Tabela1[[#This Row],[PESO UNI]]*Tabela1[[#This Row],[QTE]]</f>
        <v>19.399999999999999</v>
      </c>
      <c r="I393" s="7">
        <v>0</v>
      </c>
      <c r="J393" s="8" t="s">
        <v>2276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</v>
      </c>
      <c r="R393" s="18">
        <f t="shared" si="59"/>
        <v>19.399999999999999</v>
      </c>
      <c r="S393" s="18">
        <f t="shared" si="66"/>
        <v>19.399999999999999</v>
      </c>
      <c r="T393" s="19">
        <f t="shared" si="62"/>
        <v>0</v>
      </c>
      <c r="U393" s="16">
        <f>IFERROR(SUMIF('LISTA DE EMBARQUE'!B:B,MICRO!E:E,'LISTA DE EMBARQUE'!G:G),"")</f>
        <v>0</v>
      </c>
      <c r="V393" s="12" t="str">
        <f>IFERROR(VLOOKUP(Tabela1[[#This Row],[COD.MDE]],'LISTA DE EMBARQUE'!B:L,11,0),"")</f>
        <v/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0</v>
      </c>
      <c r="Y393" s="14">
        <f t="shared" si="63"/>
        <v>-1</v>
      </c>
      <c r="Z393" s="20">
        <f>Tabela1[[#This Row],[PESO TOTAL]]-Tabela1[[#This Row],[Peso Expedido]]</f>
        <v>19.399999999999999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/>
      <c r="AI393" s="33" t="str">
        <f t="shared" si="61"/>
        <v/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T-072994-1/1073-TC-007</v>
      </c>
      <c r="AP393" t="str">
        <f>Tabela1[[#This Row],[TAG]]&amp;Tabela1[[#This Row],[PEDIDO]]&amp;Tabela1[[#This Row],[PRODUTO]]</f>
        <v>1073-TC-007P-188RMF</v>
      </c>
      <c r="AQ393" s="22" t="str">
        <f>Tabela1[[#This Row],[PRODUTO]]&amp;Tabela1[[#This Row],[TAG]]</f>
        <v>RMF1073-TC-007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19.399999999999999</v>
      </c>
      <c r="AU393" s="37">
        <f t="shared" si="64"/>
        <v>0</v>
      </c>
      <c r="AV393" s="37">
        <f t="shared" si="65"/>
        <v>19.399999999999999</v>
      </c>
      <c r="AW393" s="37"/>
    </row>
    <row r="394" spans="1:49" ht="15.75" hidden="1" customHeight="1" x14ac:dyDescent="0.25">
      <c r="A394" s="6" t="s">
        <v>4030</v>
      </c>
      <c r="B394" s="21" t="s">
        <v>4037</v>
      </c>
      <c r="C394" s="7">
        <v>18</v>
      </c>
      <c r="D394" s="39" t="s">
        <v>3415</v>
      </c>
      <c r="E394" s="7">
        <v>4279</v>
      </c>
      <c r="F394" s="7" t="s">
        <v>3996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2274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f>IFERROR(SUMIF('LISTA DE EMBARQUE'!B:B,MICRO!E:E,'LISTA DE EMBARQUE'!G:G),"")</f>
        <v>0</v>
      </c>
      <c r="V394" s="12" t="str">
        <f>IFERROR(VLOOKUP(Tabela1[[#This Row],[COD.MDE]],'LISTA DE EMBARQUE'!B:L,11,0),"")</f>
        <v/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0</v>
      </c>
      <c r="Y394" s="14">
        <f t="shared" si="63"/>
        <v>-18</v>
      </c>
      <c r="Z394" s="20">
        <f>Tabela1[[#This Row],[PESO TOTAL]]-Tabela1[[#This Row],[Peso Expedido]]</f>
        <v>2.6999999999999997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/>
      <c r="AI394" s="33" t="str">
        <f t="shared" si="61"/>
        <v/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T-072994-1/1073-TC-006</v>
      </c>
      <c r="AP394" t="str">
        <f>Tabela1[[#This Row],[TAG]]&amp;Tabela1[[#This Row],[PEDIDO]]&amp;Tabela1[[#This Row],[PRODUTO]]</f>
        <v>1073-TC-006P-188RMF</v>
      </c>
      <c r="AQ394" s="22" t="str">
        <f>Tabela1[[#This Row],[PRODUTO]]&amp;Tabela1[[#This Row],[TAG]]</f>
        <v>RMF1073-TC-006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2.6999999999999997</v>
      </c>
      <c r="AU394" s="37">
        <f t="shared" si="64"/>
        <v>0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4030</v>
      </c>
      <c r="B395" s="21" t="s">
        <v>4037</v>
      </c>
      <c r="C395" s="7">
        <v>18</v>
      </c>
      <c r="D395" s="39" t="s">
        <v>3415</v>
      </c>
      <c r="E395" s="7">
        <v>4280</v>
      </c>
      <c r="F395" s="7" t="s">
        <v>3996</v>
      </c>
      <c r="G395" s="23">
        <v>0.15</v>
      </c>
      <c r="H395" s="34">
        <f>Tabela1[[#This Row],[PESO UNI]]*Tabela1[[#This Row],[QTE]]</f>
        <v>2.6999999999999997</v>
      </c>
      <c r="I395" s="7">
        <v>0</v>
      </c>
      <c r="J395" s="8" t="s">
        <v>2276</v>
      </c>
      <c r="K395" s="8" t="s">
        <v>327</v>
      </c>
      <c r="L395" s="9" t="s">
        <v>2069</v>
      </c>
      <c r="M395" s="10">
        <v>46149</v>
      </c>
      <c r="N395" s="8" t="s">
        <v>327</v>
      </c>
      <c r="O395" s="12"/>
      <c r="P395" s="13"/>
      <c r="Q395" s="14">
        <f>Tabela1[[#This Row],[QTDE/ Fabricação]]-Tabela1[[#This Row],[QTE]]</f>
        <v>-18</v>
      </c>
      <c r="R395" s="18">
        <f t="shared" si="59"/>
        <v>2.6999999999999997</v>
      </c>
      <c r="S395" s="18">
        <f t="shared" si="66"/>
        <v>2.6999999999999997</v>
      </c>
      <c r="T395" s="19">
        <f t="shared" si="62"/>
        <v>0</v>
      </c>
      <c r="U395" s="16">
        <f>IFERROR(SUMIF('LISTA DE EMBARQUE'!B:B,MICRO!E:E,'LISTA DE EMBARQUE'!G:G),"")</f>
        <v>0</v>
      </c>
      <c r="V395" s="12" t="str">
        <f>IFERROR(VLOOKUP(Tabela1[[#This Row],[COD.MDE]],'LISTA DE EMBARQUE'!B:L,11,0),"")</f>
        <v/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0</v>
      </c>
      <c r="Y395" s="14">
        <f t="shared" si="63"/>
        <v>-18</v>
      </c>
      <c r="Z395" s="20">
        <f>Tabela1[[#This Row],[PESO TOTAL]]-Tabela1[[#This Row],[Peso Expedido]]</f>
        <v>2.6999999999999997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/>
      <c r="AI395" s="33" t="str">
        <f t="shared" si="61"/>
        <v/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T-072994-1/1073-TC-007</v>
      </c>
      <c r="AP395" t="str">
        <f>Tabela1[[#This Row],[TAG]]&amp;Tabela1[[#This Row],[PEDIDO]]&amp;Tabela1[[#This Row],[PRODUTO]]</f>
        <v>1073-TC-007P-188RMF</v>
      </c>
      <c r="AQ395" s="22" t="str">
        <f>Tabela1[[#This Row],[PRODUTO]]&amp;Tabela1[[#This Row],[TAG]]</f>
        <v>RMF1073-TC-007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2.6999999999999997</v>
      </c>
      <c r="AU395" s="37">
        <f t="shared" si="64"/>
        <v>0</v>
      </c>
      <c r="AV395" s="37">
        <f t="shared" si="65"/>
        <v>2.6999999999999997</v>
      </c>
      <c r="AW395" s="37"/>
    </row>
    <row r="396" spans="1:49" ht="15.75" hidden="1" customHeight="1" x14ac:dyDescent="0.25">
      <c r="A396" s="6" t="s">
        <v>4038</v>
      </c>
      <c r="B396" s="21" t="s">
        <v>4039</v>
      </c>
      <c r="C396" s="7">
        <v>1</v>
      </c>
      <c r="D396" s="39" t="s">
        <v>4040</v>
      </c>
      <c r="E396" s="7">
        <v>4281</v>
      </c>
      <c r="F396" s="7" t="s">
        <v>4007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2274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f>IFERROR(SUMIF('LISTA DE EMBARQUE'!B:B,MICRO!E:E,'LISTA DE EMBARQUE'!G:G),"")</f>
        <v>0</v>
      </c>
      <c r="V396" s="12" t="str">
        <f>IFERROR(VLOOKUP(Tabela1[[#This Row],[COD.MDE]],'LISTA DE EMBARQUE'!B:L,11,0),"")</f>
        <v/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0</v>
      </c>
      <c r="Y396" s="14">
        <f t="shared" si="63"/>
        <v>-1</v>
      </c>
      <c r="Z396" s="20">
        <f>Tabela1[[#This Row],[PESO TOTAL]]-Tabela1[[#This Row],[Peso Expedido]]</f>
        <v>265.89999999999998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/>
      <c r="AI396" s="33" t="str">
        <f t="shared" si="61"/>
        <v/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T-072995-1/1073-TC-006</v>
      </c>
      <c r="AP396" t="str">
        <f>Tabela1[[#This Row],[TAG]]&amp;Tabela1[[#This Row],[PEDIDO]]&amp;Tabela1[[#This Row],[PRODUTO]]</f>
        <v>1073-TC-006P-188RMF</v>
      </c>
      <c r="AQ396" s="22" t="str">
        <f>Tabela1[[#This Row],[PRODUTO]]&amp;Tabela1[[#This Row],[TAG]]</f>
        <v>RMF1073-TC-006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265.89999999999998</v>
      </c>
      <c r="AU396" s="37">
        <f t="shared" si="64"/>
        <v>0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4038</v>
      </c>
      <c r="B397" s="21" t="s">
        <v>4039</v>
      </c>
      <c r="C397" s="7">
        <v>1</v>
      </c>
      <c r="D397" s="39" t="s">
        <v>4040</v>
      </c>
      <c r="E397" s="7">
        <v>4282</v>
      </c>
      <c r="F397" s="7" t="s">
        <v>4007</v>
      </c>
      <c r="G397" s="23">
        <v>265.89999999999998</v>
      </c>
      <c r="H397" s="34">
        <f>Tabela1[[#This Row],[PESO UNI]]*Tabela1[[#This Row],[QTE]]</f>
        <v>265.89999999999998</v>
      </c>
      <c r="I397" s="7">
        <v>2</v>
      </c>
      <c r="J397" s="8" t="s">
        <v>2276</v>
      </c>
      <c r="K397" s="8" t="s">
        <v>327</v>
      </c>
      <c r="L397" s="9" t="s">
        <v>2069</v>
      </c>
      <c r="M397" s="10">
        <v>46156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265.89999999999998</v>
      </c>
      <c r="S397" s="18">
        <f t="shared" si="66"/>
        <v>265.89999999999998</v>
      </c>
      <c r="T397" s="19">
        <f t="shared" si="62"/>
        <v>0</v>
      </c>
      <c r="U397" s="16">
        <f>IFERROR(SUMIF('LISTA DE EMBARQUE'!B:B,MICRO!E:E,'LISTA DE EMBARQUE'!G:G),"")</f>
        <v>0</v>
      </c>
      <c r="V397" s="12" t="str">
        <f>IFERROR(VLOOKUP(Tabela1[[#This Row],[COD.MDE]],'LISTA DE EMBARQUE'!B:L,11,0),"")</f>
        <v/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0</v>
      </c>
      <c r="Y397" s="14">
        <f t="shared" si="63"/>
        <v>-1</v>
      </c>
      <c r="Z397" s="20">
        <f>Tabela1[[#This Row],[PESO TOTAL]]-Tabela1[[#This Row],[Peso Expedido]]</f>
        <v>265.89999999999998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/>
      <c r="AI397" s="33" t="str">
        <f t="shared" si="61"/>
        <v/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T-072995-1/1073-TC-007</v>
      </c>
      <c r="AP397" t="str">
        <f>Tabela1[[#This Row],[TAG]]&amp;Tabela1[[#This Row],[PEDIDO]]&amp;Tabela1[[#This Row],[PRODUTO]]</f>
        <v>1073-TC-007P-188RMF</v>
      </c>
      <c r="AQ397" s="22" t="str">
        <f>Tabela1[[#This Row],[PRODUTO]]&amp;Tabela1[[#This Row],[TAG]]</f>
        <v>RMF1073-TC-007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265.89999999999998</v>
      </c>
      <c r="AU397" s="37">
        <f t="shared" si="64"/>
        <v>0</v>
      </c>
      <c r="AV397" s="37">
        <f t="shared" si="65"/>
        <v>265.89999999999998</v>
      </c>
      <c r="AW397" s="37"/>
    </row>
    <row r="398" spans="1:49" ht="15.75" hidden="1" customHeight="1" x14ac:dyDescent="0.25">
      <c r="A398" s="6" t="s">
        <v>4041</v>
      </c>
      <c r="B398" s="21" t="s">
        <v>4042</v>
      </c>
      <c r="C398" s="7">
        <v>1</v>
      </c>
      <c r="D398" s="39" t="s">
        <v>4043</v>
      </c>
      <c r="E398" s="7">
        <v>4283</v>
      </c>
      <c r="F398" s="7" t="s">
        <v>4007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2274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f>IFERROR(SUMIF('LISTA DE EMBARQUE'!B:B,MICRO!E:E,'LISTA DE EMBARQUE'!G:G),"")</f>
        <v>0</v>
      </c>
      <c r="V398" s="12" t="str">
        <f>IFERROR(VLOOKUP(Tabela1[[#This Row],[COD.MDE]],'LISTA DE EMBARQUE'!B:L,11,0),"")</f>
        <v/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0</v>
      </c>
      <c r="Y398" s="14">
        <f t="shared" si="63"/>
        <v>-1</v>
      </c>
      <c r="Z398" s="20">
        <f>Tabela1[[#This Row],[PESO TOTAL]]-Tabela1[[#This Row],[Peso Expedido]]</f>
        <v>15.8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/>
      <c r="AI398" s="33" t="str">
        <f t="shared" si="61"/>
        <v/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T-072996-1/1073-TC-006</v>
      </c>
      <c r="AP398" t="str">
        <f>Tabela1[[#This Row],[TAG]]&amp;Tabela1[[#This Row],[PEDIDO]]&amp;Tabela1[[#This Row],[PRODUTO]]</f>
        <v>1073-TC-006P-188RMF</v>
      </c>
      <c r="AQ398" s="22" t="str">
        <f>Tabela1[[#This Row],[PRODUTO]]&amp;Tabela1[[#This Row],[TAG]]</f>
        <v>RMF1073-TC-006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15.8</v>
      </c>
      <c r="AU398" s="37">
        <f t="shared" si="64"/>
        <v>0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4041</v>
      </c>
      <c r="B399" s="21" t="s">
        <v>4042</v>
      </c>
      <c r="C399" s="7">
        <v>1</v>
      </c>
      <c r="D399" s="39" t="s">
        <v>4043</v>
      </c>
      <c r="E399" s="7">
        <v>4284</v>
      </c>
      <c r="F399" s="7" t="s">
        <v>4007</v>
      </c>
      <c r="G399" s="23">
        <v>15.8</v>
      </c>
      <c r="H399" s="34">
        <f>Tabela1[[#This Row],[PESO UNI]]*Tabela1[[#This Row],[QTE]]</f>
        <v>15.8</v>
      </c>
      <c r="I399" s="7">
        <v>1</v>
      </c>
      <c r="J399" s="8" t="s">
        <v>2276</v>
      </c>
      <c r="K399" s="8" t="s">
        <v>327</v>
      </c>
      <c r="L399" s="9" t="s">
        <v>2069</v>
      </c>
      <c r="M399" s="10">
        <v>46149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15.8</v>
      </c>
      <c r="S399" s="18">
        <f t="shared" si="66"/>
        <v>15.8</v>
      </c>
      <c r="T399" s="19">
        <f t="shared" si="62"/>
        <v>0</v>
      </c>
      <c r="U399" s="16">
        <f>IFERROR(SUMIF('LISTA DE EMBARQUE'!B:B,MICRO!E:E,'LISTA DE EMBARQUE'!G:G),"")</f>
        <v>0</v>
      </c>
      <c r="V399" s="12" t="str">
        <f>IFERROR(VLOOKUP(Tabela1[[#This Row],[COD.MDE]],'LISTA DE EMBARQUE'!B:L,11,0),"")</f>
        <v/>
      </c>
      <c r="W399" s="13" t="str">
        <f>IFERROR(VLOOKUP(Tabela1[[#This Row],[COD.MDE]],'LISTA DE EMBARQUE'!B:M,12,0),"")</f>
        <v/>
      </c>
      <c r="X399" s="14">
        <f>IFERROR(Tabela1[[#This Row],[QIANTIDADE EXPEDIDA]]*Tabela1[[#This Row],[PESO UNI]],"")</f>
        <v>0</v>
      </c>
      <c r="Y399" s="14">
        <f t="shared" si="63"/>
        <v>-1</v>
      </c>
      <c r="Z399" s="20">
        <f>Tabela1[[#This Row],[PESO TOTAL]]-Tabela1[[#This Row],[Peso Expedido]]</f>
        <v>15.8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/>
      <c r="AI399" s="33" t="str">
        <f t="shared" si="61"/>
        <v/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T-072996-1/1073-TC-007</v>
      </c>
      <c r="AP399" t="str">
        <f>Tabela1[[#This Row],[TAG]]&amp;Tabela1[[#This Row],[PEDIDO]]&amp;Tabela1[[#This Row],[PRODUTO]]</f>
        <v>1073-TC-007P-188RMF</v>
      </c>
      <c r="AQ399" s="22" t="str">
        <f>Tabela1[[#This Row],[PRODUTO]]&amp;Tabela1[[#This Row],[TAG]]</f>
        <v>RMF1073-TC-007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15.8</v>
      </c>
      <c r="AU399" s="37">
        <f t="shared" si="64"/>
        <v>0</v>
      </c>
      <c r="AV399" s="37">
        <f t="shared" si="65"/>
        <v>15.8</v>
      </c>
      <c r="AW399" s="37"/>
    </row>
    <row r="400" spans="1:49" ht="15.75" hidden="1" customHeight="1" x14ac:dyDescent="0.25">
      <c r="A400" s="6" t="s">
        <v>3773</v>
      </c>
      <c r="B400" s="21" t="s">
        <v>4002</v>
      </c>
      <c r="C400" s="7">
        <v>1</v>
      </c>
      <c r="D400" s="39" t="s">
        <v>4044</v>
      </c>
      <c r="E400" s="7">
        <v>4285</v>
      </c>
      <c r="F400" s="7" t="s">
        <v>3775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2274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 t="str">
        <f>IFERROR(VLOOKUP(Tabela1[[#This Row],[COD.MDE]],'LISTA DE EMBARQUE'!B:L,11,0),"")</f>
        <v/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T-072953-1/1073-TC-006</v>
      </c>
      <c r="AP400" t="str">
        <f>Tabela1[[#This Row],[TAG]]&amp;Tabela1[[#This Row],[PEDIDO]]&amp;Tabela1[[#This Row],[PRODUTO]]</f>
        <v>1073-TC-006P-188RMF</v>
      </c>
      <c r="AQ400" s="22" t="str">
        <f>Tabela1[[#This Row],[PRODUTO]]&amp;Tabela1[[#This Row],[TAG]]</f>
        <v>RMF1073-TC-006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3773</v>
      </c>
      <c r="B401" s="21" t="s">
        <v>4002</v>
      </c>
      <c r="C401" s="7">
        <v>1</v>
      </c>
      <c r="D401" s="39" t="s">
        <v>4044</v>
      </c>
      <c r="E401" s="7">
        <v>4286</v>
      </c>
      <c r="F401" s="7" t="s">
        <v>3775</v>
      </c>
      <c r="G401" s="23">
        <v>49.5</v>
      </c>
      <c r="H401" s="34">
        <f>Tabela1[[#This Row],[PESO UNI]]*Tabela1[[#This Row],[QTE]]</f>
        <v>49.5</v>
      </c>
      <c r="I401" s="7">
        <v>5</v>
      </c>
      <c r="J401" s="8" t="s">
        <v>2276</v>
      </c>
      <c r="K401" s="8" t="s">
        <v>327</v>
      </c>
      <c r="L401" s="9" t="s">
        <v>2069</v>
      </c>
      <c r="M401" s="10">
        <v>46156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49.5</v>
      </c>
      <c r="S401" s="18">
        <f t="shared" si="66"/>
        <v>49.5</v>
      </c>
      <c r="T401" s="19">
        <f t="shared" si="62"/>
        <v>0</v>
      </c>
      <c r="U401" s="206">
        <v>1</v>
      </c>
      <c r="V401" s="12" t="str">
        <f>IFERROR(VLOOKUP(Tabela1[[#This Row],[COD.MDE]],'LISTA DE EMBARQUE'!B:L,11,0),"")</f>
        <v/>
      </c>
      <c r="W401" s="13"/>
      <c r="X401" s="14">
        <f>IFERROR(Tabela1[[#This Row],[QIANTIDADE EXPEDIDA]]*Tabela1[[#This Row],[PESO UNI]],"")</f>
        <v>49.5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T-072953-1/1073-TC-007</v>
      </c>
      <c r="AP401" t="str">
        <f>Tabela1[[#This Row],[TAG]]&amp;Tabela1[[#This Row],[PEDIDO]]&amp;Tabela1[[#This Row],[PRODUTO]]</f>
        <v>1073-TC-007P-188RMF</v>
      </c>
      <c r="AQ401" s="22" t="str">
        <f>Tabela1[[#This Row],[PRODUTO]]&amp;Tabela1[[#This Row],[TAG]]</f>
        <v>RMF1073-TC-007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49.5</v>
      </c>
      <c r="AV401" s="37">
        <f t="shared" si="65"/>
        <v>49.5</v>
      </c>
      <c r="AW401" s="37"/>
    </row>
    <row r="402" spans="1:49" ht="15.75" hidden="1" customHeight="1" x14ac:dyDescent="0.25">
      <c r="A402" s="6" t="s">
        <v>3904</v>
      </c>
      <c r="B402" s="21" t="s">
        <v>3905</v>
      </c>
      <c r="C402" s="7">
        <v>1</v>
      </c>
      <c r="D402" s="39" t="s">
        <v>3906</v>
      </c>
      <c r="E402" s="7">
        <v>4287</v>
      </c>
      <c r="F402" s="7" t="s">
        <v>3903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2274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 t="str">
        <f>IFERROR(VLOOKUP(Tabela1[[#This Row],[COD.MDE]],'LISTA DE EMBARQUE'!B:L,11,0),"")</f>
        <v/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T-072982-1/1073-TC-006</v>
      </c>
      <c r="AP402" t="str">
        <f>Tabela1[[#This Row],[TAG]]&amp;Tabela1[[#This Row],[PEDIDO]]&amp;Tabela1[[#This Row],[PRODUTO]]</f>
        <v>1073-TC-006P-188RMF</v>
      </c>
      <c r="AQ402" s="22" t="str">
        <f>Tabela1[[#This Row],[PRODUTO]]&amp;Tabela1[[#This Row],[TAG]]</f>
        <v>RMF1073-TC-006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3904</v>
      </c>
      <c r="B403" s="21" t="s">
        <v>3905</v>
      </c>
      <c r="C403" s="7">
        <v>1</v>
      </c>
      <c r="D403" s="39" t="s">
        <v>3906</v>
      </c>
      <c r="E403" s="7">
        <v>4288</v>
      </c>
      <c r="F403" s="7" t="s">
        <v>3903</v>
      </c>
      <c r="G403" s="23">
        <v>282</v>
      </c>
      <c r="H403" s="34">
        <f>Tabela1[[#This Row],[PESO UNI]]*Tabela1[[#This Row],[QTE]]</f>
        <v>282</v>
      </c>
      <c r="I403" s="7">
        <v>1</v>
      </c>
      <c r="J403" s="8" t="s">
        <v>2276</v>
      </c>
      <c r="K403" s="8" t="s">
        <v>327</v>
      </c>
      <c r="L403" s="9" t="s">
        <v>2069</v>
      </c>
      <c r="M403" s="10">
        <v>46149</v>
      </c>
      <c r="N403" s="8" t="s">
        <v>327</v>
      </c>
      <c r="O403" s="12"/>
      <c r="P403" s="13"/>
      <c r="Q403" s="14">
        <f>Tabela1[[#This Row],[QTDE/ Fabricação]]-Tabela1[[#This Row],[QTE]]</f>
        <v>-1</v>
      </c>
      <c r="R403" s="18">
        <f t="shared" si="59"/>
        <v>282</v>
      </c>
      <c r="S403" s="18">
        <f t="shared" si="66"/>
        <v>282</v>
      </c>
      <c r="T403" s="19">
        <f t="shared" si="62"/>
        <v>0</v>
      </c>
      <c r="U403" s="206">
        <v>1</v>
      </c>
      <c r="V403" s="12" t="str">
        <f>IFERROR(VLOOKUP(Tabela1[[#This Row],[COD.MDE]],'LISTA DE EMBARQUE'!B:L,11,0),"")</f>
        <v/>
      </c>
      <c r="W403" s="13"/>
      <c r="X403" s="14">
        <f>IFERROR(Tabela1[[#This Row],[QIANTIDADE EXPEDIDA]]*Tabela1[[#This Row],[PESO UNI]],"")</f>
        <v>282</v>
      </c>
      <c r="Y403" s="14">
        <f t="shared" si="63"/>
        <v>0</v>
      </c>
      <c r="Z403" s="20">
        <f>Tabela1[[#This Row],[PESO TOTAL]]-Tabela1[[#This Row],[Peso Expedido]]</f>
        <v>0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>
        <v>1</v>
      </c>
      <c r="AI403" s="33" t="str">
        <f t="shared" si="61"/>
        <v>ok</v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T-072982-1/1073-TC-007</v>
      </c>
      <c r="AP403" t="str">
        <f>Tabela1[[#This Row],[TAG]]&amp;Tabela1[[#This Row],[PEDIDO]]&amp;Tabela1[[#This Row],[PRODUTO]]</f>
        <v>1073-TC-007P-188RMF</v>
      </c>
      <c r="AQ403" s="22" t="str">
        <f>Tabela1[[#This Row],[PRODUTO]]&amp;Tabela1[[#This Row],[TAG]]</f>
        <v>RMF1073-TC-007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0</v>
      </c>
      <c r="AU403" s="37">
        <f t="shared" si="64"/>
        <v>282</v>
      </c>
      <c r="AV403" s="37">
        <f t="shared" si="65"/>
        <v>282</v>
      </c>
      <c r="AW403" s="37"/>
    </row>
    <row r="404" spans="1:49" ht="15.75" hidden="1" customHeight="1" x14ac:dyDescent="0.25">
      <c r="A404" s="6" t="s">
        <v>3812</v>
      </c>
      <c r="B404" s="21" t="s">
        <v>4045</v>
      </c>
      <c r="C404" s="7">
        <v>4</v>
      </c>
      <c r="D404" s="39" t="s">
        <v>4046</v>
      </c>
      <c r="E404" s="7">
        <v>4289</v>
      </c>
      <c r="F404" s="7" t="s">
        <v>3789</v>
      </c>
      <c r="G404" s="23">
        <v>49.87</v>
      </c>
      <c r="H404" s="34">
        <f>Tabela1[[#This Row],[PESO UNI]]*Tabela1[[#This Row],[QTE]]</f>
        <v>199.48</v>
      </c>
      <c r="I404" s="7">
        <v>1</v>
      </c>
      <c r="J404" s="8" t="s">
        <v>3790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199.48</v>
      </c>
      <c r="S404" s="18">
        <f t="shared" si="66"/>
        <v>199.48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199.48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T-072955-1/1073-TC-006/007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199.48</v>
      </c>
      <c r="AU404" s="37">
        <f t="shared" si="64"/>
        <v>0</v>
      </c>
      <c r="AV404" s="37">
        <f t="shared" si="65"/>
        <v>199.48</v>
      </c>
      <c r="AW404" s="37"/>
    </row>
    <row r="405" spans="1:49" ht="15.75" hidden="1" customHeight="1" x14ac:dyDescent="0.25">
      <c r="A405" s="6" t="s">
        <v>3828</v>
      </c>
      <c r="B405" s="21" t="s">
        <v>4047</v>
      </c>
      <c r="C405" s="7">
        <v>4</v>
      </c>
      <c r="D405" s="39" t="s">
        <v>4048</v>
      </c>
      <c r="E405" s="7">
        <v>4290</v>
      </c>
      <c r="F405" s="7" t="s">
        <v>3789</v>
      </c>
      <c r="G405" s="23">
        <v>50</v>
      </c>
      <c r="H405" s="34">
        <f>Tabela1[[#This Row],[PESO UNI]]*Tabela1[[#This Row],[QTE]]</f>
        <v>200</v>
      </c>
      <c r="I405" s="7">
        <v>1</v>
      </c>
      <c r="J405" s="8" t="s">
        <v>3790</v>
      </c>
      <c r="K405" s="8" t="s">
        <v>327</v>
      </c>
      <c r="L405" s="9" t="s">
        <v>2069</v>
      </c>
      <c r="M405" s="10">
        <v>46167</v>
      </c>
      <c r="N405" s="8" t="s">
        <v>327</v>
      </c>
      <c r="O405" s="12"/>
      <c r="P405" s="13"/>
      <c r="Q405" s="14">
        <f>Tabela1[[#This Row],[QTDE/ Fabricação]]-Tabela1[[#This Row],[QTE]]</f>
        <v>-4</v>
      </c>
      <c r="R405" s="18">
        <f t="shared" si="59"/>
        <v>200</v>
      </c>
      <c r="S405" s="18">
        <f t="shared" si="66"/>
        <v>200</v>
      </c>
      <c r="T405" s="19">
        <f t="shared" si="62"/>
        <v>0</v>
      </c>
      <c r="U405" s="16">
        <f>IFERROR(SUMIF('LISTA DE EMBARQUE'!B:B,MICRO!E:E,'LISTA DE EMBARQUE'!G:G),"")</f>
        <v>0</v>
      </c>
      <c r="V405" s="12" t="str">
        <f>IFERROR(VLOOKUP(Tabela1[[#This Row],[COD.MDE]],'LISTA DE EMBARQUE'!B:L,11,0),"")</f>
        <v/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0</v>
      </c>
      <c r="Y405" s="14">
        <f t="shared" si="63"/>
        <v>-4</v>
      </c>
      <c r="Z405" s="20">
        <f>Tabela1[[#This Row],[PESO TOTAL]]-Tabela1[[#This Row],[Peso Expedido]]</f>
        <v>200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/>
      <c r="AI405" s="33" t="str">
        <f t="shared" si="61"/>
        <v/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T-072957-1/1073-TC-006/007</v>
      </c>
      <c r="AP405" t="str">
        <f>Tabela1[[#This Row],[TAG]]&amp;Tabela1[[#This Row],[PEDIDO]]&amp;Tabela1[[#This Row],[PRODUTO]]</f>
        <v>1073-TC-006/007P-188RMF</v>
      </c>
      <c r="AQ405" s="22" t="str">
        <f>Tabela1[[#This Row],[PRODUTO]]&amp;Tabela1[[#This Row],[TAG]]</f>
        <v>RMF1073-TC-006/007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200</v>
      </c>
      <c r="AU405" s="37">
        <f t="shared" si="64"/>
        <v>0</v>
      </c>
      <c r="AV405" s="37">
        <f t="shared" si="65"/>
        <v>200</v>
      </c>
      <c r="AW405" s="37"/>
    </row>
    <row r="406" spans="1:49" ht="15.75" hidden="1" customHeight="1" x14ac:dyDescent="0.25">
      <c r="A406" s="6" t="s">
        <v>4049</v>
      </c>
      <c r="B406" s="21" t="s">
        <v>4050</v>
      </c>
      <c r="C406" s="7">
        <v>1</v>
      </c>
      <c r="D406" s="39" t="s">
        <v>4051</v>
      </c>
      <c r="E406" s="7">
        <v>4291</v>
      </c>
      <c r="F406" s="7" t="s">
        <v>4052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2274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f>IFERROR(SUMIF('LISTA DE EMBARQUE'!B:B,MICRO!E:E,'LISTA DE EMBARQUE'!G:G),"")</f>
        <v>0</v>
      </c>
      <c r="V406" s="12" t="str">
        <f>IFERROR(VLOOKUP(Tabela1[[#This Row],[COD.MDE]],'LISTA DE EMBARQUE'!B:L,11,0),"")</f>
        <v/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0</v>
      </c>
      <c r="Y406" s="14">
        <f t="shared" si="63"/>
        <v>-1</v>
      </c>
      <c r="Z406" s="20">
        <f>Tabela1[[#This Row],[PESO TOTAL]]-Tabela1[[#This Row],[Peso Expedido]]</f>
        <v>57.6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/>
      <c r="AI406" s="33" t="str">
        <f t="shared" si="61"/>
        <v/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T-072998-1/1073-TC-006</v>
      </c>
      <c r="AP406" t="str">
        <f>Tabela1[[#This Row],[TAG]]&amp;Tabela1[[#This Row],[PEDIDO]]&amp;Tabela1[[#This Row],[PRODUTO]]</f>
        <v>1073-TC-006P-188RMF</v>
      </c>
      <c r="AQ406" s="22" t="str">
        <f>Tabela1[[#This Row],[PRODUTO]]&amp;Tabela1[[#This Row],[TAG]]</f>
        <v>RMF1073-TC-006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57.6</v>
      </c>
      <c r="AU406" s="37">
        <f t="shared" si="64"/>
        <v>0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4049</v>
      </c>
      <c r="B407" s="21" t="s">
        <v>4050</v>
      </c>
      <c r="C407" s="7">
        <v>1</v>
      </c>
      <c r="D407" s="39" t="s">
        <v>4051</v>
      </c>
      <c r="E407" s="7">
        <v>4292</v>
      </c>
      <c r="F407" s="7" t="s">
        <v>4052</v>
      </c>
      <c r="G407" s="23">
        <v>57.6</v>
      </c>
      <c r="H407" s="34">
        <f>Tabela1[[#This Row],[PESO UNI]]*Tabela1[[#This Row],[QTE]]</f>
        <v>57.6</v>
      </c>
      <c r="I407" s="7">
        <v>0</v>
      </c>
      <c r="J407" s="8" t="s">
        <v>2276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57.6</v>
      </c>
      <c r="S407" s="18">
        <f t="shared" si="66"/>
        <v>57.6</v>
      </c>
      <c r="T407" s="19">
        <f t="shared" si="62"/>
        <v>0</v>
      </c>
      <c r="U407" s="16">
        <f>IFERROR(SUMIF('LISTA DE EMBARQUE'!B:B,MICRO!E:E,'LISTA DE EMBARQUE'!G:G),"")</f>
        <v>0</v>
      </c>
      <c r="V407" s="12" t="str">
        <f>IFERROR(VLOOKUP(Tabela1[[#This Row],[COD.MDE]],'LISTA DE EMBARQUE'!B:L,11,0),"")</f>
        <v/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0</v>
      </c>
      <c r="Y407" s="14">
        <f t="shared" si="63"/>
        <v>-1</v>
      </c>
      <c r="Z407" s="20">
        <f>Tabela1[[#This Row],[PESO TOTAL]]-Tabela1[[#This Row],[Peso Expedido]]</f>
        <v>57.6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/>
      <c r="AI407" s="33" t="str">
        <f t="shared" si="61"/>
        <v/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T-072998-1/1073-TC-007</v>
      </c>
      <c r="AP407" t="str">
        <f>Tabela1[[#This Row],[TAG]]&amp;Tabela1[[#This Row],[PEDIDO]]&amp;Tabela1[[#This Row],[PRODUTO]]</f>
        <v>1073-TC-007P-188RMF</v>
      </c>
      <c r="AQ407" s="22" t="str">
        <f>Tabela1[[#This Row],[PRODUTO]]&amp;Tabela1[[#This Row],[TAG]]</f>
        <v>RMF1073-TC-007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57.6</v>
      </c>
      <c r="AU407" s="37">
        <f t="shared" si="64"/>
        <v>0</v>
      </c>
      <c r="AV407" s="37">
        <f t="shared" si="65"/>
        <v>57.6</v>
      </c>
      <c r="AW407" s="37"/>
    </row>
    <row r="408" spans="1:49" ht="15.75" hidden="1" customHeight="1" x14ac:dyDescent="0.25">
      <c r="A408" s="6" t="s">
        <v>4049</v>
      </c>
      <c r="B408" s="21" t="s">
        <v>4053</v>
      </c>
      <c r="C408" s="7">
        <v>1</v>
      </c>
      <c r="D408" s="39" t="s">
        <v>4051</v>
      </c>
      <c r="E408" s="7">
        <v>4293</v>
      </c>
      <c r="F408" s="7" t="s">
        <v>4052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2274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f>IFERROR(SUMIF('LISTA DE EMBARQUE'!B:B,MICRO!E:E,'LISTA DE EMBARQUE'!G:G),"")</f>
        <v>0</v>
      </c>
      <c r="V408" s="12" t="str">
        <f>IFERROR(VLOOKUP(Tabela1[[#This Row],[COD.MDE]],'LISTA DE EMBARQUE'!B:L,11,0),"")</f>
        <v/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0</v>
      </c>
      <c r="Y408" s="14">
        <f t="shared" si="63"/>
        <v>-1</v>
      </c>
      <c r="Z408" s="20">
        <f>Tabela1[[#This Row],[PESO TOTAL]]-Tabela1[[#This Row],[Peso Expedido]]</f>
        <v>44.8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/>
      <c r="AI408" s="33" t="str">
        <f t="shared" si="61"/>
        <v/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T-072998-1/1073-TC-006</v>
      </c>
      <c r="AP408" t="str">
        <f>Tabela1[[#This Row],[TAG]]&amp;Tabela1[[#This Row],[PEDIDO]]&amp;Tabela1[[#This Row],[PRODUTO]]</f>
        <v>1073-TC-006P-188RMF</v>
      </c>
      <c r="AQ408" s="22" t="str">
        <f>Tabela1[[#This Row],[PRODUTO]]&amp;Tabela1[[#This Row],[TAG]]</f>
        <v>RMF1073-TC-006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44.8</v>
      </c>
      <c r="AU408" s="37">
        <f t="shared" si="64"/>
        <v>0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4049</v>
      </c>
      <c r="B409" s="21" t="s">
        <v>4053</v>
      </c>
      <c r="C409" s="7">
        <v>1</v>
      </c>
      <c r="D409" s="39" t="s">
        <v>4051</v>
      </c>
      <c r="E409" s="7">
        <v>4294</v>
      </c>
      <c r="F409" s="7" t="s">
        <v>4052</v>
      </c>
      <c r="G409" s="23">
        <v>44.8</v>
      </c>
      <c r="H409" s="34">
        <f>Tabela1[[#This Row],[PESO UNI]]*Tabela1[[#This Row],[QTE]]</f>
        <v>44.8</v>
      </c>
      <c r="I409" s="7">
        <v>0</v>
      </c>
      <c r="J409" s="8" t="s">
        <v>2276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si="59"/>
        <v>44.8</v>
      </c>
      <c r="S409" s="18">
        <f t="shared" si="66"/>
        <v>44.8</v>
      </c>
      <c r="T409" s="19">
        <f t="shared" si="62"/>
        <v>0</v>
      </c>
      <c r="U409" s="16">
        <f>IFERROR(SUMIF('LISTA DE EMBARQUE'!B:B,MICRO!E:E,'LISTA DE EMBARQUE'!G:G),"")</f>
        <v>0</v>
      </c>
      <c r="V409" s="12" t="str">
        <f>IFERROR(VLOOKUP(Tabela1[[#This Row],[COD.MDE]],'LISTA DE EMBARQUE'!B:L,11,0),"")</f>
        <v/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0</v>
      </c>
      <c r="Y409" s="14">
        <f t="shared" si="63"/>
        <v>-1</v>
      </c>
      <c r="Z409" s="20">
        <f>Tabela1[[#This Row],[PESO TOTAL]]-Tabela1[[#This Row],[Peso Expedido]]</f>
        <v>44.8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/>
      <c r="AI409" s="33" t="str">
        <f t="shared" si="61"/>
        <v/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T-072998-1/1073-TC-007</v>
      </c>
      <c r="AP409" t="str">
        <f>Tabela1[[#This Row],[TAG]]&amp;Tabela1[[#This Row],[PEDIDO]]&amp;Tabela1[[#This Row],[PRODUTO]]</f>
        <v>1073-TC-007P-188RMF</v>
      </c>
      <c r="AQ409" s="22" t="str">
        <f>Tabela1[[#This Row],[PRODUTO]]&amp;Tabela1[[#This Row],[TAG]]</f>
        <v>RMF1073-TC-007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44.8</v>
      </c>
      <c r="AU409" s="37">
        <f t="shared" si="64"/>
        <v>0</v>
      </c>
      <c r="AV409" s="37">
        <f t="shared" si="65"/>
        <v>44.8</v>
      </c>
      <c r="AW409" s="37"/>
    </row>
    <row r="410" spans="1:49" ht="15.75" hidden="1" customHeight="1" x14ac:dyDescent="0.25">
      <c r="A410" s="6" t="s">
        <v>4049</v>
      </c>
      <c r="B410" s="21" t="s">
        <v>4054</v>
      </c>
      <c r="C410" s="7">
        <v>1</v>
      </c>
      <c r="D410" s="39" t="s">
        <v>4051</v>
      </c>
      <c r="E410" s="7">
        <v>4295</v>
      </c>
      <c r="F410" s="7" t="s">
        <v>4052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2274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ref="R410:R439" si="68">IFERROR(H410*((AA410*0.25)+(AC410*0.25)+(AD410*0.225)+(AE410*0.225)+(AF410*0.05)),"")</f>
        <v>57.1</v>
      </c>
      <c r="S410" s="18">
        <f t="shared" si="66"/>
        <v>57.1</v>
      </c>
      <c r="T410" s="19">
        <f t="shared" si="62"/>
        <v>0</v>
      </c>
      <c r="U410" s="16">
        <f>IFERROR(SUMIF('LISTA DE EMBARQUE'!B:B,MICRO!E:E,'LISTA DE EMBARQUE'!G:G),"")</f>
        <v>0</v>
      </c>
      <c r="V410" s="12" t="str">
        <f>IFERROR(VLOOKUP(Tabela1[[#This Row],[COD.MDE]],'LISTA DE EMBARQUE'!B:L,11,0),"")</f>
        <v/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0</v>
      </c>
      <c r="Y410" s="14">
        <f t="shared" si="63"/>
        <v>-1</v>
      </c>
      <c r="Z410" s="20">
        <f>Tabela1[[#This Row],[PESO TOTAL]]-Tabela1[[#This Row],[Peso Expedido]]</f>
        <v>57.1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/>
      <c r="AI410" s="33" t="str">
        <f t="shared" si="61"/>
        <v/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T-072998-1/1073-TC-006</v>
      </c>
      <c r="AP410" t="str">
        <f>Tabela1[[#This Row],[TAG]]&amp;Tabela1[[#This Row],[PEDIDO]]&amp;Tabela1[[#This Row],[PRODUTO]]</f>
        <v>1073-TC-006P-188RMF</v>
      </c>
      <c r="AQ410" s="22" t="str">
        <f>Tabela1[[#This Row],[PRODUTO]]&amp;Tabela1[[#This Row],[TAG]]</f>
        <v>RMF1073-TC-006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57.1</v>
      </c>
      <c r="AU410" s="37">
        <f t="shared" si="64"/>
        <v>0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4049</v>
      </c>
      <c r="B411" s="21" t="s">
        <v>4054</v>
      </c>
      <c r="C411" s="7">
        <v>1</v>
      </c>
      <c r="D411" s="39" t="s">
        <v>4051</v>
      </c>
      <c r="E411" s="7">
        <v>4296</v>
      </c>
      <c r="F411" s="7" t="s">
        <v>4052</v>
      </c>
      <c r="G411" s="23">
        <v>57.1</v>
      </c>
      <c r="H411" s="34">
        <f>Tabela1[[#This Row],[PESO UNI]]*Tabela1[[#This Row],[QTE]]</f>
        <v>57.1</v>
      </c>
      <c r="I411" s="7">
        <v>0</v>
      </c>
      <c r="J411" s="8" t="s">
        <v>2276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57.1</v>
      </c>
      <c r="S411" s="18">
        <f t="shared" si="66"/>
        <v>57.1</v>
      </c>
      <c r="T411" s="19">
        <f t="shared" si="62"/>
        <v>0</v>
      </c>
      <c r="U411" s="16">
        <f>IFERROR(SUMIF('LISTA DE EMBARQUE'!B:B,MICRO!E:E,'LISTA DE EMBARQUE'!G:G),"")</f>
        <v>0</v>
      </c>
      <c r="V411" s="12" t="str">
        <f>IFERROR(VLOOKUP(Tabela1[[#This Row],[COD.MDE]],'LISTA DE EMBARQUE'!B:L,11,0),"")</f>
        <v/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0</v>
      </c>
      <c r="Y411" s="14">
        <f t="shared" si="63"/>
        <v>-1</v>
      </c>
      <c r="Z411" s="20">
        <f>Tabela1[[#This Row],[PESO TOTAL]]-Tabela1[[#This Row],[Peso Expedido]]</f>
        <v>57.1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/>
      <c r="AI411" s="33" t="str">
        <f t="shared" si="61"/>
        <v/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T-072998-1/1073-TC-007</v>
      </c>
      <c r="AP411" t="str">
        <f>Tabela1[[#This Row],[TAG]]&amp;Tabela1[[#This Row],[PEDIDO]]&amp;Tabela1[[#This Row],[PRODUTO]]</f>
        <v>1073-TC-007P-188RMF</v>
      </c>
      <c r="AQ411" s="22" t="str">
        <f>Tabela1[[#This Row],[PRODUTO]]&amp;Tabela1[[#This Row],[TAG]]</f>
        <v>RMF1073-TC-007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57.1</v>
      </c>
      <c r="AU411" s="37">
        <f t="shared" si="64"/>
        <v>0</v>
      </c>
      <c r="AV411" s="37">
        <f t="shared" si="65"/>
        <v>57.1</v>
      </c>
      <c r="AW411" s="37"/>
    </row>
    <row r="412" spans="1:49" ht="15.75" hidden="1" customHeight="1" x14ac:dyDescent="0.25">
      <c r="A412" s="6" t="s">
        <v>4049</v>
      </c>
      <c r="B412" s="21" t="s">
        <v>4055</v>
      </c>
      <c r="C412" s="7">
        <v>1</v>
      </c>
      <c r="D412" s="39" t="s">
        <v>4051</v>
      </c>
      <c r="E412" s="7">
        <v>4297</v>
      </c>
      <c r="F412" s="7" t="s">
        <v>4052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2274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f>IFERROR(SUMIF('LISTA DE EMBARQUE'!B:B,MICRO!E:E,'LISTA DE EMBARQUE'!G:G),"")</f>
        <v>0</v>
      </c>
      <c r="V412" s="12" t="str">
        <f>IFERROR(VLOOKUP(Tabela1[[#This Row],[COD.MDE]],'LISTA DE EMBARQUE'!B:L,11,0),"")</f>
        <v/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0</v>
      </c>
      <c r="Y412" s="14">
        <f t="shared" si="63"/>
        <v>-1</v>
      </c>
      <c r="Z412" s="20">
        <f>Tabela1[[#This Row],[PESO TOTAL]]-Tabela1[[#This Row],[Peso Expedido]]</f>
        <v>42.4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/>
      <c r="AI412" s="33" t="str">
        <f t="shared" ref="AI412:AI459" si="69">IF(Z412&lt;=0,"ok","")</f>
        <v/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T-072998-1/1073-TC-006</v>
      </c>
      <c r="AP412" t="str">
        <f>Tabela1[[#This Row],[TAG]]&amp;Tabela1[[#This Row],[PEDIDO]]&amp;Tabela1[[#This Row],[PRODUTO]]</f>
        <v>1073-TC-006P-188RMF</v>
      </c>
      <c r="AQ412" s="22" t="str">
        <f>Tabela1[[#This Row],[PRODUTO]]&amp;Tabela1[[#This Row],[TAG]]</f>
        <v>RMF1073-TC-006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42.4</v>
      </c>
      <c r="AU412" s="37">
        <f t="shared" si="64"/>
        <v>0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4049</v>
      </c>
      <c r="B413" s="21" t="s">
        <v>4055</v>
      </c>
      <c r="C413" s="7">
        <v>1</v>
      </c>
      <c r="D413" s="39" t="s">
        <v>4051</v>
      </c>
      <c r="E413" s="7">
        <v>4298</v>
      </c>
      <c r="F413" s="7" t="s">
        <v>4052</v>
      </c>
      <c r="G413" s="23">
        <v>42.4</v>
      </c>
      <c r="H413" s="34">
        <f>Tabela1[[#This Row],[PESO UNI]]*Tabela1[[#This Row],[QTE]]</f>
        <v>42.4</v>
      </c>
      <c r="I413" s="7">
        <v>0</v>
      </c>
      <c r="J413" s="8" t="s">
        <v>2276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42.4</v>
      </c>
      <c r="S413" s="18">
        <f t="shared" si="66"/>
        <v>42.4</v>
      </c>
      <c r="T413" s="19">
        <f t="shared" si="62"/>
        <v>0</v>
      </c>
      <c r="U413" s="16">
        <f>IFERROR(SUMIF('LISTA DE EMBARQUE'!B:B,MICRO!E:E,'LISTA DE EMBARQUE'!G:G),"")</f>
        <v>0</v>
      </c>
      <c r="V413" s="12" t="str">
        <f>IFERROR(VLOOKUP(Tabela1[[#This Row],[COD.MDE]],'LISTA DE EMBARQUE'!B:L,11,0),"")</f>
        <v/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0</v>
      </c>
      <c r="Y413" s="14">
        <f t="shared" si="63"/>
        <v>-1</v>
      </c>
      <c r="Z413" s="20">
        <f>Tabela1[[#This Row],[PESO TOTAL]]-Tabela1[[#This Row],[Peso Expedido]]</f>
        <v>42.4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/>
      <c r="AI413" s="33" t="str">
        <f t="shared" si="69"/>
        <v/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T-072998-1/1073-TC-007</v>
      </c>
      <c r="AP413" t="str">
        <f>Tabela1[[#This Row],[TAG]]&amp;Tabela1[[#This Row],[PEDIDO]]&amp;Tabela1[[#This Row],[PRODUTO]]</f>
        <v>1073-TC-007P-188RMF</v>
      </c>
      <c r="AQ413" s="22" t="str">
        <f>Tabela1[[#This Row],[PRODUTO]]&amp;Tabela1[[#This Row],[TAG]]</f>
        <v>RMF1073-TC-007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42.4</v>
      </c>
      <c r="AU413" s="37">
        <f t="shared" si="64"/>
        <v>0</v>
      </c>
      <c r="AV413" s="37">
        <f t="shared" si="65"/>
        <v>42.4</v>
      </c>
      <c r="AW413" s="37"/>
    </row>
    <row r="414" spans="1:49" ht="15.75" hidden="1" customHeight="1" x14ac:dyDescent="0.25">
      <c r="A414" s="6" t="s">
        <v>4049</v>
      </c>
      <c r="B414" s="21" t="s">
        <v>4056</v>
      </c>
      <c r="C414" s="7">
        <v>1</v>
      </c>
      <c r="D414" s="39" t="s">
        <v>4051</v>
      </c>
      <c r="E414" s="7">
        <v>4299</v>
      </c>
      <c r="F414" s="7" t="s">
        <v>4052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2274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f>IFERROR(SUMIF('LISTA DE EMBARQUE'!B:B,MICRO!E:E,'LISTA DE EMBARQUE'!G:G),"")</f>
        <v>0</v>
      </c>
      <c r="V414" s="12" t="str">
        <f>IFERROR(VLOOKUP(Tabela1[[#This Row],[COD.MDE]],'LISTA DE EMBARQUE'!B:L,11,0),"")</f>
        <v/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0</v>
      </c>
      <c r="Y414" s="14">
        <f t="shared" si="63"/>
        <v>-1</v>
      </c>
      <c r="Z414" s="20">
        <f>Tabela1[[#This Row],[PESO TOTAL]]-Tabela1[[#This Row],[Peso Expedido]]</f>
        <v>40.700000000000003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/>
      <c r="AI414" s="33" t="str">
        <f t="shared" si="69"/>
        <v/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T-072998-1/1073-TC-006</v>
      </c>
      <c r="AP414" t="str">
        <f>Tabela1[[#This Row],[TAG]]&amp;Tabela1[[#This Row],[PEDIDO]]&amp;Tabela1[[#This Row],[PRODUTO]]</f>
        <v>1073-TC-006P-188RMF</v>
      </c>
      <c r="AQ414" s="22" t="str">
        <f>Tabela1[[#This Row],[PRODUTO]]&amp;Tabela1[[#This Row],[TAG]]</f>
        <v>RMF1073-TC-006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40.700000000000003</v>
      </c>
      <c r="AU414" s="37">
        <f t="shared" si="64"/>
        <v>0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4049</v>
      </c>
      <c r="B415" s="21" t="s">
        <v>4056</v>
      </c>
      <c r="C415" s="7">
        <v>1</v>
      </c>
      <c r="D415" s="39" t="s">
        <v>4051</v>
      </c>
      <c r="E415" s="7">
        <v>4300</v>
      </c>
      <c r="F415" s="7" t="s">
        <v>4052</v>
      </c>
      <c r="G415" s="23">
        <v>40.700000000000003</v>
      </c>
      <c r="H415" s="34">
        <f>Tabela1[[#This Row],[PESO UNI]]*Tabela1[[#This Row],[QTE]]</f>
        <v>40.700000000000003</v>
      </c>
      <c r="I415" s="7">
        <v>0</v>
      </c>
      <c r="J415" s="8" t="s">
        <v>2276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40.700000000000003</v>
      </c>
      <c r="S415" s="18">
        <f t="shared" si="66"/>
        <v>40.700000000000003</v>
      </c>
      <c r="T415" s="19">
        <f t="shared" si="62"/>
        <v>0</v>
      </c>
      <c r="U415" s="16">
        <f>IFERROR(SUMIF('LISTA DE EMBARQUE'!B:B,MICRO!E:E,'LISTA DE EMBARQUE'!G:G),"")</f>
        <v>0</v>
      </c>
      <c r="V415" s="12" t="str">
        <f>IFERROR(VLOOKUP(Tabela1[[#This Row],[COD.MDE]],'LISTA DE EMBARQUE'!B:L,11,0),"")</f>
        <v/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0</v>
      </c>
      <c r="Y415" s="14">
        <f t="shared" si="63"/>
        <v>-1</v>
      </c>
      <c r="Z415" s="20">
        <f>Tabela1[[#This Row],[PESO TOTAL]]-Tabela1[[#This Row],[Peso Expedido]]</f>
        <v>40.700000000000003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/>
      <c r="AI415" s="33" t="str">
        <f t="shared" si="69"/>
        <v/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T-072998-1/1073-TC-007</v>
      </c>
      <c r="AP415" t="str">
        <f>Tabela1[[#This Row],[TAG]]&amp;Tabela1[[#This Row],[PEDIDO]]&amp;Tabela1[[#This Row],[PRODUTO]]</f>
        <v>1073-TC-007P-188RMF</v>
      </c>
      <c r="AQ415" s="22" t="str">
        <f>Tabela1[[#This Row],[PRODUTO]]&amp;Tabela1[[#This Row],[TAG]]</f>
        <v>RMF1073-TC-007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40.700000000000003</v>
      </c>
      <c r="AU415" s="37">
        <f t="shared" si="64"/>
        <v>0</v>
      </c>
      <c r="AV415" s="37">
        <f t="shared" si="65"/>
        <v>40.700000000000003</v>
      </c>
      <c r="AW415" s="37"/>
    </row>
    <row r="416" spans="1:49" ht="15.75" hidden="1" customHeight="1" x14ac:dyDescent="0.25">
      <c r="A416" s="6" t="s">
        <v>4057</v>
      </c>
      <c r="B416" s="21" t="s">
        <v>4058</v>
      </c>
      <c r="C416" s="7">
        <v>1</v>
      </c>
      <c r="D416" s="39" t="s">
        <v>4051</v>
      </c>
      <c r="E416" s="7">
        <v>4301</v>
      </c>
      <c r="F416" s="7" t="s">
        <v>4052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2274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f>IFERROR(SUMIF('LISTA DE EMBARQUE'!B:B,MICRO!E:E,'LISTA DE EMBARQUE'!G:G),"")</f>
        <v>0</v>
      </c>
      <c r="V416" s="12" t="str">
        <f>IFERROR(VLOOKUP(Tabela1[[#This Row],[COD.MDE]],'LISTA DE EMBARQUE'!B:L,11,0),"")</f>
        <v/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0</v>
      </c>
      <c r="Y416" s="14">
        <f t="shared" si="63"/>
        <v>-1</v>
      </c>
      <c r="Z416" s="20">
        <f>Tabela1[[#This Row],[PESO TOTAL]]-Tabela1[[#This Row],[Peso Expedido]]</f>
        <v>57.7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/>
      <c r="AI416" s="33" t="str">
        <f t="shared" si="69"/>
        <v/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T-072999-1/1073-TC-006</v>
      </c>
      <c r="AP416" t="str">
        <f>Tabela1[[#This Row],[TAG]]&amp;Tabela1[[#This Row],[PEDIDO]]&amp;Tabela1[[#This Row],[PRODUTO]]</f>
        <v>1073-TC-006P-188RMF</v>
      </c>
      <c r="AQ416" s="22" t="str">
        <f>Tabela1[[#This Row],[PRODUTO]]&amp;Tabela1[[#This Row],[TAG]]</f>
        <v>RMF1073-TC-006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57.7</v>
      </c>
      <c r="AU416" s="37">
        <f t="shared" si="64"/>
        <v>0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4057</v>
      </c>
      <c r="B417" s="21" t="s">
        <v>4058</v>
      </c>
      <c r="C417" s="7">
        <v>1</v>
      </c>
      <c r="D417" s="39" t="s">
        <v>4051</v>
      </c>
      <c r="E417" s="7">
        <v>4302</v>
      </c>
      <c r="F417" s="7" t="s">
        <v>4052</v>
      </c>
      <c r="G417" s="23">
        <v>57.7</v>
      </c>
      <c r="H417" s="34">
        <f>Tabela1[[#This Row],[PESO UNI]]*Tabela1[[#This Row],[QTE]]</f>
        <v>57.7</v>
      </c>
      <c r="I417" s="7">
        <v>0</v>
      </c>
      <c r="J417" s="8" t="s">
        <v>2276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57.7</v>
      </c>
      <c r="S417" s="18">
        <f t="shared" si="66"/>
        <v>57.7</v>
      </c>
      <c r="T417" s="19">
        <f t="shared" si="62"/>
        <v>0</v>
      </c>
      <c r="U417" s="16">
        <f>IFERROR(SUMIF('LISTA DE EMBARQUE'!B:B,MICRO!E:E,'LISTA DE EMBARQUE'!G:G),"")</f>
        <v>0</v>
      </c>
      <c r="V417" s="12" t="str">
        <f>IFERROR(VLOOKUP(Tabela1[[#This Row],[COD.MDE]],'LISTA DE EMBARQUE'!B:L,11,0),"")</f>
        <v/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0</v>
      </c>
      <c r="Y417" s="14">
        <f t="shared" si="63"/>
        <v>-1</v>
      </c>
      <c r="Z417" s="20">
        <f>Tabela1[[#This Row],[PESO TOTAL]]-Tabela1[[#This Row],[Peso Expedido]]</f>
        <v>57.7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/>
      <c r="AI417" s="33" t="str">
        <f t="shared" si="69"/>
        <v/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T-072999-1/1073-TC-007</v>
      </c>
      <c r="AP417" t="str">
        <f>Tabela1[[#This Row],[TAG]]&amp;Tabela1[[#This Row],[PEDIDO]]&amp;Tabela1[[#This Row],[PRODUTO]]</f>
        <v>1073-TC-007P-188RMF</v>
      </c>
      <c r="AQ417" s="22" t="str">
        <f>Tabela1[[#This Row],[PRODUTO]]&amp;Tabela1[[#This Row],[TAG]]</f>
        <v>RMF1073-TC-007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57.7</v>
      </c>
      <c r="AU417" s="37">
        <f t="shared" si="64"/>
        <v>0</v>
      </c>
      <c r="AV417" s="37">
        <f t="shared" si="65"/>
        <v>57.7</v>
      </c>
      <c r="AW417" s="37"/>
    </row>
    <row r="418" spans="1:49" ht="15.75" hidden="1" customHeight="1" x14ac:dyDescent="0.25">
      <c r="A418" s="6" t="s">
        <v>4057</v>
      </c>
      <c r="B418" s="21" t="s">
        <v>4059</v>
      </c>
      <c r="C418" s="7">
        <v>1</v>
      </c>
      <c r="D418" s="39" t="s">
        <v>4051</v>
      </c>
      <c r="E418" s="7">
        <v>4303</v>
      </c>
      <c r="F418" s="7" t="s">
        <v>4052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2274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f>IFERROR(SUMIF('LISTA DE EMBARQUE'!B:B,MICRO!E:E,'LISTA DE EMBARQUE'!G:G),"")</f>
        <v>0</v>
      </c>
      <c r="V418" s="12" t="str">
        <f>IFERROR(VLOOKUP(Tabela1[[#This Row],[COD.MDE]],'LISTA DE EMBARQUE'!B:L,11,0),"")</f>
        <v/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0</v>
      </c>
      <c r="Y418" s="14">
        <f t="shared" si="63"/>
        <v>-1</v>
      </c>
      <c r="Z418" s="20">
        <f>Tabela1[[#This Row],[PESO TOTAL]]-Tabela1[[#This Row],[Peso Expedido]]</f>
        <v>47.2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/>
      <c r="AI418" s="33" t="str">
        <f t="shared" si="69"/>
        <v/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T-072999-1/1073-TC-006</v>
      </c>
      <c r="AP418" t="str">
        <f>Tabela1[[#This Row],[TAG]]&amp;Tabela1[[#This Row],[PEDIDO]]&amp;Tabela1[[#This Row],[PRODUTO]]</f>
        <v>1073-TC-006P-188RMF</v>
      </c>
      <c r="AQ418" s="22" t="str">
        <f>Tabela1[[#This Row],[PRODUTO]]&amp;Tabela1[[#This Row],[TAG]]</f>
        <v>RMF1073-TC-006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47.2</v>
      </c>
      <c r="AU418" s="37">
        <f t="shared" si="64"/>
        <v>0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4057</v>
      </c>
      <c r="B419" s="21" t="s">
        <v>4059</v>
      </c>
      <c r="C419" s="7">
        <v>1</v>
      </c>
      <c r="D419" s="39" t="s">
        <v>4051</v>
      </c>
      <c r="E419" s="7">
        <v>4304</v>
      </c>
      <c r="F419" s="7" t="s">
        <v>4052</v>
      </c>
      <c r="G419" s="23">
        <v>47.2</v>
      </c>
      <c r="H419" s="34">
        <f>Tabela1[[#This Row],[PESO UNI]]*Tabela1[[#This Row],[QTE]]</f>
        <v>47.2</v>
      </c>
      <c r="I419" s="7">
        <v>0</v>
      </c>
      <c r="J419" s="8" t="s">
        <v>2276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47.2</v>
      </c>
      <c r="S419" s="18">
        <f t="shared" si="66"/>
        <v>47.2</v>
      </c>
      <c r="T419" s="19">
        <f t="shared" si="62"/>
        <v>0</v>
      </c>
      <c r="U419" s="16">
        <f>IFERROR(SUMIF('LISTA DE EMBARQUE'!B:B,MICRO!E:E,'LISTA DE EMBARQUE'!G:G),"")</f>
        <v>0</v>
      </c>
      <c r="V419" s="12" t="str">
        <f>IFERROR(VLOOKUP(Tabela1[[#This Row],[COD.MDE]],'LISTA DE EMBARQUE'!B:L,11,0),"")</f>
        <v/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0</v>
      </c>
      <c r="Y419" s="14">
        <f t="shared" si="63"/>
        <v>-1</v>
      </c>
      <c r="Z419" s="20">
        <f>Tabela1[[#This Row],[PESO TOTAL]]-Tabela1[[#This Row],[Peso Expedido]]</f>
        <v>47.2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/>
      <c r="AI419" s="33" t="str">
        <f t="shared" si="69"/>
        <v/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T-072999-1/1073-TC-007</v>
      </c>
      <c r="AP419" t="str">
        <f>Tabela1[[#This Row],[TAG]]&amp;Tabela1[[#This Row],[PEDIDO]]&amp;Tabela1[[#This Row],[PRODUTO]]</f>
        <v>1073-TC-007P-188RMF</v>
      </c>
      <c r="AQ419" s="22" t="str">
        <f>Tabela1[[#This Row],[PRODUTO]]&amp;Tabela1[[#This Row],[TAG]]</f>
        <v>RMF1073-TC-007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47.2</v>
      </c>
      <c r="AU419" s="37">
        <f t="shared" si="64"/>
        <v>0</v>
      </c>
      <c r="AV419" s="37">
        <f t="shared" si="65"/>
        <v>47.2</v>
      </c>
      <c r="AW419" s="37"/>
    </row>
    <row r="420" spans="1:49" ht="15.75" hidden="1" customHeight="1" x14ac:dyDescent="0.25">
      <c r="A420" s="6" t="s">
        <v>4057</v>
      </c>
      <c r="B420" s="21" t="s">
        <v>4060</v>
      </c>
      <c r="C420" s="7">
        <v>1</v>
      </c>
      <c r="D420" s="39" t="s">
        <v>4051</v>
      </c>
      <c r="E420" s="7">
        <v>4305</v>
      </c>
      <c r="F420" s="7" t="s">
        <v>4052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2274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ref="T420:T439" si="70">IFERROR(S420-H420,"")</f>
        <v>0</v>
      </c>
      <c r="U420" s="16">
        <f>IFERROR(SUMIF('LISTA DE EMBARQUE'!B:B,MICRO!E:E,'LISTA DE EMBARQUE'!G:G),"")</f>
        <v>0</v>
      </c>
      <c r="V420" s="12" t="str">
        <f>IFERROR(VLOOKUP(Tabela1[[#This Row],[COD.MDE]],'LISTA DE EMBARQUE'!B:L,11,0),"")</f>
        <v/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0</v>
      </c>
      <c r="Y420" s="14">
        <f t="shared" ref="Y420:Y439" si="71">U420-C420</f>
        <v>-1</v>
      </c>
      <c r="Z420" s="20">
        <f>Tabela1[[#This Row],[PESO TOTAL]]-Tabela1[[#This Row],[Peso Expedido]]</f>
        <v>38.4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/>
      <c r="AI420" s="33" t="str">
        <f t="shared" si="69"/>
        <v/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T-072999-1/1073-TC-006</v>
      </c>
      <c r="AP420" t="str">
        <f>Tabela1[[#This Row],[TAG]]&amp;Tabela1[[#This Row],[PEDIDO]]&amp;Tabela1[[#This Row],[PRODUTO]]</f>
        <v>1073-TC-006P-188RMF</v>
      </c>
      <c r="AQ420" s="22" t="str">
        <f>Tabela1[[#This Row],[PRODUTO]]&amp;Tabela1[[#This Row],[TAG]]</f>
        <v>RMF1073-TC-006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38.4</v>
      </c>
      <c r="AU420" s="37">
        <f t="shared" si="64"/>
        <v>0</v>
      </c>
      <c r="AV420" s="37">
        <f t="shared" si="65"/>
        <v>38.4</v>
      </c>
      <c r="AW420" s="37"/>
    </row>
    <row r="421" spans="1:49" ht="15.75" hidden="1" customHeight="1" x14ac:dyDescent="0.25">
      <c r="A421" s="6" t="s">
        <v>4057</v>
      </c>
      <c r="B421" s="21" t="s">
        <v>4060</v>
      </c>
      <c r="C421" s="7">
        <v>1</v>
      </c>
      <c r="D421" s="39" t="s">
        <v>4051</v>
      </c>
      <c r="E421" s="7">
        <v>4306</v>
      </c>
      <c r="F421" s="7" t="s">
        <v>4052</v>
      </c>
      <c r="G421" s="23">
        <v>38.4</v>
      </c>
      <c r="H421" s="34">
        <f>Tabela1[[#This Row],[PESO UNI]]*Tabela1[[#This Row],[QTE]]</f>
        <v>38.4</v>
      </c>
      <c r="I421" s="7">
        <v>0</v>
      </c>
      <c r="J421" s="8" t="s">
        <v>2276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38.4</v>
      </c>
      <c r="S421" s="18">
        <f t="shared" si="66"/>
        <v>38.4</v>
      </c>
      <c r="T421" s="19">
        <f t="shared" si="70"/>
        <v>0</v>
      </c>
      <c r="U421" s="16">
        <f>IFERROR(SUMIF('LISTA DE EMBARQUE'!B:B,MICRO!E:E,'LISTA DE EMBARQUE'!G:G),"")</f>
        <v>0</v>
      </c>
      <c r="V421" s="12" t="str">
        <f>IFERROR(VLOOKUP(Tabela1[[#This Row],[COD.MDE]],'LISTA DE EMBARQUE'!B:L,11,0),"")</f>
        <v/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0</v>
      </c>
      <c r="Y421" s="14">
        <f t="shared" si="71"/>
        <v>-1</v>
      </c>
      <c r="Z421" s="20">
        <f>Tabela1[[#This Row],[PESO TOTAL]]-Tabela1[[#This Row],[Peso Expedido]]</f>
        <v>38.4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/>
      <c r="AI421" s="33" t="str">
        <f t="shared" si="69"/>
        <v/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T-072999-1/1073-TC-007</v>
      </c>
      <c r="AP421" t="str">
        <f>Tabela1[[#This Row],[TAG]]&amp;Tabela1[[#This Row],[PEDIDO]]&amp;Tabela1[[#This Row],[PRODUTO]]</f>
        <v>1073-TC-007P-188RMF</v>
      </c>
      <c r="AQ421" s="22" t="str">
        <f>Tabela1[[#This Row],[PRODUTO]]&amp;Tabela1[[#This Row],[TAG]]</f>
        <v>RMF1073-TC-007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38.4</v>
      </c>
      <c r="AU421" s="37">
        <f t="shared" ref="AU421:AU439" si="72">IF(AH421="",0,IF(ISTEXT(AH421),H421*VALUE(SUBSTITUTE(AH421,"%",""))/100,H421*AH421))</f>
        <v>0</v>
      </c>
      <c r="AV421" s="37">
        <f t="shared" ref="AV421:AV439" si="73">IF(AG421="",0,IF(ISTEXT(AG421),H421*VALUE(SUBSTITUTE(AG421,"%",""))/100,H421*AG421))</f>
        <v>38.4</v>
      </c>
      <c r="AW421" s="37"/>
    </row>
    <row r="422" spans="1:49" ht="15.75" hidden="1" customHeight="1" x14ac:dyDescent="0.25">
      <c r="A422" s="6" t="s">
        <v>4057</v>
      </c>
      <c r="B422" s="21" t="s">
        <v>4061</v>
      </c>
      <c r="C422" s="7">
        <v>1</v>
      </c>
      <c r="D422" s="39" t="s">
        <v>4051</v>
      </c>
      <c r="E422" s="7">
        <v>4307</v>
      </c>
      <c r="F422" s="7" t="s">
        <v>4052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2274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f>IFERROR(SUMIF('LISTA DE EMBARQUE'!B:B,MICRO!E:E,'LISTA DE EMBARQUE'!G:G),"")</f>
        <v>0</v>
      </c>
      <c r="V422" s="12" t="str">
        <f>IFERROR(VLOOKUP(Tabela1[[#This Row],[COD.MDE]],'LISTA DE EMBARQUE'!B:L,11,0),"")</f>
        <v/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0</v>
      </c>
      <c r="Y422" s="14">
        <f t="shared" si="71"/>
        <v>-1</v>
      </c>
      <c r="Z422" s="20">
        <f>Tabela1[[#This Row],[PESO TOTAL]]-Tabela1[[#This Row],[Peso Expedido]]</f>
        <v>42.7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/>
      <c r="AI422" s="33" t="str">
        <f t="shared" si="69"/>
        <v/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T-072999-1/1073-TC-006</v>
      </c>
      <c r="AP422" t="str">
        <f>Tabela1[[#This Row],[TAG]]&amp;Tabela1[[#This Row],[PEDIDO]]&amp;Tabela1[[#This Row],[PRODUTO]]</f>
        <v>1073-TC-006P-188RMF</v>
      </c>
      <c r="AQ422" s="22" t="str">
        <f>Tabela1[[#This Row],[PRODUTO]]&amp;Tabela1[[#This Row],[TAG]]</f>
        <v>RMF1073-TC-006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42.7</v>
      </c>
      <c r="AU422" s="37">
        <f t="shared" si="72"/>
        <v>0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4057</v>
      </c>
      <c r="B423" s="21" t="s">
        <v>4061</v>
      </c>
      <c r="C423" s="7">
        <v>1</v>
      </c>
      <c r="D423" s="39" t="s">
        <v>4051</v>
      </c>
      <c r="E423" s="7">
        <v>4308</v>
      </c>
      <c r="F423" s="7" t="s">
        <v>4052</v>
      </c>
      <c r="G423" s="23">
        <v>42.7</v>
      </c>
      <c r="H423" s="34">
        <f>Tabela1[[#This Row],[PESO UNI]]*Tabela1[[#This Row],[QTE]]</f>
        <v>42.7</v>
      </c>
      <c r="I423" s="7">
        <v>0</v>
      </c>
      <c r="J423" s="8" t="s">
        <v>2276</v>
      </c>
      <c r="K423" s="8" t="s">
        <v>327</v>
      </c>
      <c r="L423" s="9" t="s">
        <v>2069</v>
      </c>
      <c r="M423" s="10">
        <v>46161</v>
      </c>
      <c r="N423" s="8" t="s">
        <v>327</v>
      </c>
      <c r="O423" s="12"/>
      <c r="P423" s="13"/>
      <c r="Q423" s="14">
        <f>Tabela1[[#This Row],[QTDE/ Fabricação]]-Tabela1[[#This Row],[QTE]]</f>
        <v>-1</v>
      </c>
      <c r="R423" s="18">
        <f t="shared" si="68"/>
        <v>42.7</v>
      </c>
      <c r="S423" s="18">
        <f t="shared" si="66"/>
        <v>42.7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-1</v>
      </c>
      <c r="Z423" s="20">
        <f>Tabela1[[#This Row],[PESO TOTAL]]-Tabela1[[#This Row],[Peso Expedido]]</f>
        <v>42.7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/>
      <c r="AI423" s="33" t="str">
        <f t="shared" si="69"/>
        <v/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T-072999-1/1073-TC-007</v>
      </c>
      <c r="AP423" t="str">
        <f>Tabela1[[#This Row],[TAG]]&amp;Tabela1[[#This Row],[PEDIDO]]&amp;Tabela1[[#This Row],[PRODUTO]]</f>
        <v>1073-TC-007P-188RMF</v>
      </c>
      <c r="AQ423" s="22" t="str">
        <f>Tabela1[[#This Row],[PRODUTO]]&amp;Tabela1[[#This Row],[TAG]]</f>
        <v>RMF1073-TC-007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42.7</v>
      </c>
      <c r="AU423" s="37">
        <f t="shared" si="72"/>
        <v>0</v>
      </c>
      <c r="AV423" s="37">
        <f t="shared" si="73"/>
        <v>42.7</v>
      </c>
      <c r="AW423" s="37"/>
    </row>
    <row r="424" spans="1:49" ht="15.75" hidden="1" customHeight="1" x14ac:dyDescent="0.25">
      <c r="A424" s="6" t="s">
        <v>3764</v>
      </c>
      <c r="B424" s="21" t="s">
        <v>3771</v>
      </c>
      <c r="C424" s="7">
        <v>24</v>
      </c>
      <c r="D424" s="39" t="s">
        <v>3415</v>
      </c>
      <c r="E424" s="7">
        <v>4309</v>
      </c>
      <c r="F424" s="7" t="s">
        <v>3767</v>
      </c>
      <c r="G424" s="23">
        <v>3</v>
      </c>
      <c r="H424" s="34">
        <f>Tabela1[[#This Row],[PESO UNI]]*Tabela1[[#This Row],[QTE]]</f>
        <v>72</v>
      </c>
      <c r="I424" s="7">
        <v>2</v>
      </c>
      <c r="J424" s="8" t="s">
        <v>2274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72</v>
      </c>
      <c r="S424" s="18">
        <f t="shared" si="66"/>
        <v>72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72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/>
      <c r="AI424" s="33" t="str">
        <f t="shared" si="69"/>
        <v/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T-072974-1/1073-TC-006</v>
      </c>
      <c r="AP424" t="str">
        <f>Tabela1[[#This Row],[TAG]]&amp;Tabela1[[#This Row],[PEDIDO]]&amp;Tabela1[[#This Row],[PRODUTO]]</f>
        <v>1073-TC-006P-188RMF</v>
      </c>
      <c r="AQ424" s="22" t="str">
        <f>Tabela1[[#This Row],[PRODUTO]]&amp;Tabela1[[#This Row],[TAG]]</f>
        <v>RMF1073-TC-006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72</v>
      </c>
      <c r="AU424" s="37">
        <f t="shared" si="72"/>
        <v>0</v>
      </c>
      <c r="AV424" s="37">
        <f t="shared" si="73"/>
        <v>72</v>
      </c>
      <c r="AW424" s="37"/>
    </row>
    <row r="425" spans="1:49" ht="15.75" hidden="1" customHeight="1" x14ac:dyDescent="0.25">
      <c r="A425" s="6" t="s">
        <v>3764</v>
      </c>
      <c r="B425" s="21" t="s">
        <v>3771</v>
      </c>
      <c r="C425" s="7">
        <v>24</v>
      </c>
      <c r="D425" s="39" t="s">
        <v>3415</v>
      </c>
      <c r="E425" s="7">
        <v>4310</v>
      </c>
      <c r="F425" s="7" t="s">
        <v>3767</v>
      </c>
      <c r="G425" s="23">
        <v>1.5</v>
      </c>
      <c r="H425" s="34">
        <f>Tabela1[[#This Row],[PESO UNI]]*Tabela1[[#This Row],[QTE]]</f>
        <v>36</v>
      </c>
      <c r="I425" s="7">
        <v>2</v>
      </c>
      <c r="J425" s="8" t="s">
        <v>2276</v>
      </c>
      <c r="K425" s="8" t="s">
        <v>327</v>
      </c>
      <c r="L425" s="9" t="s">
        <v>2069</v>
      </c>
      <c r="M425" s="10">
        <v>46178</v>
      </c>
      <c r="N425" s="8" t="s">
        <v>327</v>
      </c>
      <c r="O425" s="12"/>
      <c r="P425" s="13"/>
      <c r="Q425" s="14">
        <f>Tabela1[[#This Row],[QTDE/ Fabricação]]-Tabela1[[#This Row],[QTE]]</f>
        <v>-24</v>
      </c>
      <c r="R425" s="18">
        <f t="shared" si="68"/>
        <v>36</v>
      </c>
      <c r="S425" s="18">
        <f t="shared" si="66"/>
        <v>36</v>
      </c>
      <c r="T425" s="19">
        <f t="shared" si="70"/>
        <v>0</v>
      </c>
      <c r="U425" s="16">
        <f>IFERROR(SUMIF('LISTA DE EMBARQUE'!B:B,MICRO!E:E,'LISTA DE EMBARQUE'!G:G),"")</f>
        <v>0</v>
      </c>
      <c r="V425" s="12" t="str">
        <f>IFERROR(VLOOKUP(Tabela1[[#This Row],[COD.MDE]],'LISTA DE EMBARQUE'!B:L,11,0),"")</f>
        <v/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0</v>
      </c>
      <c r="Y425" s="14">
        <f t="shared" si="71"/>
        <v>-24</v>
      </c>
      <c r="Z425" s="20">
        <f>Tabela1[[#This Row],[PESO TOTAL]]-Tabela1[[#This Row],[Peso Expedido]]</f>
        <v>36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/>
      <c r="AI425" s="33" t="str">
        <f t="shared" si="69"/>
        <v/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T-072974-1/1073-TC-007</v>
      </c>
      <c r="AP425" t="str">
        <f>Tabela1[[#This Row],[TAG]]&amp;Tabela1[[#This Row],[PEDIDO]]&amp;Tabela1[[#This Row],[PRODUTO]]</f>
        <v>1073-TC-007P-188RMF</v>
      </c>
      <c r="AQ425" s="22" t="str">
        <f>Tabela1[[#This Row],[PRODUTO]]&amp;Tabela1[[#This Row],[TAG]]</f>
        <v>RMF1073-TC-007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36</v>
      </c>
      <c r="AU425" s="37">
        <f t="shared" si="72"/>
        <v>0</v>
      </c>
      <c r="AV425" s="37">
        <f t="shared" si="73"/>
        <v>36</v>
      </c>
      <c r="AW425" s="37"/>
    </row>
    <row r="426" spans="1:49" ht="15.75" hidden="1" customHeight="1" x14ac:dyDescent="0.25">
      <c r="A426" s="6" t="s">
        <v>3849</v>
      </c>
      <c r="B426" s="21" t="s">
        <v>4062</v>
      </c>
      <c r="C426" s="7">
        <v>2</v>
      </c>
      <c r="D426" s="39" t="s">
        <v>3415</v>
      </c>
      <c r="E426" s="7">
        <v>4311</v>
      </c>
      <c r="F426" s="7" t="s">
        <v>3789</v>
      </c>
      <c r="G426" s="23">
        <v>18.8</v>
      </c>
      <c r="H426" s="34">
        <f>Tabela1[[#This Row],[PESO UNI]]*Tabela1[[#This Row],[QTE]]</f>
        <v>37.6</v>
      </c>
      <c r="I426" s="7">
        <v>1</v>
      </c>
      <c r="J426" s="8" t="s">
        <v>3790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37.6</v>
      </c>
      <c r="S426" s="18">
        <f t="shared" si="66"/>
        <v>37.6</v>
      </c>
      <c r="T426" s="19">
        <f t="shared" si="70"/>
        <v>0</v>
      </c>
      <c r="U426" s="16">
        <f>IFERROR(SUMIF('LISTA DE EMBARQUE'!B:B,MICRO!E:E,'LISTA DE EMBARQUE'!G:G),"")</f>
        <v>0</v>
      </c>
      <c r="V426" s="12" t="str">
        <f>IFERROR(VLOOKUP(Tabela1[[#This Row],[COD.MDE]],'LISTA DE EMBARQUE'!B:L,11,0),"")</f>
        <v/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0</v>
      </c>
      <c r="Y426" s="14">
        <f t="shared" si="71"/>
        <v>-2</v>
      </c>
      <c r="Z426" s="20">
        <f>Tabela1[[#This Row],[PESO TOTAL]]-Tabela1[[#This Row],[Peso Expedido]]</f>
        <v>37.6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/>
      <c r="AI426" s="33" t="str">
        <f t="shared" si="69"/>
        <v/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37.6</v>
      </c>
      <c r="AU426" s="37">
        <f t="shared" si="72"/>
        <v>0</v>
      </c>
      <c r="AV426" s="37">
        <f t="shared" si="73"/>
        <v>37.6</v>
      </c>
      <c r="AW426" s="37"/>
    </row>
    <row r="427" spans="1:49" ht="15.75" hidden="1" customHeight="1" x14ac:dyDescent="0.25">
      <c r="A427" s="6" t="s">
        <v>3849</v>
      </c>
      <c r="B427" s="21" t="s">
        <v>4063</v>
      </c>
      <c r="C427" s="7">
        <v>2</v>
      </c>
      <c r="D427" s="39" t="s">
        <v>3415</v>
      </c>
      <c r="E427" s="7">
        <v>4312</v>
      </c>
      <c r="F427" s="7" t="s">
        <v>3789</v>
      </c>
      <c r="G427" s="23">
        <v>28.3</v>
      </c>
      <c r="H427" s="34">
        <f>Tabela1[[#This Row],[PESO UNI]]*Tabela1[[#This Row],[QTE]]</f>
        <v>56.6</v>
      </c>
      <c r="I427" s="7">
        <v>1</v>
      </c>
      <c r="J427" s="8" t="s">
        <v>3790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-2</v>
      </c>
      <c r="R427" s="18">
        <f t="shared" si="68"/>
        <v>56.6</v>
      </c>
      <c r="S427" s="18">
        <f t="shared" si="66"/>
        <v>56.6</v>
      </c>
      <c r="T427" s="19">
        <f t="shared" si="70"/>
        <v>0</v>
      </c>
      <c r="U427" s="16">
        <f>IFERROR(SUMIF('LISTA DE EMBARQUE'!B:B,MICRO!E:E,'LISTA DE EMBARQUE'!G:G),"")</f>
        <v>0</v>
      </c>
      <c r="V427" s="12" t="str">
        <f>IFERROR(VLOOKUP(Tabela1[[#This Row],[COD.MDE]],'LISTA DE EMBARQUE'!B:L,11,0),"")</f>
        <v/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0</v>
      </c>
      <c r="Y427" s="14">
        <f t="shared" si="71"/>
        <v>-2</v>
      </c>
      <c r="Z427" s="20">
        <f>Tabela1[[#This Row],[PESO TOTAL]]-Tabela1[[#This Row],[Peso Expedido]]</f>
        <v>56.6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/>
      <c r="AI427" s="33" t="str">
        <f t="shared" si="69"/>
        <v/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T-072966-1/1073-TC-006/007</v>
      </c>
      <c r="AP427" t="str">
        <f>Tabela1[[#This Row],[TAG]]&amp;Tabela1[[#This Row],[PEDIDO]]&amp;Tabela1[[#This Row],[PRODUTO]]</f>
        <v>1073-TC-006/007P-188RMF</v>
      </c>
      <c r="AQ427" s="22" t="str">
        <f>Tabela1[[#This Row],[PRODUTO]]&amp;Tabela1[[#This Row],[TAG]]</f>
        <v>RMF1073-TC-006/007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56.6</v>
      </c>
      <c r="AU427" s="37">
        <f t="shared" si="72"/>
        <v>0</v>
      </c>
      <c r="AV427" s="37">
        <f t="shared" si="73"/>
        <v>56.6</v>
      </c>
      <c r="AW427" s="37"/>
    </row>
    <row r="428" spans="1:49" ht="15.75" hidden="1" customHeight="1" x14ac:dyDescent="0.25">
      <c r="A428" s="6" t="s">
        <v>4064</v>
      </c>
      <c r="B428" s="21" t="s">
        <v>3774</v>
      </c>
      <c r="C428" s="7">
        <v>1</v>
      </c>
      <c r="D428" s="39" t="s">
        <v>3777</v>
      </c>
      <c r="E428" s="7">
        <v>4313</v>
      </c>
      <c r="F428" s="7" t="s">
        <v>4065</v>
      </c>
      <c r="G428" s="23">
        <v>43.8</v>
      </c>
      <c r="H428" s="34">
        <f>Tabela1[[#This Row],[PESO UNI]]*Tabela1[[#This Row],[QTE]]</f>
        <v>43.8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-1</v>
      </c>
      <c r="R428" s="18">
        <f t="shared" si="68"/>
        <v>43.8</v>
      </c>
      <c r="S428" s="18">
        <f t="shared" si="66"/>
        <v>43.8</v>
      </c>
      <c r="T428" s="19">
        <f t="shared" si="70"/>
        <v>0</v>
      </c>
      <c r="U428" s="16">
        <f>IFERROR(SUMIF('LISTA DE EMBARQUE'!B:B,MICRO!E:E,'LISTA DE EMBARQUE'!G:G),"")</f>
        <v>0</v>
      </c>
      <c r="V428" s="12" t="str">
        <f>IFERROR(VLOOKUP(Tabela1[[#This Row],[COD.MDE]],'LISTA DE EMBARQUE'!B:L,11,0),"")</f>
        <v/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0</v>
      </c>
      <c r="Y428" s="14">
        <f t="shared" si="71"/>
        <v>-1</v>
      </c>
      <c r="Z428" s="20">
        <f>Tabela1[[#This Row],[PESO TOTAL]]-Tabela1[[#This Row],[Peso Expedido]]</f>
        <v>43.8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/>
      <c r="AI428" s="33" t="str">
        <f t="shared" si="69"/>
        <v/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43.8</v>
      </c>
      <c r="AU428" s="37">
        <f t="shared" si="72"/>
        <v>0</v>
      </c>
      <c r="AV428" s="37">
        <f t="shared" si="73"/>
        <v>43.8</v>
      </c>
      <c r="AW428" s="37"/>
    </row>
    <row r="429" spans="1:49" ht="15.75" hidden="1" customHeight="1" x14ac:dyDescent="0.25">
      <c r="A429" s="6" t="s">
        <v>4064</v>
      </c>
      <c r="B429" s="21" t="s">
        <v>3776</v>
      </c>
      <c r="C429" s="7">
        <v>4</v>
      </c>
      <c r="D429" s="39" t="s">
        <v>4066</v>
      </c>
      <c r="E429" s="7">
        <v>4314</v>
      </c>
      <c r="F429" s="7" t="s">
        <v>4065</v>
      </c>
      <c r="G429" s="23">
        <v>0.4</v>
      </c>
      <c r="H429" s="34">
        <f>Tabela1[[#This Row],[PESO UNI]]*Tabela1[[#This Row],[QTE]]</f>
        <v>1.6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1.6</v>
      </c>
      <c r="S429" s="18">
        <f t="shared" si="66"/>
        <v>1.6</v>
      </c>
      <c r="T429" s="19">
        <f t="shared" si="70"/>
        <v>0</v>
      </c>
      <c r="U429" s="16">
        <f>IFERROR(SUMIF('LISTA DE EMBARQUE'!B:B,MICRO!E:E,'LISTA DE EMBARQUE'!G:G),"")</f>
        <v>0</v>
      </c>
      <c r="V429" s="12" t="str">
        <f>IFERROR(VLOOKUP(Tabela1[[#This Row],[COD.MDE]],'LISTA DE EMBARQUE'!B:L,11,0),"")</f>
        <v/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0</v>
      </c>
      <c r="Y429" s="14">
        <f t="shared" si="71"/>
        <v>-4</v>
      </c>
      <c r="Z429" s="20">
        <f>Tabela1[[#This Row],[PESO TOTAL]]-Tabela1[[#This Row],[Peso Expedido]]</f>
        <v>1.6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/>
      <c r="AI429" s="33" t="str">
        <f t="shared" si="69"/>
        <v/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1.6</v>
      </c>
      <c r="AU429" s="37">
        <f t="shared" si="72"/>
        <v>0</v>
      </c>
      <c r="AV429" s="37">
        <f t="shared" si="73"/>
        <v>1.6</v>
      </c>
      <c r="AW429" s="37"/>
    </row>
    <row r="430" spans="1:49" ht="15.75" hidden="1" customHeight="1" x14ac:dyDescent="0.25">
      <c r="A430" s="6" t="s">
        <v>4064</v>
      </c>
      <c r="B430" s="21" t="s">
        <v>3778</v>
      </c>
      <c r="C430" s="7">
        <v>4</v>
      </c>
      <c r="D430" s="39" t="s">
        <v>4067</v>
      </c>
      <c r="E430" s="7">
        <v>4315</v>
      </c>
      <c r="F430" s="7" t="s">
        <v>4065</v>
      </c>
      <c r="G430" s="23">
        <v>0.9</v>
      </c>
      <c r="H430" s="34">
        <f>Tabela1[[#This Row],[PESO UNI]]*Tabela1[[#This Row],[QTE]]</f>
        <v>3.6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-4</v>
      </c>
      <c r="R430" s="18">
        <f t="shared" si="68"/>
        <v>3.6</v>
      </c>
      <c r="S430" s="18">
        <f t="shared" si="66"/>
        <v>3.6</v>
      </c>
      <c r="T430" s="19">
        <f t="shared" si="70"/>
        <v>0</v>
      </c>
      <c r="U430" s="16">
        <f>IFERROR(SUMIF('LISTA DE EMBARQUE'!B:B,MICRO!E:E,'LISTA DE EMBARQUE'!G:G),"")</f>
        <v>0</v>
      </c>
      <c r="V430" s="12" t="str">
        <f>IFERROR(VLOOKUP(Tabela1[[#This Row],[COD.MDE]],'LISTA DE EMBARQUE'!B:L,11,0),"")</f>
        <v/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0</v>
      </c>
      <c r="Y430" s="14">
        <f t="shared" si="71"/>
        <v>-4</v>
      </c>
      <c r="Z430" s="20">
        <f>Tabela1[[#This Row],[PESO TOTAL]]-Tabela1[[#This Row],[Peso Expedido]]</f>
        <v>3.6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/>
      <c r="AI430" s="33" t="str">
        <f t="shared" si="69"/>
        <v/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3.6</v>
      </c>
      <c r="AU430" s="37">
        <f t="shared" si="72"/>
        <v>0</v>
      </c>
      <c r="AV430" s="37">
        <f t="shared" si="73"/>
        <v>3.6</v>
      </c>
      <c r="AW430" s="37"/>
    </row>
    <row r="431" spans="1:49" ht="15.75" hidden="1" customHeight="1" x14ac:dyDescent="0.25">
      <c r="A431" s="6" t="s">
        <v>4064</v>
      </c>
      <c r="B431" s="21" t="s">
        <v>3983</v>
      </c>
      <c r="C431" s="7">
        <v>1</v>
      </c>
      <c r="D431" s="39" t="s">
        <v>4068</v>
      </c>
      <c r="E431" s="7">
        <v>4316</v>
      </c>
      <c r="F431" s="7" t="s">
        <v>4065</v>
      </c>
      <c r="G431" s="23">
        <v>4.4000000000000004</v>
      </c>
      <c r="H431" s="34">
        <f>Tabela1[[#This Row],[PESO UNI]]*Tabela1[[#This Row],[QTE]]</f>
        <v>4.4000000000000004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4.4000000000000004</v>
      </c>
      <c r="S431" s="18">
        <f t="shared" si="66"/>
        <v>4.4000000000000004</v>
      </c>
      <c r="T431" s="19">
        <f t="shared" si="70"/>
        <v>0</v>
      </c>
      <c r="U431" s="16">
        <f>IFERROR(SUMIF('LISTA DE EMBARQUE'!B:B,MICRO!E:E,'LISTA DE EMBARQUE'!G:G),"")</f>
        <v>0</v>
      </c>
      <c r="V431" s="12" t="str">
        <f>IFERROR(VLOOKUP(Tabela1[[#This Row],[COD.MDE]],'LISTA DE EMBARQUE'!B:L,11,0),"")</f>
        <v/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0</v>
      </c>
      <c r="Y431" s="14">
        <f t="shared" si="71"/>
        <v>-1</v>
      </c>
      <c r="Z431" s="20">
        <f>Tabela1[[#This Row],[PESO TOTAL]]-Tabela1[[#This Row],[Peso Expedido]]</f>
        <v>4.4000000000000004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/>
      <c r="AI431" s="33" t="str">
        <f t="shared" si="69"/>
        <v/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4.4000000000000004</v>
      </c>
      <c r="AU431" s="37">
        <f t="shared" si="72"/>
        <v>0</v>
      </c>
      <c r="AV431" s="37">
        <f t="shared" si="73"/>
        <v>4.4000000000000004</v>
      </c>
      <c r="AW431" s="37"/>
    </row>
    <row r="432" spans="1:49" ht="15.75" hidden="1" customHeight="1" x14ac:dyDescent="0.25">
      <c r="A432" s="6" t="s">
        <v>4064</v>
      </c>
      <c r="B432" s="21" t="s">
        <v>4002</v>
      </c>
      <c r="C432" s="7">
        <v>1</v>
      </c>
      <c r="D432" s="39" t="s">
        <v>4068</v>
      </c>
      <c r="E432" s="7">
        <v>4317</v>
      </c>
      <c r="F432" s="7" t="s">
        <v>4065</v>
      </c>
      <c r="G432" s="23">
        <v>3.9</v>
      </c>
      <c r="H432" s="34">
        <f>Tabela1[[#This Row],[PESO UNI]]*Tabela1[[#This Row],[QTE]]</f>
        <v>3.9</v>
      </c>
      <c r="I432" s="7">
        <v>0</v>
      </c>
      <c r="J432" s="8" t="s">
        <v>2274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3.9</v>
      </c>
      <c r="S432" s="18">
        <f t="shared" si="66"/>
        <v>3.9</v>
      </c>
      <c r="T432" s="19">
        <f t="shared" si="70"/>
        <v>0</v>
      </c>
      <c r="U432" s="16">
        <f>IFERROR(SUMIF('LISTA DE EMBARQUE'!B:B,MICRO!E:E,'LISTA DE EMBARQUE'!G:G),"")</f>
        <v>0</v>
      </c>
      <c r="V432" s="12" t="str">
        <f>IFERROR(VLOOKUP(Tabela1[[#This Row],[COD.MDE]],'LISTA DE EMBARQUE'!B:L,11,0),"")</f>
        <v/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0</v>
      </c>
      <c r="Y432" s="14">
        <f t="shared" si="71"/>
        <v>-1</v>
      </c>
      <c r="Z432" s="20">
        <f>Tabela1[[#This Row],[PESO TOTAL]]-Tabela1[[#This Row],[Peso Expedido]]</f>
        <v>3.9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/>
      <c r="AI432" s="33" t="str">
        <f t="shared" si="69"/>
        <v/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T-073005-1/1073-TC-006</v>
      </c>
      <c r="AP432" t="str">
        <f>Tabela1[[#This Row],[TAG]]&amp;Tabela1[[#This Row],[PEDIDO]]&amp;Tabela1[[#This Row],[PRODUTO]]</f>
        <v>1073-TC-006P-188RMF</v>
      </c>
      <c r="AQ432" s="22" t="str">
        <f>Tabela1[[#This Row],[PRODUTO]]&amp;Tabela1[[#This Row],[TAG]]</f>
        <v>RMF1073-TC-006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3.9</v>
      </c>
      <c r="AU432" s="37">
        <f t="shared" si="72"/>
        <v>0</v>
      </c>
      <c r="AV432" s="37">
        <f t="shared" si="73"/>
        <v>3.9</v>
      </c>
      <c r="AW432" s="37"/>
    </row>
    <row r="433" spans="1:49" ht="15.75" hidden="1" customHeight="1" x14ac:dyDescent="0.25">
      <c r="A433" s="6" t="s">
        <v>4064</v>
      </c>
      <c r="B433" s="21" t="s">
        <v>3774</v>
      </c>
      <c r="C433" s="7">
        <v>1</v>
      </c>
      <c r="D433" s="39" t="s">
        <v>3777</v>
      </c>
      <c r="E433" s="7">
        <v>4318</v>
      </c>
      <c r="F433" s="7" t="s">
        <v>4065</v>
      </c>
      <c r="G433" s="23">
        <v>43.8</v>
      </c>
      <c r="H433" s="34">
        <f>Tabela1[[#This Row],[PESO UNI]]*Tabela1[[#This Row],[QTE]]</f>
        <v>43.8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-1</v>
      </c>
      <c r="R433" s="18">
        <f t="shared" si="68"/>
        <v>43.8</v>
      </c>
      <c r="S433" s="18">
        <f t="shared" si="66"/>
        <v>43.8</v>
      </c>
      <c r="T433" s="19">
        <f t="shared" si="70"/>
        <v>0</v>
      </c>
      <c r="U433" s="16">
        <f>IFERROR(SUMIF('LISTA DE EMBARQUE'!B:B,MICRO!E:E,'LISTA DE EMBARQUE'!G:G),"")</f>
        <v>0</v>
      </c>
      <c r="V433" s="12" t="str">
        <f>IFERROR(VLOOKUP(Tabela1[[#This Row],[COD.MDE]],'LISTA DE EMBARQUE'!B:L,11,0),"")</f>
        <v/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0</v>
      </c>
      <c r="Y433" s="14">
        <f t="shared" si="71"/>
        <v>-1</v>
      </c>
      <c r="Z433" s="20">
        <f>Tabela1[[#This Row],[PESO TOTAL]]-Tabela1[[#This Row],[Peso Expedido]]</f>
        <v>43.8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/>
      <c r="AI433" s="33" t="str">
        <f t="shared" si="69"/>
        <v/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43.8</v>
      </c>
      <c r="AU433" s="37">
        <f t="shared" si="72"/>
        <v>0</v>
      </c>
      <c r="AV433" s="37">
        <f t="shared" si="73"/>
        <v>43.8</v>
      </c>
      <c r="AW433" s="37"/>
    </row>
    <row r="434" spans="1:49" ht="15.75" hidden="1" customHeight="1" x14ac:dyDescent="0.25">
      <c r="A434" s="6" t="s">
        <v>4064</v>
      </c>
      <c r="B434" s="21" t="s">
        <v>3776</v>
      </c>
      <c r="C434" s="7">
        <v>4</v>
      </c>
      <c r="D434" s="39" t="s">
        <v>4066</v>
      </c>
      <c r="E434" s="7">
        <v>4319</v>
      </c>
      <c r="F434" s="7" t="s">
        <v>4065</v>
      </c>
      <c r="G434" s="23">
        <v>0.4</v>
      </c>
      <c r="H434" s="34">
        <f>Tabela1[[#This Row],[PESO UNI]]*Tabela1[[#This Row],[QTE]]</f>
        <v>1.6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1.6</v>
      </c>
      <c r="S434" s="18">
        <f t="shared" si="66"/>
        <v>1.6</v>
      </c>
      <c r="T434" s="19">
        <f t="shared" si="70"/>
        <v>0</v>
      </c>
      <c r="U434" s="16">
        <f>IFERROR(SUMIF('LISTA DE EMBARQUE'!B:B,MICRO!E:E,'LISTA DE EMBARQUE'!G:G),"")</f>
        <v>0</v>
      </c>
      <c r="V434" s="12" t="str">
        <f>IFERROR(VLOOKUP(Tabela1[[#This Row],[COD.MDE]],'LISTA DE EMBARQUE'!B:L,11,0),"")</f>
        <v/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0</v>
      </c>
      <c r="Y434" s="14">
        <f t="shared" si="71"/>
        <v>-4</v>
      </c>
      <c r="Z434" s="20">
        <f>Tabela1[[#This Row],[PESO TOTAL]]-Tabela1[[#This Row],[Peso Expedido]]</f>
        <v>1.6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/>
      <c r="AI434" s="33" t="str">
        <f t="shared" si="69"/>
        <v/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1.6</v>
      </c>
      <c r="AU434" s="37">
        <f t="shared" si="72"/>
        <v>0</v>
      </c>
      <c r="AV434" s="37">
        <f t="shared" si="73"/>
        <v>1.6</v>
      </c>
      <c r="AW434" s="37"/>
    </row>
    <row r="435" spans="1:49" ht="15.75" hidden="1" customHeight="1" x14ac:dyDescent="0.25">
      <c r="A435" s="6" t="s">
        <v>4064</v>
      </c>
      <c r="B435" s="21" t="s">
        <v>3778</v>
      </c>
      <c r="C435" s="7">
        <v>4</v>
      </c>
      <c r="D435" s="39" t="s">
        <v>4067</v>
      </c>
      <c r="E435" s="7">
        <v>4320</v>
      </c>
      <c r="F435" s="7" t="s">
        <v>4065</v>
      </c>
      <c r="G435" s="23">
        <v>0.9</v>
      </c>
      <c r="H435" s="34">
        <f>Tabela1[[#This Row],[PESO UNI]]*Tabela1[[#This Row],[QTE]]</f>
        <v>3.6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-4</v>
      </c>
      <c r="R435" s="18">
        <f t="shared" si="68"/>
        <v>3.6</v>
      </c>
      <c r="S435" s="18">
        <f t="shared" si="66"/>
        <v>3.6</v>
      </c>
      <c r="T435" s="19">
        <f t="shared" si="70"/>
        <v>0</v>
      </c>
      <c r="U435" s="16">
        <f>IFERROR(SUMIF('LISTA DE EMBARQUE'!B:B,MICRO!E:E,'LISTA DE EMBARQUE'!G:G),"")</f>
        <v>0</v>
      </c>
      <c r="V435" s="12" t="str">
        <f>IFERROR(VLOOKUP(Tabela1[[#This Row],[COD.MDE]],'LISTA DE EMBARQUE'!B:L,11,0),"")</f>
        <v/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0</v>
      </c>
      <c r="Y435" s="14">
        <f t="shared" si="71"/>
        <v>-4</v>
      </c>
      <c r="Z435" s="20">
        <f>Tabela1[[#This Row],[PESO TOTAL]]-Tabela1[[#This Row],[Peso Expedido]]</f>
        <v>3.6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/>
      <c r="AI435" s="33" t="str">
        <f t="shared" si="69"/>
        <v/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3.6</v>
      </c>
      <c r="AU435" s="37">
        <f t="shared" si="72"/>
        <v>0</v>
      </c>
      <c r="AV435" s="37">
        <f t="shared" si="73"/>
        <v>3.6</v>
      </c>
      <c r="AW435" s="37"/>
    </row>
    <row r="436" spans="1:49" ht="15.75" hidden="1" customHeight="1" x14ac:dyDescent="0.25">
      <c r="A436" s="6" t="s">
        <v>4064</v>
      </c>
      <c r="B436" s="21" t="s">
        <v>3983</v>
      </c>
      <c r="C436" s="7">
        <v>1</v>
      </c>
      <c r="D436" s="39" t="s">
        <v>4068</v>
      </c>
      <c r="E436" s="7">
        <v>4321</v>
      </c>
      <c r="F436" s="7" t="s">
        <v>4065</v>
      </c>
      <c r="G436" s="23">
        <v>4.4000000000000004</v>
      </c>
      <c r="H436" s="34">
        <f>Tabela1[[#This Row],[PESO UNI]]*Tabela1[[#This Row],[QTE]]</f>
        <v>4.4000000000000004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4.4000000000000004</v>
      </c>
      <c r="S436" s="18">
        <f t="shared" si="66"/>
        <v>4.4000000000000004</v>
      </c>
      <c r="T436" s="19">
        <f t="shared" si="70"/>
        <v>0</v>
      </c>
      <c r="U436" s="16">
        <f>IFERROR(SUMIF('LISTA DE EMBARQUE'!B:B,MICRO!E:E,'LISTA DE EMBARQUE'!G:G),"")</f>
        <v>0</v>
      </c>
      <c r="V436" s="12" t="str">
        <f>IFERROR(VLOOKUP(Tabela1[[#This Row],[COD.MDE]],'LISTA DE EMBARQUE'!B:L,11,0),"")</f>
        <v/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0</v>
      </c>
      <c r="Y436" s="14">
        <f t="shared" si="71"/>
        <v>-1</v>
      </c>
      <c r="Z436" s="20">
        <f>Tabela1[[#This Row],[PESO TOTAL]]-Tabela1[[#This Row],[Peso Expedido]]</f>
        <v>4.4000000000000004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/>
      <c r="AI436" s="33" t="str">
        <f t="shared" si="69"/>
        <v/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4.4000000000000004</v>
      </c>
      <c r="AU436" s="37">
        <f t="shared" si="72"/>
        <v>0</v>
      </c>
      <c r="AV436" s="37">
        <f t="shared" si="73"/>
        <v>4.4000000000000004</v>
      </c>
      <c r="AW436" s="37"/>
    </row>
    <row r="437" spans="1:49" ht="15.75" hidden="1" customHeight="1" x14ac:dyDescent="0.25">
      <c r="A437" s="6" t="s">
        <v>4064</v>
      </c>
      <c r="B437" s="21" t="s">
        <v>4002</v>
      </c>
      <c r="C437" s="7">
        <v>1</v>
      </c>
      <c r="D437" s="39" t="s">
        <v>4068</v>
      </c>
      <c r="E437" s="7">
        <v>4322</v>
      </c>
      <c r="F437" s="7" t="s">
        <v>4065</v>
      </c>
      <c r="G437" s="23">
        <v>3.9</v>
      </c>
      <c r="H437" s="34">
        <f>Tabela1[[#This Row],[PESO UNI]]*Tabela1[[#This Row],[QTE]]</f>
        <v>3.9</v>
      </c>
      <c r="I437" s="7">
        <v>0</v>
      </c>
      <c r="J437" s="8" t="s">
        <v>2276</v>
      </c>
      <c r="K437" s="8" t="s">
        <v>327</v>
      </c>
      <c r="L437" s="9" t="s">
        <v>2069</v>
      </c>
      <c r="M437" s="10">
        <v>46181</v>
      </c>
      <c r="N437" s="8" t="s">
        <v>327</v>
      </c>
      <c r="O437" s="12"/>
      <c r="P437" s="13"/>
      <c r="Q437" s="14">
        <f>Tabela1[[#This Row],[QTDE/ Fabricação]]-Tabela1[[#This Row],[QTE]]</f>
        <v>-1</v>
      </c>
      <c r="R437" s="18">
        <f t="shared" si="68"/>
        <v>3.9</v>
      </c>
      <c r="S437" s="18">
        <f t="shared" si="66"/>
        <v>3.9</v>
      </c>
      <c r="T437" s="19">
        <f t="shared" si="70"/>
        <v>0</v>
      </c>
      <c r="U437" s="16">
        <f>IFERROR(SUMIF('LISTA DE EMBARQUE'!B:B,MICRO!E:E,'LISTA DE EMBARQUE'!G:G),"")</f>
        <v>0</v>
      </c>
      <c r="V437" s="12" t="str">
        <f>IFERROR(VLOOKUP(Tabela1[[#This Row],[COD.MDE]],'LISTA DE EMBARQUE'!B:L,11,0),"")</f>
        <v/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0</v>
      </c>
      <c r="Y437" s="14">
        <f t="shared" si="71"/>
        <v>-1</v>
      </c>
      <c r="Z437" s="20">
        <f>Tabela1[[#This Row],[PESO TOTAL]]-Tabela1[[#This Row],[Peso Expedido]]</f>
        <v>3.9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/>
      <c r="AI437" s="33" t="str">
        <f t="shared" si="69"/>
        <v/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T-073005-1/1073-TC-007</v>
      </c>
      <c r="AP437" t="str">
        <f>Tabela1[[#This Row],[TAG]]&amp;Tabela1[[#This Row],[PEDIDO]]&amp;Tabela1[[#This Row],[PRODUTO]]</f>
        <v>1073-TC-007P-188RMF</v>
      </c>
      <c r="AQ437" s="22" t="str">
        <f>Tabela1[[#This Row],[PRODUTO]]&amp;Tabela1[[#This Row],[TAG]]</f>
        <v>RMF1073-TC-007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3.9</v>
      </c>
      <c r="AU437" s="37">
        <f t="shared" si="72"/>
        <v>0</v>
      </c>
      <c r="AV437" s="37">
        <f t="shared" si="73"/>
        <v>3.9</v>
      </c>
      <c r="AW437" s="37"/>
    </row>
    <row r="438" spans="1:49" ht="15.75" hidden="1" customHeight="1" x14ac:dyDescent="0.25">
      <c r="A438" s="6" t="s">
        <v>3864</v>
      </c>
      <c r="B438" s="21" t="s">
        <v>4069</v>
      </c>
      <c r="C438" s="7">
        <v>2</v>
      </c>
      <c r="D438" s="39" t="s">
        <v>4070</v>
      </c>
      <c r="E438" s="7">
        <v>4323</v>
      </c>
      <c r="F438" s="7" t="s">
        <v>3789</v>
      </c>
      <c r="G438" s="23">
        <v>4.4800000000000004</v>
      </c>
      <c r="H438" s="34">
        <f>Tabela1[[#This Row],[PESO UNI]]*Tabela1[[#This Row],[QTE]]</f>
        <v>8.9600000000000009</v>
      </c>
      <c r="I438" s="7">
        <v>3</v>
      </c>
      <c r="J438" s="8" t="s">
        <v>3790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8.9600000000000009</v>
      </c>
      <c r="S438" s="18">
        <f t="shared" ref="S438:S507" si="74">IFERROR(H438*AG438,"")</f>
        <v>8.9600000000000009</v>
      </c>
      <c r="T438" s="19">
        <f t="shared" si="70"/>
        <v>0</v>
      </c>
      <c r="U438" s="16">
        <f>IFERROR(SUMIF('LISTA DE EMBARQUE'!B:B,MICRO!E:E,'LISTA DE EMBARQUE'!G:G),"")</f>
        <v>0</v>
      </c>
      <c r="V438" s="12" t="str">
        <f>IFERROR(VLOOKUP(Tabela1[[#This Row],[COD.MDE]],'LISTA DE EMBARQUE'!B:L,11,0),"")</f>
        <v/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0</v>
      </c>
      <c r="Y438" s="14">
        <f t="shared" si="71"/>
        <v>-2</v>
      </c>
      <c r="Z438" s="20">
        <f>Tabela1[[#This Row],[PESO TOTAL]]-Tabela1[[#This Row],[Peso Expedido]]</f>
        <v>8.9600000000000009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/>
      <c r="AI438" s="33" t="str">
        <f t="shared" si="69"/>
        <v/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8.9600000000000009</v>
      </c>
      <c r="AU438" s="37">
        <f t="shared" si="72"/>
        <v>0</v>
      </c>
      <c r="AV438" s="37">
        <f t="shared" si="73"/>
        <v>8.9600000000000009</v>
      </c>
      <c r="AW438" s="37"/>
    </row>
    <row r="439" spans="1:49" ht="15.75" hidden="1" customHeight="1" x14ac:dyDescent="0.25">
      <c r="A439" s="6" t="s">
        <v>3864</v>
      </c>
      <c r="B439" s="21" t="s">
        <v>4071</v>
      </c>
      <c r="C439" s="7">
        <v>2</v>
      </c>
      <c r="D439" s="39" t="s">
        <v>4072</v>
      </c>
      <c r="E439" s="7">
        <v>4324</v>
      </c>
      <c r="F439" s="7" t="s">
        <v>3789</v>
      </c>
      <c r="G439" s="23">
        <v>58.694200000000002</v>
      </c>
      <c r="H439" s="34">
        <f>Tabela1[[#This Row],[PESO UNI]]*Tabela1[[#This Row],[QTE]]</f>
        <v>117.3884</v>
      </c>
      <c r="I439" s="7">
        <v>3</v>
      </c>
      <c r="J439" s="8" t="s">
        <v>3790</v>
      </c>
      <c r="K439" s="8" t="s">
        <v>327</v>
      </c>
      <c r="L439" s="9" t="s">
        <v>2069</v>
      </c>
      <c r="M439" s="10">
        <v>46192</v>
      </c>
      <c r="N439" s="8" t="s">
        <v>327</v>
      </c>
      <c r="O439" s="12"/>
      <c r="P439" s="13"/>
      <c r="Q439" s="14">
        <f>Tabela1[[#This Row],[QTDE/ Fabricação]]-Tabela1[[#This Row],[QTE]]</f>
        <v>-2</v>
      </c>
      <c r="R439" s="18">
        <f t="shared" si="68"/>
        <v>117.3884</v>
      </c>
      <c r="S439" s="18">
        <f t="shared" si="74"/>
        <v>117.3884</v>
      </c>
      <c r="T439" s="19">
        <f t="shared" si="70"/>
        <v>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IFERROR(VLOOKUP(Tabela1[[#This Row],[COD.MDE]],'LISTA DE EMBARQUE'!B:M,12,0),"")</f>
        <v/>
      </c>
      <c r="X439" s="14">
        <f>IFERROR(Tabela1[[#This Row],[QIANTIDADE EXPEDIDA]]*Tabela1[[#This Row],[PESO UNI]],"")</f>
        <v>0</v>
      </c>
      <c r="Y439" s="14">
        <f t="shared" si="71"/>
        <v>-2</v>
      </c>
      <c r="Z439" s="20">
        <f>Tabela1[[#This Row],[PESO TOTAL]]-Tabela1[[#This Row],[Peso Expedido]]</f>
        <v>117.3884</v>
      </c>
      <c r="AA439" s="17">
        <v>1</v>
      </c>
      <c r="AB439" s="33"/>
      <c r="AC439" s="33">
        <v>1</v>
      </c>
      <c r="AD439" s="33">
        <v>1</v>
      </c>
      <c r="AE439" s="33">
        <v>1</v>
      </c>
      <c r="AF439" s="33">
        <v>1</v>
      </c>
      <c r="AG439" s="33">
        <v>1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P-188</v>
      </c>
      <c r="AL439"/>
      <c r="AM439"/>
      <c r="AN439"/>
      <c r="AO439" t="str">
        <f t="shared" si="67"/>
        <v>T-072962-1/1073-TC-006/007</v>
      </c>
      <c r="AP439" t="str">
        <f>Tabela1[[#This Row],[TAG]]&amp;Tabela1[[#This Row],[PEDIDO]]&amp;Tabela1[[#This Row],[PRODUTO]]</f>
        <v>1073-TC-006/007P-188RMF</v>
      </c>
      <c r="AQ439" s="22" t="str">
        <f>Tabela1[[#This Row],[PRODUTO]]&amp;Tabela1[[#This Row],[TAG]]</f>
        <v>RMF1073-TC-006/007</v>
      </c>
      <c r="AR439" s="24" t="str">
        <f>Tabela1[[#This Row],[PEDIDO]]&amp;Tabela1[[#This Row],[PRODUTO]]</f>
        <v>P-188RMF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117.3884</v>
      </c>
      <c r="AU439" s="37">
        <f t="shared" si="72"/>
        <v>0</v>
      </c>
      <c r="AV439" s="37">
        <f t="shared" si="73"/>
        <v>117.3884</v>
      </c>
      <c r="AW439" s="37"/>
    </row>
    <row r="440" spans="1:49" ht="15.75" hidden="1" customHeight="1" x14ac:dyDescent="0.25">
      <c r="A440" s="6" t="s">
        <v>79</v>
      </c>
      <c r="B440" s="21"/>
      <c r="C440" s="7">
        <v>6</v>
      </c>
      <c r="D440" s="39" t="s">
        <v>4298</v>
      </c>
      <c r="E440" s="7">
        <v>4325</v>
      </c>
      <c r="F440" s="7">
        <v>1</v>
      </c>
      <c r="G440" s="23">
        <v>10</v>
      </c>
      <c r="H440" s="34">
        <f>Tabela1[[#This Row],[PESO UNI]]*Tabela1[[#This Row],[QTE]]</f>
        <v>60</v>
      </c>
      <c r="I440" s="7">
        <v>0</v>
      </c>
      <c r="J440" s="8" t="s">
        <v>4299</v>
      </c>
      <c r="K440" s="8" t="s">
        <v>23</v>
      </c>
      <c r="L440" s="9" t="s">
        <v>4300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" si="75">IFERROR(H440*((AA440*0.25)+(AC440*0.25)+(AD440*0.225)+(AE440*0.225)+(AF440*0.05)),"")</f>
        <v>51.75</v>
      </c>
      <c r="S440" s="18">
        <f t="shared" si="74"/>
        <v>30</v>
      </c>
      <c r="T440" s="19">
        <f t="shared" ref="T440" si="76">IFERROR(S440-H440,"")</f>
        <v>-30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" si="77">U440-C440</f>
        <v>-6</v>
      </c>
      <c r="Z440" s="20">
        <f>Tabela1[[#This Row],[PESO TOTAL]]-Tabela1[[#This Row],[Peso Expedido]]</f>
        <v>60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" si="78">A440&amp;"/"&amp;J440</f>
        <v>R-1-4-10993/P208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30</v>
      </c>
      <c r="AU440" s="37">
        <f t="shared" ref="AU440" si="79">IF(AH440="",0,IF(ISTEXT(AH440),H440*VALUE(SUBSTITUTE(AH440,"%",""))/100,H440*AH440))</f>
        <v>0</v>
      </c>
      <c r="AV440" s="37">
        <f t="shared" ref="AV440" si="80">IF(AG440="",0,IF(ISTEXT(AG440),H440*VALUE(SUBSTITUTE(AG440,"%",""))/100,H440*AG440))</f>
        <v>30</v>
      </c>
      <c r="AW440" s="37"/>
    </row>
    <row r="441" spans="1:49" ht="15.75" hidden="1" customHeight="1" x14ac:dyDescent="0.25">
      <c r="A441" s="6" t="s">
        <v>80</v>
      </c>
      <c r="B441" s="21"/>
      <c r="C441" s="7">
        <v>6</v>
      </c>
      <c r="D441" s="39" t="s">
        <v>4301</v>
      </c>
      <c r="E441" s="7">
        <v>4326</v>
      </c>
      <c r="F441" s="7">
        <v>1</v>
      </c>
      <c r="G441" s="23">
        <v>12.5</v>
      </c>
      <c r="H441" s="34">
        <f>Tabela1[[#This Row],[PESO UNI]]*Tabela1[[#This Row],[QTE]]</f>
        <v>75</v>
      </c>
      <c r="I441" s="7">
        <v>0</v>
      </c>
      <c r="J441" s="8" t="s">
        <v>4299</v>
      </c>
      <c r="K441" s="8" t="s">
        <v>23</v>
      </c>
      <c r="L441" s="9" t="s">
        <v>4300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-6</v>
      </c>
      <c r="R441" s="18">
        <f t="shared" ref="R441:R510" si="81">IFERROR(H441*((AA441*0.25)+(AC441*0.25)+(AD441*0.225)+(AE441*0.225)+(AF441*0.05)),"")</f>
        <v>64.6875</v>
      </c>
      <c r="S441" s="18">
        <f t="shared" si="74"/>
        <v>37.5</v>
      </c>
      <c r="T441" s="19">
        <f t="shared" ref="T441:T510" si="82">IFERROR(S441-H441,"")</f>
        <v>-37.5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ref="Y441:Y510" si="83">U441-C441</f>
        <v>-6</v>
      </c>
      <c r="Z441" s="20">
        <f>Tabela1[[#This Row],[PESO TOTAL]]-Tabela1[[#This Row],[Peso Expedido]]</f>
        <v>75</v>
      </c>
      <c r="AA441" s="17">
        <v>1</v>
      </c>
      <c r="AB441" s="33"/>
      <c r="AC441" s="33">
        <v>1</v>
      </c>
      <c r="AD441" s="33">
        <v>1</v>
      </c>
      <c r="AE441" s="33">
        <v>0.5</v>
      </c>
      <c r="AF441" s="33">
        <v>0.5</v>
      </c>
      <c r="AG441" s="33">
        <v>0.5</v>
      </c>
      <c r="AH441" s="33"/>
      <c r="AI441" s="33" t="str">
        <f t="shared" si="69"/>
        <v/>
      </c>
      <c r="AJ441" s="5"/>
      <c r="AK441" t="str">
        <f>Tabela1[[#This Row],[Coluna1]]&amp;Tabela1[[#This Row],[PEDIDO]]</f>
        <v>P-208</v>
      </c>
      <c r="AL441"/>
      <c r="AM441"/>
      <c r="AN441"/>
      <c r="AO441" t="str">
        <f t="shared" ref="AO441:AO510" si="84">A441&amp;"/"&amp;J441</f>
        <v>R-1-4-10996/P208</v>
      </c>
      <c r="AP441" t="str">
        <f>Tabela1[[#This Row],[TAG]]&amp;Tabela1[[#This Row],[PEDIDO]]&amp;Tabela1[[#This Row],[PRODUTO]]</f>
        <v>P208P-208ROLOS</v>
      </c>
      <c r="AQ441" s="22" t="str">
        <f>Tabela1[[#This Row],[PRODUTO]]&amp;Tabela1[[#This Row],[TAG]]</f>
        <v>ROLOSP208</v>
      </c>
      <c r="AR441" s="24" t="str">
        <f>Tabela1[[#This Row],[PEDIDO]]&amp;Tabela1[[#This Row],[PRODUTO]]</f>
        <v>P-208ROLOS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37.5</v>
      </c>
      <c r="AU441" s="37">
        <f t="shared" ref="AU441:AU510" si="85">IF(AH441="",0,IF(ISTEXT(AH441),H441*VALUE(SUBSTITUTE(AH441,"%",""))/100,H441*AH441))</f>
        <v>0</v>
      </c>
      <c r="AV441" s="37">
        <f t="shared" ref="AV441:AV510" si="86">IF(AG441="",0,IF(ISTEXT(AG441),H441*VALUE(SUBSTITUTE(AG441,"%",""))/100,H441*AG441))</f>
        <v>37.5</v>
      </c>
      <c r="AW441" s="37"/>
    </row>
    <row r="442" spans="1:49" ht="15.75" hidden="1" customHeight="1" x14ac:dyDescent="0.25">
      <c r="A442" s="6" t="s">
        <v>4303</v>
      </c>
      <c r="B442" s="21" t="s">
        <v>4304</v>
      </c>
      <c r="C442" s="7">
        <v>4</v>
      </c>
      <c r="D442" s="39" t="s">
        <v>4305</v>
      </c>
      <c r="E442" s="7">
        <v>4327</v>
      </c>
      <c r="F442" s="7">
        <v>1</v>
      </c>
      <c r="G442" s="23">
        <v>29.9</v>
      </c>
      <c r="H442" s="34">
        <f>Tabela1[[#This Row],[PESO UNI]]*Tabela1[[#This Row],[QTE]]</f>
        <v>119.6</v>
      </c>
      <c r="I442" s="7">
        <v>0</v>
      </c>
      <c r="J442" s="8" t="s">
        <v>4306</v>
      </c>
      <c r="K442" s="8" t="s">
        <v>32</v>
      </c>
      <c r="L442" s="9" t="s">
        <v>4307</v>
      </c>
      <c r="M442" s="10">
        <v>46212</v>
      </c>
      <c r="N442" s="8" t="s">
        <v>38</v>
      </c>
      <c r="O442" s="12"/>
      <c r="P442" s="13"/>
      <c r="Q442" s="14">
        <f>Tabela1[[#This Row],[QTDE/ Fabricação]]-Tabela1[[#This Row],[QTE]]</f>
        <v>-4</v>
      </c>
      <c r="R442" s="18">
        <f t="shared" si="81"/>
        <v>0</v>
      </c>
      <c r="S442" s="18">
        <f t="shared" si="74"/>
        <v>0</v>
      </c>
      <c r="T442" s="19">
        <f t="shared" si="82"/>
        <v>-119.6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-4</v>
      </c>
      <c r="Z442" s="20">
        <f>Tabela1[[#This Row],[PESO TOTAL]]-Tabela1[[#This Row],[Peso Expedido]]</f>
        <v>119.6</v>
      </c>
      <c r="AA442" s="17"/>
      <c r="AB442" s="33"/>
      <c r="AC442" s="33"/>
      <c r="AD442" s="33"/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P-209</v>
      </c>
      <c r="AL442"/>
      <c r="AM442"/>
      <c r="AN442"/>
      <c r="AO442" t="str">
        <f t="shared" si="84"/>
        <v>T-009591-1/P209</v>
      </c>
      <c r="AP442" t="str">
        <f>Tabela1[[#This Row],[TAG]]&amp;Tabela1[[#This Row],[PEDIDO]]&amp;Tabela1[[#This Row],[PRODUTO]]</f>
        <v>P209P-209USINAGEM</v>
      </c>
      <c r="AQ442" s="22" t="str">
        <f>Tabela1[[#This Row],[PRODUTO]]&amp;Tabela1[[#This Row],[TAG]]</f>
        <v>USINAGEMP209</v>
      </c>
      <c r="AR442" s="24" t="str">
        <f>Tabela1[[#This Row],[PEDIDO]]&amp;Tabela1[[#This Row],[PRODUTO]]</f>
        <v>P-209USINAGEM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4311</v>
      </c>
      <c r="B443" s="21" t="s">
        <v>4312</v>
      </c>
      <c r="C443" s="7">
        <v>8</v>
      </c>
      <c r="D443" s="39" t="s">
        <v>4314</v>
      </c>
      <c r="E443" s="7">
        <v>4328</v>
      </c>
      <c r="F443" s="7">
        <v>32</v>
      </c>
      <c r="G443" s="23">
        <v>1.2</v>
      </c>
      <c r="H443" s="34">
        <f>Tabela1[[#This Row],[PESO UNI]]*Tabela1[[#This Row],[QTE]]</f>
        <v>9.6</v>
      </c>
      <c r="I443" s="7" t="s">
        <v>4844</v>
      </c>
      <c r="J443" s="8" t="s">
        <v>3045</v>
      </c>
      <c r="K443" s="8" t="s">
        <v>4321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6.96</v>
      </c>
      <c r="S443" s="18">
        <f t="shared" si="74"/>
        <v>0</v>
      </c>
      <c r="T443" s="19">
        <f t="shared" si="82"/>
        <v>-9.6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9.6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4311</v>
      </c>
      <c r="B444" s="21" t="s">
        <v>4312</v>
      </c>
      <c r="C444" s="7">
        <v>8</v>
      </c>
      <c r="D444" s="39" t="s">
        <v>4313</v>
      </c>
      <c r="E444" s="7">
        <v>4329</v>
      </c>
      <c r="F444" s="7">
        <v>32</v>
      </c>
      <c r="G444" s="23">
        <v>11.4</v>
      </c>
      <c r="H444" s="34">
        <f>Tabela1[[#This Row],[PESO UNI]]*Tabela1[[#This Row],[QTE]]</f>
        <v>91.2</v>
      </c>
      <c r="I444" s="7" t="s">
        <v>4844</v>
      </c>
      <c r="J444" s="8" t="s">
        <v>3045</v>
      </c>
      <c r="K444" s="8" t="s">
        <v>4321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-8</v>
      </c>
      <c r="R444" s="18">
        <f t="shared" si="81"/>
        <v>66.12</v>
      </c>
      <c r="S444" s="18">
        <f t="shared" si="74"/>
        <v>0</v>
      </c>
      <c r="T444" s="19">
        <f t="shared" si="82"/>
        <v>-91.2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-8</v>
      </c>
      <c r="Z444" s="20">
        <f>Tabela1[[#This Row],[PESO TOTAL]]-Tabela1[[#This Row],[Peso Expedido]]</f>
        <v>91.2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4311</v>
      </c>
      <c r="B445" s="21" t="s">
        <v>4312</v>
      </c>
      <c r="C445" s="7">
        <v>4</v>
      </c>
      <c r="D445" s="39" t="s">
        <v>4315</v>
      </c>
      <c r="E445" s="7">
        <v>4330</v>
      </c>
      <c r="F445" s="7">
        <v>32</v>
      </c>
      <c r="G445" s="23">
        <v>51.3</v>
      </c>
      <c r="H445" s="34">
        <f>Tabela1[[#This Row],[PESO UNI]]*Tabela1[[#This Row],[QTE]]</f>
        <v>205.2</v>
      </c>
      <c r="I445" s="7" t="s">
        <v>4844</v>
      </c>
      <c r="J445" s="8" t="s">
        <v>3045</v>
      </c>
      <c r="K445" s="8" t="s">
        <v>4321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-4</v>
      </c>
      <c r="R445" s="18">
        <f t="shared" si="81"/>
        <v>51.3</v>
      </c>
      <c r="S445" s="18">
        <f t="shared" si="74"/>
        <v>0</v>
      </c>
      <c r="T445" s="19">
        <f t="shared" si="82"/>
        <v>-205.2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-4</v>
      </c>
      <c r="Z445" s="20">
        <f>Tabela1[[#This Row],[PESO TOTAL]]-Tabela1[[#This Row],[Peso Expedido]]</f>
        <v>205.2</v>
      </c>
      <c r="AA445" s="17">
        <v>1</v>
      </c>
      <c r="AB445" s="33"/>
      <c r="AC445" s="33"/>
      <c r="AD445" s="33"/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4311</v>
      </c>
      <c r="B446" s="21" t="s">
        <v>4312</v>
      </c>
      <c r="C446" s="7">
        <v>8</v>
      </c>
      <c r="D446" s="39" t="s">
        <v>4316</v>
      </c>
      <c r="E446" s="7">
        <v>4331</v>
      </c>
      <c r="F446" s="7">
        <v>32</v>
      </c>
      <c r="G446" s="23">
        <v>4.8</v>
      </c>
      <c r="H446" s="34">
        <f>Tabela1[[#This Row],[PESO UNI]]*Tabela1[[#This Row],[QTE]]</f>
        <v>38.4</v>
      </c>
      <c r="I446" s="7" t="s">
        <v>4844</v>
      </c>
      <c r="J446" s="8" t="s">
        <v>3045</v>
      </c>
      <c r="K446" s="8" t="s">
        <v>4321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-8</v>
      </c>
      <c r="R446" s="18">
        <f t="shared" si="81"/>
        <v>27.84</v>
      </c>
      <c r="S446" s="18">
        <f t="shared" si="74"/>
        <v>0</v>
      </c>
      <c r="T446" s="19">
        <f t="shared" si="82"/>
        <v>-38.4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-8</v>
      </c>
      <c r="Z446" s="20">
        <f>Tabela1[[#This Row],[PESO TOTAL]]-Tabela1[[#This Row],[Peso Expedido]]</f>
        <v>38.4</v>
      </c>
      <c r="AA446" s="17">
        <v>1</v>
      </c>
      <c r="AB446" s="33"/>
      <c r="AC446" s="33">
        <v>1</v>
      </c>
      <c r="AD446" s="33">
        <v>1</v>
      </c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4311</v>
      </c>
      <c r="B447" s="21" t="s">
        <v>4312</v>
      </c>
      <c r="C447" s="7">
        <v>22</v>
      </c>
      <c r="D447" s="39" t="s">
        <v>4317</v>
      </c>
      <c r="E447" s="7">
        <v>4333</v>
      </c>
      <c r="F447" s="7">
        <v>32</v>
      </c>
      <c r="G447" s="23">
        <v>7.6</v>
      </c>
      <c r="H447" s="34">
        <f>Tabela1[[#This Row],[PESO UNI]]*Tabela1[[#This Row],[QTE]]</f>
        <v>167.2</v>
      </c>
      <c r="I447" s="7" t="s">
        <v>4844</v>
      </c>
      <c r="J447" s="8" t="s">
        <v>3045</v>
      </c>
      <c r="K447" s="8" t="s">
        <v>4321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-22</v>
      </c>
      <c r="R447" s="18">
        <f t="shared" si="81"/>
        <v>0</v>
      </c>
      <c r="S447" s="18">
        <f t="shared" si="74"/>
        <v>0</v>
      </c>
      <c r="T447" s="19">
        <f t="shared" si="82"/>
        <v>-167.2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-22</v>
      </c>
      <c r="Z447" s="20">
        <f>Tabela1[[#This Row],[PESO TOTAL]]-Tabela1[[#This Row],[Peso Expedido]]</f>
        <v>167.2</v>
      </c>
      <c r="AA447" s="17"/>
      <c r="AB447" s="33"/>
      <c r="AC447" s="33"/>
      <c r="AD447" s="33"/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4311</v>
      </c>
      <c r="B448" s="21" t="s">
        <v>4312</v>
      </c>
      <c r="C448" s="7">
        <v>1</v>
      </c>
      <c r="D448" s="39" t="s">
        <v>4318</v>
      </c>
      <c r="E448" s="7">
        <v>4334</v>
      </c>
      <c r="F448" s="7">
        <v>32</v>
      </c>
      <c r="G448" s="23">
        <v>25.9</v>
      </c>
      <c r="H448" s="34">
        <f>Tabela1[[#This Row],[PESO UNI]]*Tabela1[[#This Row],[QTE]]</f>
        <v>25.9</v>
      </c>
      <c r="I448" s="7" t="s">
        <v>4844</v>
      </c>
      <c r="J448" s="8" t="s">
        <v>3045</v>
      </c>
      <c r="K448" s="8" t="s">
        <v>4321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0</v>
      </c>
      <c r="S448" s="18">
        <f t="shared" si="74"/>
        <v>0</v>
      </c>
      <c r="T448" s="19">
        <f t="shared" si="82"/>
        <v>-25.9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25.9</v>
      </c>
      <c r="AA448" s="17"/>
      <c r="AB448" s="33"/>
      <c r="AC448" s="33"/>
      <c r="AD448" s="33"/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4311</v>
      </c>
      <c r="B449" s="21" t="s">
        <v>4312</v>
      </c>
      <c r="C449" s="7">
        <v>1</v>
      </c>
      <c r="D449" s="39" t="s">
        <v>4319</v>
      </c>
      <c r="E449" s="7">
        <v>4335</v>
      </c>
      <c r="F449" s="7">
        <v>32</v>
      </c>
      <c r="G449" s="23">
        <v>2.6</v>
      </c>
      <c r="H449" s="34">
        <f>Tabela1[[#This Row],[PESO UNI]]*Tabela1[[#This Row],[QTE]]</f>
        <v>2.6</v>
      </c>
      <c r="I449" s="7" t="s">
        <v>4844</v>
      </c>
      <c r="J449" s="8" t="s">
        <v>3045</v>
      </c>
      <c r="K449" s="8" t="s">
        <v>4321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-1</v>
      </c>
      <c r="R449" s="18">
        <f t="shared" si="81"/>
        <v>1.885</v>
      </c>
      <c r="S449" s="18">
        <f t="shared" si="74"/>
        <v>0</v>
      </c>
      <c r="T449" s="19">
        <f t="shared" si="82"/>
        <v>-2.6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 t="shared" si="83"/>
        <v>-1</v>
      </c>
      <c r="Z449" s="20">
        <f>Tabela1[[#This Row],[PESO TOTAL]]-Tabela1[[#This Row],[Peso Expedido]]</f>
        <v>2.6</v>
      </c>
      <c r="AA449" s="17">
        <v>1</v>
      </c>
      <c r="AB449" s="33"/>
      <c r="AC449" s="33">
        <v>1</v>
      </c>
      <c r="AD449" s="33">
        <v>1</v>
      </c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 t="shared" si="84"/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 t="shared" si="85"/>
        <v>0</v>
      </c>
      <c r="AV449" s="37">
        <f t="shared" si="86"/>
        <v>0</v>
      </c>
      <c r="AW449" s="37"/>
    </row>
    <row r="450" spans="1:49" ht="15.75" hidden="1" customHeight="1" x14ac:dyDescent="0.25">
      <c r="A450" s="6" t="s">
        <v>4311</v>
      </c>
      <c r="B450" s="21" t="s">
        <v>4312</v>
      </c>
      <c r="C450" s="7">
        <v>2</v>
      </c>
      <c r="D450" s="39" t="s">
        <v>4320</v>
      </c>
      <c r="E450" s="7">
        <v>4337</v>
      </c>
      <c r="F450" s="7">
        <v>32</v>
      </c>
      <c r="G450" s="23">
        <v>12</v>
      </c>
      <c r="H450" s="34">
        <f>Tabela1[[#This Row],[PESO UNI]]*Tabela1[[#This Row],[QTE]]</f>
        <v>24</v>
      </c>
      <c r="I450" s="7" t="s">
        <v>4844</v>
      </c>
      <c r="J450" s="8" t="s">
        <v>3045</v>
      </c>
      <c r="K450" s="8" t="s">
        <v>4321</v>
      </c>
      <c r="L450" s="9" t="s">
        <v>2984</v>
      </c>
      <c r="M450" s="10">
        <v>46211</v>
      </c>
      <c r="N450" s="8" t="s">
        <v>38</v>
      </c>
      <c r="O450" s="12"/>
      <c r="P450" s="13"/>
      <c r="Q450" s="14">
        <f>Tabela1[[#This Row],[QTDE/ Fabricação]]-Tabela1[[#This Row],[QTE]]</f>
        <v>-2</v>
      </c>
      <c r="R450" s="18">
        <f t="shared" si="81"/>
        <v>0</v>
      </c>
      <c r="S450" s="18">
        <f>IFERROR(H450*AG450,"")</f>
        <v>0</v>
      </c>
      <c r="T450" s="19">
        <f>IFERROR(S450-H450,"")</f>
        <v>-24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 t="str">
        <f>IFERROR(COUNTIF(#REF!,Tabela1[[#This Row],[Colunas5]]),"")</f>
        <v/>
      </c>
      <c r="X450" s="14">
        <f>Tabela1[[#This Row],[QIANTIDADE EXPEDIDA]]*Tabela1[[#This Row],[PESO UNI]]</f>
        <v>0</v>
      </c>
      <c r="Y450" s="14">
        <f>U450-C450</f>
        <v>-2</v>
      </c>
      <c r="Z450" s="20">
        <f>Tabela1[[#This Row],[PESO TOTAL]]-Tabela1[[#This Row],[Peso Expedido]]</f>
        <v>24</v>
      </c>
      <c r="AA450" s="17"/>
      <c r="AB450" s="33"/>
      <c r="AC450" s="33"/>
      <c r="AD450" s="33"/>
      <c r="AE450" s="33"/>
      <c r="AF450" s="33"/>
      <c r="AG450" s="33"/>
      <c r="AH450" s="33"/>
      <c r="AI450" s="33" t="str">
        <f t="shared" si="69"/>
        <v/>
      </c>
      <c r="AJ450" s="5"/>
      <c r="AK450" t="str">
        <f>Tabela1[[#This Row],[Coluna1]]&amp;Tabela1[[#This Row],[PEDIDO]]</f>
        <v>P-198</v>
      </c>
      <c r="AL450"/>
      <c r="AM450"/>
      <c r="AN450"/>
      <c r="AO450" t="str">
        <f>A450&amp;"/"&amp;J450</f>
        <v>T-073242-1/14-CV-0001</v>
      </c>
      <c r="AP450" t="str">
        <f>Tabela1[[#This Row],[TAG]]&amp;Tabela1[[#This Row],[PEDIDO]]&amp;Tabela1[[#This Row],[PRODUTO]]</f>
        <v xml:space="preserve">14-CV-0001P-198ESTRUTURA </v>
      </c>
      <c r="AQ450" s="22" t="str">
        <f>Tabela1[[#This Row],[PRODUTO]]&amp;Tabela1[[#This Row],[TAG]]</f>
        <v>ESTRUTURA 14-CV-0001</v>
      </c>
      <c r="AR450" s="24" t="str">
        <f>Tabela1[[#This Row],[PEDIDO]]&amp;Tabela1[[#This Row],[PRODUTO]]</f>
        <v xml:space="preserve">P-198ESTRUTURA </v>
      </c>
      <c r="AS450" s="37">
        <f>IF(AF450="",0,IF(ISTEXT(AF450),H450*VALUE(SUBSTITUTE(AF450,"%",""))/100,H450*AF450))-Tabela1[[#This Row],[PRONTO ACABADO2]]</f>
        <v>0</v>
      </c>
      <c r="AT450" s="37">
        <f>IF(AG450="",0,IF(ISTEXT(AG450),H450*VALUE(SUBSTITUTE(AG450,"%",""))/100,H450*AG450))-Tabela1[[#This Row],[PESO EXPEDIDO2]]</f>
        <v>0</v>
      </c>
      <c r="AU450" s="37">
        <f>IF(AH450="",0,IF(ISTEXT(AH450),H450*VALUE(SUBSTITUTE(AH450,"%",""))/100,H450*AH450))</f>
        <v>0</v>
      </c>
      <c r="AV450" s="37">
        <f>IF(AG450="",0,IF(ISTEXT(AG450),H450*VALUE(SUBSTITUTE(AG450,"%",""))/100,H450*AG450))</f>
        <v>0</v>
      </c>
      <c r="AW450" s="37"/>
    </row>
    <row r="451" spans="1:49" ht="15.75" hidden="1" customHeight="1" x14ac:dyDescent="0.25">
      <c r="A451" s="6" t="s">
        <v>4418</v>
      </c>
      <c r="B451" s="21" t="s">
        <v>4419</v>
      </c>
      <c r="C451" s="7">
        <v>1</v>
      </c>
      <c r="D451" s="39" t="s">
        <v>4420</v>
      </c>
      <c r="E451" s="7">
        <v>4338</v>
      </c>
      <c r="F451" s="7">
        <v>35</v>
      </c>
      <c r="G451" s="23">
        <v>748.2</v>
      </c>
      <c r="H451" s="34">
        <f>Tabela1[[#This Row],[PESO UNI]]*Tabela1[[#This Row],[QTE]]</f>
        <v>748.2</v>
      </c>
      <c r="I451" s="7" t="s">
        <v>4511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-1</v>
      </c>
      <c r="R451" s="18">
        <f t="shared" si="81"/>
        <v>491.94150000000002</v>
      </c>
      <c r="S451" s="18">
        <f t="shared" ref="S451:S459" si="87">IFERROR(H451*AG451,"")</f>
        <v>0</v>
      </c>
      <c r="T451" s="19">
        <f t="shared" ref="T451:T459" si="88">IFERROR(S451-H451,"")</f>
        <v>-748.2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ref="Y451:Y459" si="89">U451-C451</f>
        <v>-1</v>
      </c>
      <c r="Z451" s="20">
        <f>Tabela1[[#This Row],[PESO TOTAL]]-Tabela1[[#This Row],[Peso Expedido]]</f>
        <v>748.2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25">
      <c r="A452" s="6" t="s">
        <v>4421</v>
      </c>
      <c r="B452" s="21" t="s">
        <v>4422</v>
      </c>
      <c r="C452" s="7">
        <v>5</v>
      </c>
      <c r="D452" s="39" t="s">
        <v>4423</v>
      </c>
      <c r="E452" s="7">
        <v>4339</v>
      </c>
      <c r="F452" s="7">
        <v>35</v>
      </c>
      <c r="G452" s="23">
        <v>730.2</v>
      </c>
      <c r="H452" s="34">
        <f>Tabela1[[#This Row],[PESO UNI]]*Tabela1[[#This Row],[QTE]]</f>
        <v>3651</v>
      </c>
      <c r="I452" s="7" t="s">
        <v>4442</v>
      </c>
      <c r="J452" s="8" t="s">
        <v>3045</v>
      </c>
      <c r="K452" s="8" t="s">
        <v>31</v>
      </c>
      <c r="L452" s="9" t="s">
        <v>2984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-5</v>
      </c>
      <c r="R452" s="18">
        <f t="shared" si="81"/>
        <v>2400.5324999999998</v>
      </c>
      <c r="S452" s="18">
        <f t="shared" si="87"/>
        <v>0</v>
      </c>
      <c r="T452" s="19">
        <f t="shared" si="88"/>
        <v>-3651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-5</v>
      </c>
      <c r="Z452" s="20">
        <f>Tabela1[[#This Row],[PESO TOTAL]]-Tabela1[[#This Row],[Peso Expedido]]</f>
        <v>3651</v>
      </c>
      <c r="AA452" s="33">
        <v>1</v>
      </c>
      <c r="AB452" s="33"/>
      <c r="AC452" s="33">
        <v>1</v>
      </c>
      <c r="AD452" s="33">
        <v>0.7</v>
      </c>
      <c r="AE452" s="33"/>
      <c r="AF452" s="33"/>
      <c r="AG452" s="33"/>
      <c r="AH452" s="28"/>
      <c r="AI452" s="33" t="str">
        <f t="shared" si="69"/>
        <v/>
      </c>
    </row>
    <row r="453" spans="1:49" ht="15.75" hidden="1" customHeight="1" x14ac:dyDescent="0.25">
      <c r="A453" s="6" t="s">
        <v>101</v>
      </c>
      <c r="B453" s="21"/>
      <c r="C453" s="7">
        <v>18</v>
      </c>
      <c r="D453" s="39" t="s">
        <v>146</v>
      </c>
      <c r="E453" s="7">
        <v>4340</v>
      </c>
      <c r="F453" s="7">
        <v>1</v>
      </c>
      <c r="G453" s="23">
        <v>1</v>
      </c>
      <c r="H453" s="34">
        <f>Tabela1[[#This Row],[PESO UNI]]*Tabela1[[#This Row],[QTE]]</f>
        <v>18</v>
      </c>
      <c r="I453" s="7" t="s">
        <v>2</v>
      </c>
      <c r="J453" s="8" t="s">
        <v>4424</v>
      </c>
      <c r="K453" s="8" t="s">
        <v>23</v>
      </c>
      <c r="L453" s="9" t="s">
        <v>4425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-18</v>
      </c>
      <c r="R453" s="18">
        <f t="shared" si="81"/>
        <v>8.01</v>
      </c>
      <c r="S453" s="18">
        <f t="shared" si="87"/>
        <v>5.3999999999999995</v>
      </c>
      <c r="T453" s="19">
        <f t="shared" si="88"/>
        <v>-12.600000000000001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-18</v>
      </c>
      <c r="Z453" s="20">
        <f>Tabela1[[#This Row],[PESO TOTAL]]-Tabela1[[#This Row],[Peso Expedido]]</f>
        <v>18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814</v>
      </c>
      <c r="B454" s="21"/>
      <c r="C454" s="7">
        <v>53</v>
      </c>
      <c r="D454" s="39" t="s">
        <v>4426</v>
      </c>
      <c r="E454" s="7">
        <v>4341</v>
      </c>
      <c r="F454" s="7">
        <v>1</v>
      </c>
      <c r="G454" s="23">
        <v>5.2</v>
      </c>
      <c r="H454" s="34">
        <f>Tabela1[[#This Row],[PESO UNI]]*Tabela1[[#This Row],[QTE]]</f>
        <v>275.60000000000002</v>
      </c>
      <c r="I454" s="7" t="s">
        <v>2</v>
      </c>
      <c r="J454" s="8" t="s">
        <v>4424</v>
      </c>
      <c r="K454" s="8" t="s">
        <v>23</v>
      </c>
      <c r="L454" s="9" t="s">
        <v>4425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-53</v>
      </c>
      <c r="R454" s="18">
        <f>IFERROR(H454*((AA454*0.25)+(AC454*0.25)+(AD454*0.225)+(AE454*0.225)+(AF454*0.05)),"")</f>
        <v>122.64200000000001</v>
      </c>
      <c r="S454" s="18">
        <f t="shared" si="87"/>
        <v>82.68</v>
      </c>
      <c r="T454" s="19">
        <f t="shared" si="88"/>
        <v>-192.92000000000002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-53</v>
      </c>
      <c r="Z454" s="20">
        <f>Tabela1[[#This Row],[PESO TOTAL]]-Tabela1[[#This Row],[Peso Expedido]]</f>
        <v>275.60000000000002</v>
      </c>
      <c r="AA454" s="33">
        <v>0.5</v>
      </c>
      <c r="AB454" s="33"/>
      <c r="AC454" s="33">
        <v>0.5</v>
      </c>
      <c r="AD454" s="33">
        <v>0.5</v>
      </c>
      <c r="AE454" s="33">
        <v>0.3</v>
      </c>
      <c r="AF454" s="33">
        <v>0.3</v>
      </c>
      <c r="AG454" s="33">
        <v>0.3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4427</v>
      </c>
      <c r="B455" s="21" t="s">
        <v>4428</v>
      </c>
      <c r="C455" s="7">
        <v>7</v>
      </c>
      <c r="D455" s="39" t="s">
        <v>4429</v>
      </c>
      <c r="E455" s="7">
        <v>4342</v>
      </c>
      <c r="F455" s="7">
        <v>1</v>
      </c>
      <c r="G455" s="23">
        <v>19.100000000000001</v>
      </c>
      <c r="H455" s="34">
        <f>Tabela1[[#This Row],[PESO UNI]]*Tabela1[[#This Row],[QTE]]</f>
        <v>133.70000000000002</v>
      </c>
      <c r="I455" s="7" t="s">
        <v>746</v>
      </c>
      <c r="J455" s="8" t="s">
        <v>4424</v>
      </c>
      <c r="K455" s="8" t="s">
        <v>33</v>
      </c>
      <c r="L455" s="9" t="s">
        <v>4425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-7</v>
      </c>
      <c r="R455" s="18">
        <f>IFERROR(H455*((AA455*0.25)+(AC455*0.25)+(AD455*0.225)+(AE455*0.225)+(AF455*0.05)),"")</f>
        <v>59.496500000000012</v>
      </c>
      <c r="S455" s="18">
        <f t="shared" si="87"/>
        <v>40.110000000000007</v>
      </c>
      <c r="T455" s="19">
        <f t="shared" si="88"/>
        <v>-93.59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-7</v>
      </c>
      <c r="Z455" s="20">
        <f>Tabela1[[#This Row],[PESO TOTAL]]-Tabela1[[#This Row],[Peso Expedido]]</f>
        <v>133.70000000000002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4430</v>
      </c>
      <c r="B456" s="21" t="s">
        <v>4431</v>
      </c>
      <c r="C456" s="7">
        <v>6</v>
      </c>
      <c r="D456" s="39" t="s">
        <v>4432</v>
      </c>
      <c r="E456" s="7">
        <v>4343</v>
      </c>
      <c r="F456" s="7">
        <v>1</v>
      </c>
      <c r="G456" s="23">
        <v>18.2</v>
      </c>
      <c r="H456" s="34">
        <f>Tabela1[[#This Row],[PESO UNI]]*Tabela1[[#This Row],[QTE]]</f>
        <v>109.19999999999999</v>
      </c>
      <c r="I456" s="7" t="s">
        <v>746</v>
      </c>
      <c r="J456" s="8" t="s">
        <v>4424</v>
      </c>
      <c r="K456" s="8" t="s">
        <v>33</v>
      </c>
      <c r="L456" s="9" t="s">
        <v>4425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-6</v>
      </c>
      <c r="R456" s="18">
        <f>IFERROR(H456*((AA456*0.25)+(AC456*0.25)+(AD456*0.225)+(AE456*0.225)+(AF456*0.05)),"")</f>
        <v>48.593999999999994</v>
      </c>
      <c r="S456" s="18">
        <f t="shared" si="87"/>
        <v>32.76</v>
      </c>
      <c r="T456" s="19">
        <f t="shared" si="88"/>
        <v>-76.44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-6</v>
      </c>
      <c r="Z456" s="20">
        <f>Tabela1[[#This Row],[PESO TOTAL]]-Tabela1[[#This Row],[Peso Expedido]]</f>
        <v>109.19999999999999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4433</v>
      </c>
      <c r="B457" s="21" t="s">
        <v>4434</v>
      </c>
      <c r="C457" s="7">
        <v>8</v>
      </c>
      <c r="D457" s="39" t="s">
        <v>4438</v>
      </c>
      <c r="E457" s="7">
        <v>4344</v>
      </c>
      <c r="F457" s="7">
        <v>1</v>
      </c>
      <c r="G457" s="23">
        <v>6</v>
      </c>
      <c r="H457" s="34">
        <f>Tabela1[[#This Row],[PESO UNI]]*Tabela1[[#This Row],[QTE]]</f>
        <v>48</v>
      </c>
      <c r="I457" s="7" t="s">
        <v>746</v>
      </c>
      <c r="J457" s="8" t="s">
        <v>4424</v>
      </c>
      <c r="K457" s="8" t="s">
        <v>33</v>
      </c>
      <c r="L457" s="9" t="s">
        <v>4425</v>
      </c>
      <c r="M457" s="10">
        <v>46218</v>
      </c>
      <c r="N457" s="8" t="s">
        <v>38</v>
      </c>
      <c r="O457" s="14"/>
      <c r="P457" s="18"/>
      <c r="Q457" s="14">
        <f>Tabela1[[#This Row],[QTDE/ Fabricação]]-Tabela1[[#This Row],[QTE]]</f>
        <v>-8</v>
      </c>
      <c r="R457" s="18">
        <f>IFERROR(H457*((AA457*0.25)+(AC457*0.25)+(AD457*0.225)+(AE457*0.225)+(AF457*0.05)),"")</f>
        <v>21.36</v>
      </c>
      <c r="S457" s="18">
        <f t="shared" si="87"/>
        <v>14.399999999999999</v>
      </c>
      <c r="T457" s="19">
        <f t="shared" si="88"/>
        <v>-33.6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-8</v>
      </c>
      <c r="Z457" s="20">
        <f>Tabela1[[#This Row],[PESO TOTAL]]-Tabela1[[#This Row],[Peso Expedido]]</f>
        <v>48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4435</v>
      </c>
      <c r="B458" s="21" t="s">
        <v>4436</v>
      </c>
      <c r="C458" s="7">
        <v>14</v>
      </c>
      <c r="D458" s="39" t="s">
        <v>4437</v>
      </c>
      <c r="E458" s="7">
        <v>4345</v>
      </c>
      <c r="F458" s="7">
        <v>1</v>
      </c>
      <c r="G458" s="23">
        <v>5</v>
      </c>
      <c r="H458" s="34">
        <f>Tabela1[[#This Row],[PESO UNI]]*Tabela1[[#This Row],[QTE]]</f>
        <v>70</v>
      </c>
      <c r="I458" s="7" t="s">
        <v>746</v>
      </c>
      <c r="J458" s="8" t="s">
        <v>4424</v>
      </c>
      <c r="K458" s="8" t="s">
        <v>33</v>
      </c>
      <c r="L458" s="9" t="s">
        <v>4425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-14</v>
      </c>
      <c r="R458" s="18">
        <f>IFERROR(H458*((AA458*0.25)+(AC458*0.25)+(AD458*0.225)+(AE458*0.225)+(AF458*0.05)),"")</f>
        <v>31.150000000000002</v>
      </c>
      <c r="S458" s="18">
        <f t="shared" si="87"/>
        <v>21</v>
      </c>
      <c r="T458" s="19">
        <f t="shared" si="88"/>
        <v>-49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-14</v>
      </c>
      <c r="Z458" s="20">
        <f>Tabela1[[#This Row],[PESO TOTAL]]-Tabela1[[#This Row],[Peso Expedido]]</f>
        <v>70</v>
      </c>
      <c r="AA458" s="33">
        <v>0.5</v>
      </c>
      <c r="AB458" s="33"/>
      <c r="AC458" s="33">
        <v>0.5</v>
      </c>
      <c r="AD458" s="33">
        <v>0.5</v>
      </c>
      <c r="AE458" s="33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4439</v>
      </c>
      <c r="B459" s="21" t="s">
        <v>4440</v>
      </c>
      <c r="C459" s="7">
        <v>23</v>
      </c>
      <c r="D459" s="39" t="s">
        <v>4441</v>
      </c>
      <c r="E459" s="7">
        <v>4346</v>
      </c>
      <c r="F459" s="7">
        <v>1</v>
      </c>
      <c r="G459" s="23">
        <v>6</v>
      </c>
      <c r="H459" s="34">
        <f>Tabela1[[#This Row],[PESO UNI]]*Tabela1[[#This Row],[QTE]]</f>
        <v>138</v>
      </c>
      <c r="I459" s="7" t="s">
        <v>746</v>
      </c>
      <c r="J459" s="8" t="s">
        <v>4424</v>
      </c>
      <c r="K459" s="8" t="s">
        <v>33</v>
      </c>
      <c r="L459" s="9" t="s">
        <v>4425</v>
      </c>
      <c r="M459" s="10">
        <v>46218</v>
      </c>
      <c r="N459" s="8" t="s">
        <v>38</v>
      </c>
      <c r="O459" s="14"/>
      <c r="P459" s="18"/>
      <c r="Q459" s="16">
        <f>Tabela1[[#This Row],[QTDE/ Fabricação]]-Tabela1[[#This Row],[QTE]]</f>
        <v>-23</v>
      </c>
      <c r="R459" s="18" t="str">
        <f>IFERROR(H459*((AA459*0.25)+(AC459*0.25)+(AD459*0.225)+(#REF!*0.225)+(AF459*0.05)),"")</f>
        <v/>
      </c>
      <c r="S459" s="18">
        <f t="shared" si="87"/>
        <v>41.4</v>
      </c>
      <c r="T459" s="19">
        <f t="shared" si="88"/>
        <v>-96.6</v>
      </c>
      <c r="U459" s="16">
        <f>IFERROR(SUMIF('LISTA DE EMBARQUE'!B:B,MICRO!E:E,'LISTA DE EMBARQUE'!G:G),"")</f>
        <v>0</v>
      </c>
      <c r="V459" s="12" t="str">
        <f>IFERROR(VLOOKUP(Tabela1[[#This Row],[COD.MDE]],'LISTA DE EMBARQUE'!B:L,11,0),"")</f>
        <v/>
      </c>
      <c r="W459" s="13"/>
      <c r="X459" s="14">
        <f>IFERROR(Tabela1[[#This Row],[QIANTIDADE EXPEDIDA]]*Tabela1[[#This Row],[PESO UNI]],"")</f>
        <v>0</v>
      </c>
      <c r="Y459" s="14">
        <f t="shared" si="89"/>
        <v>-23</v>
      </c>
      <c r="Z459" s="20">
        <f>Tabela1[[#This Row],[PESO TOTAL]]-Tabela1[[#This Row],[Peso Expedido]]</f>
        <v>138</v>
      </c>
      <c r="AA459" s="33">
        <v>0.5</v>
      </c>
      <c r="AB459" s="33"/>
      <c r="AC459" s="33">
        <v>0.5</v>
      </c>
      <c r="AD459" s="33">
        <v>0.5</v>
      </c>
      <c r="AE459" s="210">
        <v>0.3</v>
      </c>
      <c r="AF459" s="33">
        <v>0.3</v>
      </c>
      <c r="AG459" s="33">
        <v>0.3</v>
      </c>
      <c r="AH459" s="28"/>
      <c r="AI459" s="33" t="str">
        <f t="shared" si="69"/>
        <v/>
      </c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2547</v>
      </c>
      <c r="E460" s="7">
        <v>3419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4510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2548</v>
      </c>
      <c r="E461" s="7">
        <v>3420</v>
      </c>
      <c r="F461" s="7">
        <v>27</v>
      </c>
      <c r="G461" s="23">
        <v>13.1</v>
      </c>
      <c r="H461" s="34">
        <f>Tabela1[[#This Row],[PESO UNI]]*Tabela1[[#This Row],[QTE]]</f>
        <v>13.1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13.1</v>
      </c>
      <c r="S461" s="18">
        <f t="shared" si="74"/>
        <v>13.1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13.1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4510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13.1</v>
      </c>
      <c r="AV461" s="37">
        <f t="shared" si="86"/>
        <v>13.1</v>
      </c>
      <c r="AW461" s="37"/>
    </row>
    <row r="462" spans="1:49" ht="15.75" hidden="1" customHeight="1" x14ac:dyDescent="0.25">
      <c r="A462" s="6" t="s">
        <v>2546</v>
      </c>
      <c r="B462" s="21"/>
      <c r="C462" s="7">
        <v>1</v>
      </c>
      <c r="D462" s="39" t="s">
        <v>2549</v>
      </c>
      <c r="E462" s="7">
        <v>3421</v>
      </c>
      <c r="F462" s="7">
        <v>27</v>
      </c>
      <c r="G462" s="23">
        <v>6.2</v>
      </c>
      <c r="H462" s="34">
        <f>Tabela1[[#This Row],[PESO UNI]]*Tabela1[[#This Row],[QTE]]</f>
        <v>6.2</v>
      </c>
      <c r="I462" s="7">
        <v>0</v>
      </c>
      <c r="J462" s="8" t="s">
        <v>2550</v>
      </c>
      <c r="K462" s="8" t="s">
        <v>46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6.2</v>
      </c>
      <c r="S462" s="18">
        <f t="shared" si="74"/>
        <v>6.2</v>
      </c>
      <c r="T462" s="19">
        <f t="shared" si="82"/>
        <v>0</v>
      </c>
      <c r="U462" s="16">
        <f>IFERROR(SUMIF('LISTA DE EMBARQUE'!B:B,MICRO!E:E,'LISTA DE EMBARQUE'!G:G),"")</f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6.2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4510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P-073081-1/P190</v>
      </c>
      <c r="AP462" t="str">
        <f>Tabela1[[#This Row],[TAG]]&amp;Tabela1[[#This Row],[PEDIDO]]&amp;Tabela1[[#This Row],[PRODUTO]]</f>
        <v>P190P-190TECMETAL</v>
      </c>
      <c r="AQ462" s="22" t="str">
        <f>Tabela1[[#This Row],[PRODUTO]]&amp;Tabela1[[#This Row],[TAG]]</f>
        <v>TECMETALP190</v>
      </c>
      <c r="AR462" s="24" t="str">
        <f>Tabela1[[#This Row],[PEDIDO]]&amp;Tabela1[[#This Row],[PRODUTO]]</f>
        <v>P-190TECMETAL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6.2</v>
      </c>
      <c r="AV462" s="37">
        <f t="shared" si="86"/>
        <v>6.2</v>
      </c>
      <c r="AW462" s="37"/>
    </row>
    <row r="463" spans="1:49" ht="15.75" hidden="1" customHeight="1" x14ac:dyDescent="0.25">
      <c r="A463" s="6" t="s">
        <v>4328</v>
      </c>
      <c r="B463" s="21"/>
      <c r="C463" s="7">
        <v>1</v>
      </c>
      <c r="D463" s="39" t="s">
        <v>4329</v>
      </c>
      <c r="E463" s="7">
        <v>3422</v>
      </c>
      <c r="F463" s="7">
        <v>26</v>
      </c>
      <c r="G463" s="23">
        <v>17.5</v>
      </c>
      <c r="H463" s="34">
        <f>Tabela1[[#This Row],[PESO UNI]]*Tabela1[[#This Row],[QTE]]</f>
        <v>17.5</v>
      </c>
      <c r="I463" s="7">
        <v>0</v>
      </c>
      <c r="J463" s="8" t="s">
        <v>2550</v>
      </c>
      <c r="K463" s="8" t="s">
        <v>31</v>
      </c>
      <c r="L463" s="9" t="s">
        <v>2551</v>
      </c>
      <c r="M463" s="10">
        <v>46125</v>
      </c>
      <c r="N463" s="11" t="s">
        <v>38</v>
      </c>
      <c r="O463" s="12"/>
      <c r="P463" s="13"/>
      <c r="Q463" s="14">
        <f>Tabela1[[#This Row],[QTDE/ Fabricação]]-Tabela1[[#This Row],[QTE]]</f>
        <v>-1</v>
      </c>
      <c r="R463" s="18">
        <f t="shared" si="81"/>
        <v>17.5</v>
      </c>
      <c r="S463" s="18">
        <f t="shared" si="74"/>
        <v>17.5</v>
      </c>
      <c r="T463" s="19">
        <f t="shared" si="82"/>
        <v>0</v>
      </c>
      <c r="U463" s="16">
        <v>1</v>
      </c>
      <c r="V463" s="12">
        <f>IFERROR(VLOOKUP(Tabela1[[#This Row],[COD.MDE]],'LISTA DE EMBARQUE'!B:L,11,0),"")</f>
        <v>4</v>
      </c>
      <c r="W463" s="13" t="str">
        <f>IFERROR(COUNTIF(#REF!,Tabela1[[#This Row],[Colunas5]]),"")</f>
        <v/>
      </c>
      <c r="X463" s="14">
        <f>Tabela1[[#This Row],[QIANTIDADE EXPEDIDA]]*Tabela1[[#This Row],[PESO UNI]]</f>
        <v>17.5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4510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P-073080-1/P190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17.5</v>
      </c>
      <c r="AV463" s="37">
        <f t="shared" si="86"/>
        <v>17.5</v>
      </c>
      <c r="AW463" s="37"/>
    </row>
    <row r="464" spans="1:49" ht="15.75" hidden="1" customHeight="1" x14ac:dyDescent="0.25">
      <c r="A464" s="6" t="s">
        <v>2552</v>
      </c>
      <c r="B464" s="21"/>
      <c r="C464" s="7">
        <v>4</v>
      </c>
      <c r="D464" s="39" t="s">
        <v>4330</v>
      </c>
      <c r="E464" s="7">
        <v>3424</v>
      </c>
      <c r="F464" s="7">
        <v>23</v>
      </c>
      <c r="G464" s="23">
        <v>86.1</v>
      </c>
      <c r="H464" s="34">
        <f>Tabela1[[#This Row],[PESO UNI]]*Tabela1[[#This Row],[QTE]]</f>
        <v>344.4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-4</v>
      </c>
      <c r="R464" s="18">
        <f t="shared" si="81"/>
        <v>344.4</v>
      </c>
      <c r="S464" s="18">
        <f t="shared" si="74"/>
        <v>344.4</v>
      </c>
      <c r="T464" s="19">
        <f t="shared" si="82"/>
        <v>0</v>
      </c>
      <c r="U464" s="16">
        <v>4</v>
      </c>
      <c r="V464" s="12">
        <f>IFERROR(VLOOKUP(Tabela1[[#This Row],[COD.MDE]],'LISTA DE EMBARQUE'!B:L,11,0),"")</f>
        <v>3</v>
      </c>
      <c r="W464" s="13" t="str">
        <f>IFERROR(COUNTIF(#REF!,Tabela1[[#This Row],[Colunas5]]),"")</f>
        <v/>
      </c>
      <c r="X464" s="14">
        <f>Tabela1[[#This Row],[QIANTIDADE EXPEDIDA]]*Tabela1[[#This Row],[PESO UNI]]</f>
        <v>344.4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4510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344.4</v>
      </c>
      <c r="AV464" s="37">
        <f t="shared" si="86"/>
        <v>344.4</v>
      </c>
      <c r="AW464" s="37"/>
    </row>
    <row r="465" spans="1:49" ht="15.75" hidden="1" customHeight="1" x14ac:dyDescent="0.25">
      <c r="A465" s="6" t="s">
        <v>2552</v>
      </c>
      <c r="B465" s="21"/>
      <c r="C465" s="7">
        <v>1</v>
      </c>
      <c r="D465" s="39" t="s">
        <v>4331</v>
      </c>
      <c r="E465" s="7">
        <v>3425</v>
      </c>
      <c r="F465" s="7">
        <v>23</v>
      </c>
      <c r="G465" s="23">
        <v>1.4</v>
      </c>
      <c r="H465" s="34">
        <f>Tabela1[[#This Row],[PESO UNI]]*Tabela1[[#This Row],[QTE]]</f>
        <v>1.4</v>
      </c>
      <c r="I465" s="7" t="s">
        <v>2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1.4</v>
      </c>
      <c r="S465" s="18">
        <f t="shared" si="74"/>
        <v>1.4</v>
      </c>
      <c r="T465" s="19">
        <f t="shared" si="82"/>
        <v>0</v>
      </c>
      <c r="U465" s="16">
        <v>1</v>
      </c>
      <c r="V465" s="12" t="str">
        <f>IFERROR(VLOOKUP(Tabela1[[#This Row],[COD.MDE]],'LISTA DE EMBARQUE'!B:L,11,0),"")</f>
        <v/>
      </c>
      <c r="W465" s="13" t="str">
        <f>IFERROR(COUNTIF(#REF!,Tabela1[[#This Row],[Colunas5]]),"")</f>
        <v/>
      </c>
      <c r="X465" s="14">
        <f>Tabela1[[#This Row],[QIANTIDADE EXPEDIDA]]*Tabela1[[#This Row],[PESO UNI]]</f>
        <v>1.4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4510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P-073061-1/P190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1.4</v>
      </c>
      <c r="AV465" s="37">
        <f t="shared" si="86"/>
        <v>1.4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3426</v>
      </c>
      <c r="F466" s="7">
        <v>22</v>
      </c>
      <c r="G466" s="23">
        <v>4.5999999999999996</v>
      </c>
      <c r="H466" s="34">
        <f>Tabela1[[#This Row],[PESO UNI]]*Tabela1[[#This Row],[QTE]]</f>
        <v>4.5999999999999996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4.5999999999999996</v>
      </c>
      <c r="S466" s="18">
        <f t="shared" si="74"/>
        <v>4.5999999999999996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4.5999999999999996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4510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4.5999999999999996</v>
      </c>
      <c r="AV466" s="37">
        <f t="shared" si="86"/>
        <v>4.5999999999999996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3427</v>
      </c>
      <c r="F467" s="7">
        <v>22</v>
      </c>
      <c r="G467" s="23">
        <v>50.8</v>
      </c>
      <c r="H467" s="34">
        <f>Tabela1[[#This Row],[PESO UNI]]*Tabela1[[#This Row],[QTE]]</f>
        <v>50.8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50.8</v>
      </c>
      <c r="S467" s="18">
        <f t="shared" si="74"/>
        <v>50.8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50.8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4510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50.8</v>
      </c>
      <c r="AV467" s="37">
        <f t="shared" si="86"/>
        <v>50.8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3428</v>
      </c>
      <c r="F468" s="7">
        <v>22</v>
      </c>
      <c r="G468" s="23">
        <v>1.1000000000000001</v>
      </c>
      <c r="H468" s="34">
        <f>Tabela1[[#This Row],[PESO UNI]]*Tabela1[[#This Row],[QTE]]</f>
        <v>1.1000000000000001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1.1000000000000001</v>
      </c>
      <c r="S468" s="18">
        <f t="shared" si="74"/>
        <v>1.1000000000000001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1.1000000000000001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4510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1.1000000000000001</v>
      </c>
      <c r="AV468" s="37">
        <f t="shared" si="86"/>
        <v>1.1000000000000001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3429</v>
      </c>
      <c r="F469" s="7">
        <v>22</v>
      </c>
      <c r="G469" s="23">
        <v>23.6</v>
      </c>
      <c r="H469" s="34">
        <f>Tabela1[[#This Row],[PESO UNI]]*Tabela1[[#This Row],[QTE]]</f>
        <v>23.6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23.6</v>
      </c>
      <c r="S469" s="18">
        <f t="shared" si="74"/>
        <v>23.6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23.6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4510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23.6</v>
      </c>
      <c r="AV469" s="37">
        <f t="shared" si="86"/>
        <v>23.6</v>
      </c>
      <c r="AW469" s="37"/>
    </row>
    <row r="470" spans="1:49" ht="15.75" hidden="1" customHeight="1" x14ac:dyDescent="0.25">
      <c r="A470" s="6" t="s">
        <v>2553</v>
      </c>
      <c r="B470" s="21"/>
      <c r="C470" s="7">
        <v>1</v>
      </c>
      <c r="D470" s="39" t="s">
        <v>4336</v>
      </c>
      <c r="E470" s="7">
        <v>3430</v>
      </c>
      <c r="F470" s="7">
        <v>22</v>
      </c>
      <c r="G470" s="23">
        <v>1.1000000000000001</v>
      </c>
      <c r="H470" s="34">
        <f>Tabela1[[#This Row],[PESO UNI]]*Tabela1[[#This Row],[QTE]]</f>
        <v>1.1000000000000001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</v>
      </c>
      <c r="R470" s="18">
        <f t="shared" si="81"/>
        <v>1.1000000000000001</v>
      </c>
      <c r="S470" s="18">
        <f t="shared" si="74"/>
        <v>1.1000000000000001</v>
      </c>
      <c r="T470" s="19">
        <f t="shared" si="82"/>
        <v>0</v>
      </c>
      <c r="U470" s="16">
        <f>IFERROR(SUMIF('LISTA DE EMBARQUE'!B:B,MICRO!E:E,'LISTA DE EMBARQUE'!G:G),"")</f>
        <v>1</v>
      </c>
      <c r="V470" s="12">
        <f>IFERROR(VLOOKUP(Tabela1[[#This Row],[COD.MDE]],'LISTA DE EMBARQUE'!B:L,11,0),"")</f>
        <v>4</v>
      </c>
      <c r="W470" s="13" t="str">
        <f>IFERROR(COUNTIF(#REF!,Tabela1[[#This Row],[Colunas5]]),"")</f>
        <v/>
      </c>
      <c r="X470" s="14">
        <f>Tabela1[[#This Row],[QIANTIDADE EXPEDIDA]]*Tabela1[[#This Row],[PESO UNI]]</f>
        <v>1.1000000000000001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4510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1.1000000000000001</v>
      </c>
      <c r="AV470" s="37">
        <f t="shared" si="86"/>
        <v>1.1000000000000001</v>
      </c>
      <c r="AW470" s="37"/>
    </row>
    <row r="471" spans="1:49" ht="15.75" hidden="1" customHeight="1" x14ac:dyDescent="0.25">
      <c r="A471" s="6" t="s">
        <v>2553</v>
      </c>
      <c r="B471" s="21"/>
      <c r="C471" s="7">
        <v>19</v>
      </c>
      <c r="D471" s="39" t="s">
        <v>2554</v>
      </c>
      <c r="E471" s="7">
        <v>3431</v>
      </c>
      <c r="F471" s="7">
        <v>22</v>
      </c>
      <c r="G471" s="23">
        <v>7</v>
      </c>
      <c r="H471" s="34">
        <f>Tabela1[[#This Row],[PESO UNI]]*Tabela1[[#This Row],[QTE]]</f>
        <v>133</v>
      </c>
      <c r="I471" s="7">
        <v>0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-19</v>
      </c>
      <c r="R471" s="18">
        <f t="shared" si="81"/>
        <v>133</v>
      </c>
      <c r="S471" s="18">
        <f t="shared" si="74"/>
        <v>133</v>
      </c>
      <c r="T471" s="19">
        <f t="shared" si="82"/>
        <v>0</v>
      </c>
      <c r="U471" s="16">
        <f>IFERROR(SUMIF('LISTA DE EMBARQUE'!B:B,MICRO!E:E,'LISTA DE EMBARQUE'!G:G),"")</f>
        <v>19</v>
      </c>
      <c r="V471" s="12">
        <f>IFERROR(VLOOKUP(Tabela1[[#This Row],[COD.MDE]],'LISTA DE EMBARQUE'!B:L,11,0),"")</f>
        <v>3</v>
      </c>
      <c r="W471" s="13" t="str">
        <f>IFERROR(COUNTIF(#REF!,Tabela1[[#This Row],[Colunas5]]),"")</f>
        <v/>
      </c>
      <c r="X471" s="14">
        <f>Tabela1[[#This Row],[QIANTIDADE EXPEDIDA]]*Tabela1[[#This Row],[PESO UNI]]</f>
        <v>133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4510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P-073076-1/P190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133</v>
      </c>
      <c r="AV471" s="37">
        <f t="shared" si="86"/>
        <v>133</v>
      </c>
      <c r="AW471" s="37"/>
    </row>
    <row r="472" spans="1:49" ht="15.75" hidden="1" customHeight="1" x14ac:dyDescent="0.25">
      <c r="A472" s="6" t="s">
        <v>2555</v>
      </c>
      <c r="B472" s="21"/>
      <c r="C472" s="7">
        <v>2</v>
      </c>
      <c r="D472" s="39" t="s">
        <v>2548</v>
      </c>
      <c r="E472" s="7">
        <v>3433</v>
      </c>
      <c r="F472" s="7">
        <v>21</v>
      </c>
      <c r="G472" s="23">
        <v>4</v>
      </c>
      <c r="H472" s="34">
        <f>Tabela1[[#This Row],[PESO UNI]]*Tabela1[[#This Row],[QTE]]</f>
        <v>8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-2</v>
      </c>
      <c r="R472" s="18">
        <f t="shared" si="81"/>
        <v>8</v>
      </c>
      <c r="S472" s="18">
        <f t="shared" si="74"/>
        <v>8</v>
      </c>
      <c r="T472" s="19">
        <f t="shared" si="82"/>
        <v>0</v>
      </c>
      <c r="U472" s="16">
        <v>2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8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4510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8</v>
      </c>
      <c r="AV472" s="37">
        <f t="shared" si="86"/>
        <v>8</v>
      </c>
      <c r="AW472" s="37"/>
    </row>
    <row r="473" spans="1:49" ht="15.75" hidden="1" customHeight="1" x14ac:dyDescent="0.25">
      <c r="A473" s="6" t="s">
        <v>2555</v>
      </c>
      <c r="B473" s="21"/>
      <c r="C473" s="7">
        <v>4</v>
      </c>
      <c r="D473" s="39" t="s">
        <v>2549</v>
      </c>
      <c r="E473" s="7">
        <v>3434</v>
      </c>
      <c r="F473" s="7">
        <v>21</v>
      </c>
      <c r="G473" s="23">
        <v>4</v>
      </c>
      <c r="H473" s="34">
        <f>Tabela1[[#This Row],[PESO UNI]]*Tabela1[[#This Row],[QTE]]</f>
        <v>16</v>
      </c>
      <c r="I473" s="7">
        <v>1</v>
      </c>
      <c r="J473" s="8" t="s">
        <v>2550</v>
      </c>
      <c r="K473" s="8" t="s">
        <v>31</v>
      </c>
      <c r="L473" s="9" t="s">
        <v>2551</v>
      </c>
      <c r="M473" s="10">
        <v>46120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16</v>
      </c>
      <c r="S473" s="18">
        <f t="shared" si="74"/>
        <v>16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16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4510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P-024507-1/P190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16</v>
      </c>
      <c r="AV473" s="37">
        <f t="shared" si="86"/>
        <v>16</v>
      </c>
      <c r="AW473" s="37"/>
    </row>
    <row r="474" spans="1:49" ht="15.75" hidden="1" customHeight="1" x14ac:dyDescent="0.25">
      <c r="A474" s="6" t="s">
        <v>4337</v>
      </c>
      <c r="B474" s="21"/>
      <c r="C474" s="7">
        <v>4</v>
      </c>
      <c r="D474" s="39" t="s">
        <v>4338</v>
      </c>
      <c r="E474" s="7">
        <v>3436</v>
      </c>
      <c r="F474" s="7">
        <v>20</v>
      </c>
      <c r="G474" s="23">
        <v>23.8</v>
      </c>
      <c r="H474" s="34">
        <f>Tabela1[[#This Row],[PESO UNI]]*Tabela1[[#This Row],[QTE]]</f>
        <v>95.2</v>
      </c>
      <c r="I474" s="7">
        <v>0</v>
      </c>
      <c r="J474" s="8" t="s">
        <v>2550</v>
      </c>
      <c r="K474" s="8" t="s">
        <v>31</v>
      </c>
      <c r="L474" s="9" t="s">
        <v>2551</v>
      </c>
      <c r="M474" s="10">
        <v>46112</v>
      </c>
      <c r="N474" s="11" t="s">
        <v>38</v>
      </c>
      <c r="O474" s="12"/>
      <c r="P474" s="13"/>
      <c r="Q474" s="14">
        <f>Tabela1[[#This Row],[QTDE/ Fabricação]]-Tabela1[[#This Row],[QTE]]</f>
        <v>-4</v>
      </c>
      <c r="R474" s="18">
        <f t="shared" si="81"/>
        <v>95.2</v>
      </c>
      <c r="S474" s="18">
        <f t="shared" si="74"/>
        <v>95.2</v>
      </c>
      <c r="T474" s="19">
        <f t="shared" si="82"/>
        <v>0</v>
      </c>
      <c r="U474" s="16">
        <v>4</v>
      </c>
      <c r="V474" s="12" t="str">
        <f>IFERROR(VLOOKUP(Tabela1[[#This Row],[COD.MDE]],'LISTA DE EMBARQUE'!B:L,11,0),"")</f>
        <v/>
      </c>
      <c r="W474" s="13" t="str">
        <f>IFERROR(COUNTIF(#REF!,Tabela1[[#This Row],[Colunas5]]),"")</f>
        <v/>
      </c>
      <c r="X474" s="14">
        <f>Tabela1[[#This Row],[QIANTIDADE EXPEDIDA]]*Tabela1[[#This Row],[PESO UNI]]</f>
        <v>95.2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4510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P-073074-1/P190</v>
      </c>
      <c r="AP474" t="str">
        <f>Tabela1[[#This Row],[TAG]]&amp;Tabela1[[#This Row],[PEDIDO]]&amp;Tabela1[[#This Row],[PRODUTO]]</f>
        <v>P190P-190ESTRUTURA</v>
      </c>
      <c r="AQ474" s="22" t="str">
        <f>Tabela1[[#This Row],[PRODUTO]]&amp;Tabela1[[#This Row],[TAG]]</f>
        <v>ESTRUTURAP190</v>
      </c>
      <c r="AR474" s="24" t="str">
        <f>Tabela1[[#This Row],[PEDIDO]]&amp;Tabela1[[#This Row],[PRODUTO]]</f>
        <v>P-190ESTRUTURA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95.2</v>
      </c>
      <c r="AV474" s="37">
        <f t="shared" si="86"/>
        <v>95.2</v>
      </c>
      <c r="AW474" s="37"/>
    </row>
    <row r="475" spans="1:49" ht="15.75" hidden="1" customHeight="1" x14ac:dyDescent="0.25">
      <c r="A475" s="6" t="s">
        <v>4339</v>
      </c>
      <c r="B475" s="21"/>
      <c r="C475" s="7">
        <v>2</v>
      </c>
      <c r="D475" s="39" t="s">
        <v>4340</v>
      </c>
      <c r="E475" s="7">
        <v>3437</v>
      </c>
      <c r="F475" s="7">
        <v>19</v>
      </c>
      <c r="G475" s="23">
        <v>57</v>
      </c>
      <c r="H475" s="34">
        <f>Tabela1[[#This Row],[PESO UNI]]*Tabela1[[#This Row],[QTE]]</f>
        <v>114</v>
      </c>
      <c r="I475" s="7">
        <v>0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-2</v>
      </c>
      <c r="R475" s="18">
        <f t="shared" si="81"/>
        <v>114</v>
      </c>
      <c r="S475" s="18">
        <f t="shared" si="74"/>
        <v>114</v>
      </c>
      <c r="T475" s="19">
        <f t="shared" si="82"/>
        <v>0</v>
      </c>
      <c r="U475" s="16">
        <f>IFERROR(SUMIF('LISTA DE EMBARQUE'!B:B,MICRO!E:E,'LISTA DE EMBARQUE'!G:G),"")</f>
        <v>2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114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4510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P-024502-1/P190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114</v>
      </c>
      <c r="AV475" s="37">
        <f t="shared" si="86"/>
        <v>114</v>
      </c>
      <c r="AW475" s="37"/>
    </row>
    <row r="476" spans="1:49" ht="15.75" hidden="1" customHeight="1" x14ac:dyDescent="0.25">
      <c r="A476" s="6" t="s">
        <v>4341</v>
      </c>
      <c r="B476" s="21"/>
      <c r="C476" s="7">
        <v>1</v>
      </c>
      <c r="D476" s="39" t="s">
        <v>4342</v>
      </c>
      <c r="E476" s="7">
        <v>3438</v>
      </c>
      <c r="F476" s="7">
        <v>17</v>
      </c>
      <c r="G476" s="23">
        <v>29.1</v>
      </c>
      <c r="H476" s="34">
        <f>Tabela1[[#This Row],[PESO UNI]]*Tabela1[[#This Row],[QTE]]</f>
        <v>29.1</v>
      </c>
      <c r="I476" s="7">
        <v>1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29.1</v>
      </c>
      <c r="S476" s="18">
        <f t="shared" si="74"/>
        <v>29.1</v>
      </c>
      <c r="T476" s="19">
        <f t="shared" si="82"/>
        <v>0</v>
      </c>
      <c r="U476" s="16"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29.1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4510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P-024504-1/P190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29.1</v>
      </c>
      <c r="AV476" s="37">
        <f t="shared" si="86"/>
        <v>29.1</v>
      </c>
      <c r="AW476" s="37"/>
    </row>
    <row r="477" spans="1:49" ht="15.75" hidden="1" customHeight="1" x14ac:dyDescent="0.25">
      <c r="A477" s="6" t="s">
        <v>4343</v>
      </c>
      <c r="B477" s="21"/>
      <c r="C477" s="7">
        <v>1</v>
      </c>
      <c r="D477" s="39" t="s">
        <v>4344</v>
      </c>
      <c r="E477" s="7">
        <v>3439</v>
      </c>
      <c r="F477" s="7">
        <v>16</v>
      </c>
      <c r="G477" s="23">
        <v>0.5</v>
      </c>
      <c r="H477" s="34">
        <f>Tabela1[[#This Row],[PESO UNI]]*Tabela1[[#This Row],[QTE]]</f>
        <v>0.5</v>
      </c>
      <c r="I477" s="7">
        <v>0</v>
      </c>
      <c r="J477" s="8" t="s">
        <v>2550</v>
      </c>
      <c r="K477" s="8" t="s">
        <v>32</v>
      </c>
      <c r="L477" s="9" t="s">
        <v>2551</v>
      </c>
      <c r="M477" s="10">
        <v>46134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0.5</v>
      </c>
      <c r="S477" s="18">
        <f t="shared" si="74"/>
        <v>0.5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0.5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4510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P-024937-1/P190</v>
      </c>
      <c r="AP477" t="str">
        <f>Tabela1[[#This Row],[TAG]]&amp;Tabela1[[#This Row],[PEDIDO]]&amp;Tabela1[[#This Row],[PRODUTO]]</f>
        <v>P190P-190USINAGEM</v>
      </c>
      <c r="AQ477" s="22" t="str">
        <f>Tabela1[[#This Row],[PRODUTO]]&amp;Tabela1[[#This Row],[TAG]]</f>
        <v>USINAGEMP190</v>
      </c>
      <c r="AR477" s="24" t="str">
        <f>Tabela1[[#This Row],[PEDIDO]]&amp;Tabela1[[#This Row],[PRODUTO]]</f>
        <v>P-190USINAGEM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0.5</v>
      </c>
      <c r="AV477" s="37">
        <f t="shared" si="86"/>
        <v>0.5</v>
      </c>
      <c r="AW477" s="37"/>
    </row>
    <row r="478" spans="1:49" ht="15.75" hidden="1" customHeight="1" x14ac:dyDescent="0.25">
      <c r="A478" s="6" t="s">
        <v>4345</v>
      </c>
      <c r="B478" s="21"/>
      <c r="C478" s="7">
        <v>1</v>
      </c>
      <c r="D478" s="39" t="s">
        <v>4346</v>
      </c>
      <c r="E478" s="7">
        <v>3440</v>
      </c>
      <c r="F478" s="7">
        <v>16</v>
      </c>
      <c r="G478" s="23">
        <v>5</v>
      </c>
      <c r="H478" s="34">
        <f>Tabela1[[#This Row],[PESO UNI]]*Tabela1[[#This Row],[QTE]]</f>
        <v>5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5</v>
      </c>
      <c r="S478" s="18">
        <f t="shared" si="74"/>
        <v>5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5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4510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5</v>
      </c>
      <c r="AV478" s="37">
        <f t="shared" si="86"/>
        <v>5</v>
      </c>
      <c r="AW478" s="37"/>
    </row>
    <row r="479" spans="1:49" ht="15.75" hidden="1" customHeight="1" x14ac:dyDescent="0.25">
      <c r="A479" s="6" t="s">
        <v>4345</v>
      </c>
      <c r="B479" s="21"/>
      <c r="C479" s="7">
        <v>1</v>
      </c>
      <c r="D479" s="39" t="s">
        <v>4347</v>
      </c>
      <c r="E479" s="7">
        <v>3441</v>
      </c>
      <c r="F479" s="7">
        <v>16</v>
      </c>
      <c r="G479" s="23">
        <v>2</v>
      </c>
      <c r="H479" s="34">
        <f>Tabela1[[#This Row],[PESO UNI]]*Tabela1[[#This Row],[QTE]]</f>
        <v>2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2</v>
      </c>
      <c r="S479" s="18">
        <f t="shared" si="74"/>
        <v>2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2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4510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2</v>
      </c>
      <c r="AV479" s="37">
        <f t="shared" si="86"/>
        <v>2</v>
      </c>
      <c r="AW479" s="37"/>
    </row>
    <row r="480" spans="1:49" ht="15.75" hidden="1" customHeight="1" x14ac:dyDescent="0.25">
      <c r="A480" s="6" t="s">
        <v>4345</v>
      </c>
      <c r="B480" s="21"/>
      <c r="C480" s="7">
        <v>1</v>
      </c>
      <c r="D480" s="39" t="s">
        <v>4348</v>
      </c>
      <c r="E480" s="7">
        <v>3442</v>
      </c>
      <c r="F480" s="7">
        <v>16</v>
      </c>
      <c r="G480" s="23">
        <v>5.0999999999999996</v>
      </c>
      <c r="H480" s="34">
        <f>Tabela1[[#This Row],[PESO UNI]]*Tabela1[[#This Row],[QTE]]</f>
        <v>5.0999999999999996</v>
      </c>
      <c r="I480" s="7">
        <v>1</v>
      </c>
      <c r="J480" s="8" t="s">
        <v>2550</v>
      </c>
      <c r="K480" s="8" t="s">
        <v>31</v>
      </c>
      <c r="L480" s="9" t="s">
        <v>2551</v>
      </c>
      <c r="M480" s="10">
        <v>46112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5.0999999999999996</v>
      </c>
      <c r="S480" s="18">
        <f t="shared" si="74"/>
        <v>5.0999999999999996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5.0999999999999996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4510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P-024936-1/P190</v>
      </c>
      <c r="AP480" t="str">
        <f>Tabela1[[#This Row],[TAG]]&amp;Tabela1[[#This Row],[PEDIDO]]&amp;Tabela1[[#This Row],[PRODUTO]]</f>
        <v>P190P-190ESTRUTURA</v>
      </c>
      <c r="AQ480" s="22" t="str">
        <f>Tabela1[[#This Row],[PRODUTO]]&amp;Tabela1[[#This Row],[TAG]]</f>
        <v>ESTRUTURAP190</v>
      </c>
      <c r="AR480" s="24" t="str">
        <f>Tabela1[[#This Row],[PEDIDO]]&amp;Tabela1[[#This Row],[PRODUTO]]</f>
        <v>P-190ESTRUTURA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5.0999999999999996</v>
      </c>
      <c r="AV480" s="37">
        <f t="shared" si="86"/>
        <v>5.0999999999999996</v>
      </c>
      <c r="AW480" s="37"/>
    </row>
    <row r="481" spans="1:49" ht="15.75" hidden="1" customHeight="1" x14ac:dyDescent="0.25">
      <c r="A481" s="6" t="s">
        <v>4349</v>
      </c>
      <c r="B481" s="21"/>
      <c r="C481" s="7">
        <v>1</v>
      </c>
      <c r="D481" s="39" t="s">
        <v>4350</v>
      </c>
      <c r="E481" s="7">
        <v>3443</v>
      </c>
      <c r="F481" s="7">
        <v>15</v>
      </c>
      <c r="G481" s="23">
        <v>628.70000000000005</v>
      </c>
      <c r="H481" s="34">
        <f>Tabela1[[#This Row],[PESO UNI]]*Tabela1[[#This Row],[QTE]]</f>
        <v>628.70000000000005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628.70000000000005</v>
      </c>
      <c r="S481" s="18">
        <f t="shared" si="74"/>
        <v>628.70000000000005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628.70000000000005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4510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628.70000000000005</v>
      </c>
      <c r="AV481" s="37">
        <f t="shared" si="86"/>
        <v>628.70000000000005</v>
      </c>
      <c r="AW481" s="37"/>
    </row>
    <row r="482" spans="1:49" ht="15.75" hidden="1" customHeight="1" x14ac:dyDescent="0.25">
      <c r="A482" s="6" t="s">
        <v>4349</v>
      </c>
      <c r="B482" s="21"/>
      <c r="C482" s="7">
        <v>1</v>
      </c>
      <c r="D482" s="39" t="s">
        <v>4351</v>
      </c>
      <c r="E482" s="7">
        <v>3444</v>
      </c>
      <c r="F482" s="7">
        <v>15</v>
      </c>
      <c r="G482" s="23">
        <v>11.1</v>
      </c>
      <c r="H482" s="34">
        <f>Tabela1[[#This Row],[PESO UNI]]*Tabela1[[#This Row],[QTE]]</f>
        <v>11.1</v>
      </c>
      <c r="I482" s="7">
        <v>1</v>
      </c>
      <c r="J482" s="8" t="s">
        <v>2550</v>
      </c>
      <c r="K482" s="8" t="s">
        <v>22</v>
      </c>
      <c r="L482" s="9" t="s">
        <v>2551</v>
      </c>
      <c r="M482" s="10">
        <v>46119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11.1</v>
      </c>
      <c r="S482" s="18">
        <f t="shared" si="74"/>
        <v>11.1</v>
      </c>
      <c r="T482" s="19">
        <f t="shared" si="82"/>
        <v>0</v>
      </c>
      <c r="U482" s="16">
        <f>IFERROR(SUMIF('LISTA DE EMBARQUE'!B:B,MICRO!E:E,'LISTA DE EMBARQUE'!G:G),"")</f>
        <v>1</v>
      </c>
      <c r="V482" s="12">
        <f>IFERROR(VLOOKUP(Tabela1[[#This Row],[COD.MDE]],'LISTA DE EMBARQUE'!B:L,11,0),"")</f>
        <v>4</v>
      </c>
      <c r="W482" s="13" t="str">
        <f>IFERROR(COUNTIF(#REF!,Tabela1[[#This Row],[Colunas5]]),"")</f>
        <v/>
      </c>
      <c r="X482" s="14">
        <f>Tabela1[[#This Row],[QIANTIDADE EXPEDIDA]]*Tabela1[[#This Row],[PESO UNI]]</f>
        <v>11.1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4510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P-073062-1/P190</v>
      </c>
      <c r="AP482" t="str">
        <f>Tabela1[[#This Row],[TAG]]&amp;Tabela1[[#This Row],[PEDIDO]]&amp;Tabela1[[#This Row],[PRODUTO]]</f>
        <v>P190P-190TAMBOR</v>
      </c>
      <c r="AQ482" s="22" t="str">
        <f>Tabela1[[#This Row],[PRODUTO]]&amp;Tabela1[[#This Row],[TAG]]</f>
        <v>TAMBORP190</v>
      </c>
      <c r="AR482" s="24" t="str">
        <f>Tabela1[[#This Row],[PEDIDO]]&amp;Tabela1[[#This Row],[PRODUTO]]</f>
        <v>P-190TAMBOR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11.1</v>
      </c>
      <c r="AV482" s="37">
        <f t="shared" si="86"/>
        <v>11.1</v>
      </c>
      <c r="AW482" s="37"/>
    </row>
    <row r="483" spans="1:49" ht="15.75" hidden="1" customHeight="1" x14ac:dyDescent="0.25">
      <c r="A483" s="6" t="s">
        <v>4352</v>
      </c>
      <c r="B483" s="21"/>
      <c r="C483" s="7">
        <v>1</v>
      </c>
      <c r="D483" s="39" t="s">
        <v>4353</v>
      </c>
      <c r="E483" s="7">
        <v>3445</v>
      </c>
      <c r="F483" s="7">
        <v>13</v>
      </c>
      <c r="G483" s="23">
        <v>25.3</v>
      </c>
      <c r="H483" s="34">
        <f>Tabela1[[#This Row],[PESO UNI]]*Tabela1[[#This Row],[QTE]]</f>
        <v>25.3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25.3</v>
      </c>
      <c r="S483" s="18">
        <f t="shared" si="74"/>
        <v>25.3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25.3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4510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25.3</v>
      </c>
      <c r="AV483" s="37">
        <f t="shared" si="86"/>
        <v>25.3</v>
      </c>
      <c r="AW483" s="37"/>
    </row>
    <row r="484" spans="1:49" ht="15.75" hidden="1" customHeight="1" x14ac:dyDescent="0.25">
      <c r="A484" s="6" t="s">
        <v>4352</v>
      </c>
      <c r="B484" s="21"/>
      <c r="C484" s="7">
        <v>1</v>
      </c>
      <c r="D484" s="39" t="s">
        <v>4354</v>
      </c>
      <c r="E484" s="7">
        <v>3446</v>
      </c>
      <c r="F484" s="7">
        <v>13</v>
      </c>
      <c r="G484" s="23">
        <v>12.3</v>
      </c>
      <c r="H484" s="34">
        <f>Tabela1[[#This Row],[PESO UNI]]*Tabela1[[#This Row],[QTE]]</f>
        <v>12.3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12.3</v>
      </c>
      <c r="S484" s="18">
        <f t="shared" si="74"/>
        <v>12.3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12.3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4510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12.3</v>
      </c>
      <c r="AV484" s="37">
        <f t="shared" si="86"/>
        <v>12.3</v>
      </c>
      <c r="AW484" s="37"/>
    </row>
    <row r="485" spans="1:49" ht="15.75" hidden="1" customHeight="1" x14ac:dyDescent="0.25">
      <c r="A485" s="6" t="s">
        <v>4352</v>
      </c>
      <c r="B485" s="21"/>
      <c r="C485" s="7">
        <v>1</v>
      </c>
      <c r="D485" s="39" t="s">
        <v>4355</v>
      </c>
      <c r="E485" s="7">
        <v>3447</v>
      </c>
      <c r="F485" s="7">
        <v>13</v>
      </c>
      <c r="G485" s="23">
        <v>4.2</v>
      </c>
      <c r="H485" s="34">
        <f>Tabela1[[#This Row],[PESO UNI]]*Tabela1[[#This Row],[QTE]]</f>
        <v>4.2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4.2</v>
      </c>
      <c r="S485" s="18">
        <f t="shared" si="74"/>
        <v>4.2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4.2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4510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4.2</v>
      </c>
      <c r="AV485" s="37">
        <f t="shared" si="86"/>
        <v>4.2</v>
      </c>
      <c r="AW485" s="37"/>
    </row>
    <row r="486" spans="1:49" ht="15.75" hidden="1" customHeight="1" x14ac:dyDescent="0.25">
      <c r="A486" s="6" t="s">
        <v>4352</v>
      </c>
      <c r="B486" s="21"/>
      <c r="C486" s="7">
        <v>1</v>
      </c>
      <c r="D486" s="39" t="s">
        <v>4356</v>
      </c>
      <c r="E486" s="7">
        <v>3448</v>
      </c>
      <c r="F486" s="7">
        <v>13</v>
      </c>
      <c r="G486" s="23">
        <v>0.5</v>
      </c>
      <c r="H486" s="34">
        <f>Tabela1[[#This Row],[PESO UNI]]*Tabela1[[#This Row],[QTE]]</f>
        <v>0.5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0.5</v>
      </c>
      <c r="S486" s="18">
        <f t="shared" si="74"/>
        <v>0.5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0.5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4510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0.5</v>
      </c>
      <c r="AV486" s="37">
        <f t="shared" si="86"/>
        <v>0.5</v>
      </c>
      <c r="AW486" s="37"/>
    </row>
    <row r="487" spans="1:49" ht="15.75" hidden="1" customHeight="1" x14ac:dyDescent="0.25">
      <c r="A487" s="6" t="s">
        <v>4352</v>
      </c>
      <c r="B487" s="21"/>
      <c r="C487" s="7">
        <v>1</v>
      </c>
      <c r="D487" s="39" t="s">
        <v>4357</v>
      </c>
      <c r="E487" s="7">
        <v>3449</v>
      </c>
      <c r="F487" s="7">
        <v>13</v>
      </c>
      <c r="G487" s="23">
        <v>0.2</v>
      </c>
      <c r="H487" s="34">
        <f>Tabela1[[#This Row],[PESO UNI]]*Tabela1[[#This Row],[QTE]]</f>
        <v>0.2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-1</v>
      </c>
      <c r="R487" s="18">
        <f t="shared" si="81"/>
        <v>0.2</v>
      </c>
      <c r="S487" s="18">
        <f t="shared" si="74"/>
        <v>0.2</v>
      </c>
      <c r="T487" s="19">
        <f t="shared" si="82"/>
        <v>0</v>
      </c>
      <c r="U487" s="16">
        <v>1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0.2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4510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0.2</v>
      </c>
      <c r="AV487" s="37">
        <f t="shared" si="86"/>
        <v>0.2</v>
      </c>
      <c r="AW487" s="37"/>
    </row>
    <row r="488" spans="1:49" ht="15.75" hidden="1" customHeight="1" x14ac:dyDescent="0.25">
      <c r="A488" s="6" t="s">
        <v>4352</v>
      </c>
      <c r="B488" s="21"/>
      <c r="C488" s="7">
        <v>2</v>
      </c>
      <c r="D488" s="39" t="s">
        <v>4358</v>
      </c>
      <c r="E488" s="7">
        <v>3450</v>
      </c>
      <c r="F488" s="7">
        <v>13</v>
      </c>
      <c r="G488" s="23">
        <v>7</v>
      </c>
      <c r="H488" s="34">
        <f>Tabela1[[#This Row],[PESO UNI]]*Tabela1[[#This Row],[QTE]]</f>
        <v>14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14</v>
      </c>
      <c r="S488" s="18">
        <f t="shared" si="74"/>
        <v>14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14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4510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14</v>
      </c>
      <c r="AV488" s="37">
        <f t="shared" si="86"/>
        <v>14</v>
      </c>
      <c r="AW488" s="37"/>
    </row>
    <row r="489" spans="1:49" ht="15.75" hidden="1" customHeight="1" x14ac:dyDescent="0.25">
      <c r="A489" s="6" t="s">
        <v>4352</v>
      </c>
      <c r="B489" s="21"/>
      <c r="C489" s="7">
        <v>2</v>
      </c>
      <c r="D489" s="39" t="s">
        <v>4359</v>
      </c>
      <c r="E489" s="7">
        <v>3451</v>
      </c>
      <c r="F489" s="7">
        <v>13</v>
      </c>
      <c r="G489" s="23">
        <v>0.8</v>
      </c>
      <c r="H489" s="34">
        <f>Tabela1[[#This Row],[PESO UNI]]*Tabela1[[#This Row],[QTE]]</f>
        <v>1.6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-2</v>
      </c>
      <c r="R489" s="18">
        <f t="shared" si="81"/>
        <v>1.6</v>
      </c>
      <c r="S489" s="18">
        <f t="shared" si="74"/>
        <v>1.6</v>
      </c>
      <c r="T489" s="19">
        <f t="shared" si="82"/>
        <v>0</v>
      </c>
      <c r="U489" s="16">
        <v>2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1.6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4510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1.6</v>
      </c>
      <c r="AV489" s="37">
        <f t="shared" si="86"/>
        <v>1.6</v>
      </c>
      <c r="AW489" s="37"/>
    </row>
    <row r="490" spans="1:49" ht="15.75" hidden="1" customHeight="1" x14ac:dyDescent="0.25">
      <c r="A490" s="6" t="s">
        <v>4352</v>
      </c>
      <c r="B490" s="21"/>
      <c r="C490" s="7">
        <v>1</v>
      </c>
      <c r="D490" s="39" t="s">
        <v>4360</v>
      </c>
      <c r="E490" s="7">
        <v>3452</v>
      </c>
      <c r="F490" s="7">
        <v>13</v>
      </c>
      <c r="G490" s="23">
        <v>0.6</v>
      </c>
      <c r="H490" s="34">
        <f>Tabela1[[#This Row],[PESO UNI]]*Tabela1[[#This Row],[QTE]]</f>
        <v>0.6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0.6</v>
      </c>
      <c r="S490" s="18">
        <f t="shared" si="74"/>
        <v>0.6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0.6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4510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0.6</v>
      </c>
      <c r="AV490" s="37">
        <f t="shared" si="86"/>
        <v>0.6</v>
      </c>
      <c r="AW490" s="37"/>
    </row>
    <row r="491" spans="1:49" ht="15.75" hidden="1" customHeight="1" x14ac:dyDescent="0.25">
      <c r="A491" s="6" t="s">
        <v>4352</v>
      </c>
      <c r="B491" s="21"/>
      <c r="C491" s="7">
        <v>1</v>
      </c>
      <c r="D491" s="39" t="s">
        <v>4361</v>
      </c>
      <c r="E491" s="7">
        <v>3453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4510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4352</v>
      </c>
      <c r="B492" s="21"/>
      <c r="C492" s="7">
        <v>1</v>
      </c>
      <c r="D492" s="39" t="s">
        <v>4362</v>
      </c>
      <c r="E492" s="7">
        <v>3454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4510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4352</v>
      </c>
      <c r="B493" s="21"/>
      <c r="C493" s="7">
        <v>1</v>
      </c>
      <c r="D493" s="39" t="s">
        <v>4363</v>
      </c>
      <c r="E493" s="7">
        <v>3455</v>
      </c>
      <c r="F493" s="7">
        <v>13</v>
      </c>
      <c r="G493" s="23">
        <v>0.1</v>
      </c>
      <c r="H493" s="34">
        <f>Tabela1[[#This Row],[PESO UNI]]*Tabela1[[#This Row],[QTE]]</f>
        <v>0.1</v>
      </c>
      <c r="I493" s="7">
        <v>1</v>
      </c>
      <c r="J493" s="8" t="s">
        <v>2550</v>
      </c>
      <c r="K493" s="8" t="s">
        <v>31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0.1</v>
      </c>
      <c r="S493" s="18">
        <f t="shared" si="74"/>
        <v>0.1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0.1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4510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P-024506-1/P190</v>
      </c>
      <c r="AP493" t="str">
        <f>Tabela1[[#This Row],[TAG]]&amp;Tabela1[[#This Row],[PEDIDO]]&amp;Tabela1[[#This Row],[PRODUTO]]</f>
        <v>P190P-190ESTRUTURA</v>
      </c>
      <c r="AQ493" s="22" t="str">
        <f>Tabela1[[#This Row],[PRODUTO]]&amp;Tabela1[[#This Row],[TAG]]</f>
        <v>ESTRUTURAP190</v>
      </c>
      <c r="AR493" s="24" t="str">
        <f>Tabela1[[#This Row],[PEDIDO]]&amp;Tabela1[[#This Row],[PRODUTO]]</f>
        <v>P-190ESTRUTURA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0.1</v>
      </c>
      <c r="AV493" s="37">
        <f t="shared" si="86"/>
        <v>0.1</v>
      </c>
      <c r="AW493" s="37"/>
    </row>
    <row r="494" spans="1:49" ht="15.75" hidden="1" customHeight="1" x14ac:dyDescent="0.25">
      <c r="A494" s="6" t="s">
        <v>4364</v>
      </c>
      <c r="B494" s="21"/>
      <c r="C494" s="7">
        <v>1</v>
      </c>
      <c r="D494" s="39" t="s">
        <v>4365</v>
      </c>
      <c r="E494" s="7">
        <v>3456</v>
      </c>
      <c r="F494" s="7">
        <v>12</v>
      </c>
      <c r="G494" s="23">
        <v>0.2</v>
      </c>
      <c r="H494" s="34">
        <f>Tabela1[[#This Row],[PESO UNI]]*Tabela1[[#This Row],[QTE]]</f>
        <v>0.2</v>
      </c>
      <c r="I494" s="7">
        <v>12</v>
      </c>
      <c r="J494" s="8" t="s">
        <v>2550</v>
      </c>
      <c r="K494" s="8" t="s">
        <v>45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0.2</v>
      </c>
      <c r="S494" s="18">
        <f t="shared" si="74"/>
        <v>0.2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0.2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4510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P190P-190COMERCIAL</v>
      </c>
      <c r="AQ494" s="22" t="str">
        <f>Tabela1[[#This Row],[PRODUTO]]&amp;Tabela1[[#This Row],[TAG]]</f>
        <v>COMERCIALP190</v>
      </c>
      <c r="AR494" s="24" t="str">
        <f>Tabela1[[#This Row],[PEDIDO]]&amp;Tabela1[[#This Row],[PRODUTO]]</f>
        <v>P-190COMERCIAL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0.2</v>
      </c>
      <c r="AV494" s="37">
        <f t="shared" si="86"/>
        <v>0.2</v>
      </c>
      <c r="AW494" s="37"/>
    </row>
    <row r="495" spans="1:49" ht="15.75" hidden="1" customHeight="1" x14ac:dyDescent="0.25">
      <c r="A495" s="6" t="s">
        <v>4364</v>
      </c>
      <c r="B495" s="21"/>
      <c r="C495" s="7">
        <v>1</v>
      </c>
      <c r="D495" s="39" t="s">
        <v>4366</v>
      </c>
      <c r="E495" s="7">
        <v>3457</v>
      </c>
      <c r="F495" s="7">
        <v>12</v>
      </c>
      <c r="G495" s="23">
        <v>0.4</v>
      </c>
      <c r="H495" s="34">
        <f>Tabela1[[#This Row],[PESO UNI]]*Tabela1[[#This Row],[QTE]]</f>
        <v>0.4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0.4</v>
      </c>
      <c r="S495" s="18">
        <f t="shared" si="74"/>
        <v>0.4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0.4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4510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0.4</v>
      </c>
      <c r="AV495" s="37">
        <f t="shared" si="86"/>
        <v>0.4</v>
      </c>
      <c r="AW495" s="37"/>
    </row>
    <row r="496" spans="1:49" ht="15.75" hidden="1" customHeight="1" x14ac:dyDescent="0.25">
      <c r="A496" s="6" t="s">
        <v>4364</v>
      </c>
      <c r="B496" s="21"/>
      <c r="C496" s="7">
        <v>1</v>
      </c>
      <c r="D496" s="39" t="s">
        <v>2557</v>
      </c>
      <c r="E496" s="7">
        <v>3458</v>
      </c>
      <c r="F496" s="7">
        <v>12</v>
      </c>
      <c r="G496" s="23">
        <v>0.6</v>
      </c>
      <c r="H496" s="34">
        <f>Tabela1[[#This Row],[PESO UNI]]*Tabela1[[#This Row],[QTE]]</f>
        <v>0.6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0.6</v>
      </c>
      <c r="S496" s="18">
        <f t="shared" si="74"/>
        <v>0.6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0.6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4510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0.6</v>
      </c>
      <c r="AV496" s="37">
        <f t="shared" si="86"/>
        <v>0.6</v>
      </c>
      <c r="AW496" s="37"/>
    </row>
    <row r="497" spans="1:49" ht="15.75" hidden="1" customHeight="1" x14ac:dyDescent="0.25">
      <c r="A497" s="6" t="s">
        <v>4364</v>
      </c>
      <c r="B497" s="21"/>
      <c r="C497" s="7">
        <v>1</v>
      </c>
      <c r="D497" s="39" t="s">
        <v>4367</v>
      </c>
      <c r="E497" s="7">
        <v>3459</v>
      </c>
      <c r="F497" s="7">
        <v>12</v>
      </c>
      <c r="G497" s="23">
        <v>0.4</v>
      </c>
      <c r="H497" s="34">
        <f>Tabela1[[#This Row],[PESO UNI]]*Tabela1[[#This Row],[QTE]]</f>
        <v>0.4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0.4</v>
      </c>
      <c r="S497" s="18">
        <f t="shared" si="74"/>
        <v>0.4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0.4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4510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0.4</v>
      </c>
      <c r="AV497" s="37">
        <f t="shared" si="86"/>
        <v>0.4</v>
      </c>
      <c r="AW497" s="37"/>
    </row>
    <row r="498" spans="1:49" ht="15.75" hidden="1" customHeight="1" x14ac:dyDescent="0.25">
      <c r="A498" s="6" t="s">
        <v>4364</v>
      </c>
      <c r="B498" s="21"/>
      <c r="C498" s="7">
        <v>1</v>
      </c>
      <c r="D498" s="39" t="s">
        <v>4368</v>
      </c>
      <c r="E498" s="7">
        <v>3460</v>
      </c>
      <c r="F498" s="7">
        <v>12</v>
      </c>
      <c r="G498" s="23">
        <v>9</v>
      </c>
      <c r="H498" s="34">
        <f>Tabela1[[#This Row],[PESO UNI]]*Tabela1[[#This Row],[QTE]]</f>
        <v>9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-1</v>
      </c>
      <c r="R498" s="18">
        <f t="shared" si="81"/>
        <v>9</v>
      </c>
      <c r="S498" s="18">
        <f t="shared" si="74"/>
        <v>9</v>
      </c>
      <c r="T498" s="19">
        <f t="shared" si="82"/>
        <v>0</v>
      </c>
      <c r="U498" s="16">
        <v>1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9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4510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9</v>
      </c>
      <c r="AV498" s="37">
        <f t="shared" si="86"/>
        <v>9</v>
      </c>
      <c r="AW498" s="37"/>
    </row>
    <row r="499" spans="1:49" ht="15.75" hidden="1" customHeight="1" x14ac:dyDescent="0.25">
      <c r="A499" s="6" t="s">
        <v>4364</v>
      </c>
      <c r="B499" s="21"/>
      <c r="C499" s="7">
        <v>2</v>
      </c>
      <c r="D499" s="39" t="s">
        <v>4369</v>
      </c>
      <c r="E499" s="7">
        <v>3461</v>
      </c>
      <c r="F499" s="7">
        <v>12</v>
      </c>
      <c r="G499" s="23">
        <v>5</v>
      </c>
      <c r="H499" s="34">
        <f>Tabela1[[#This Row],[PESO UNI]]*Tabela1[[#This Row],[QTE]]</f>
        <v>10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-2</v>
      </c>
      <c r="R499" s="18">
        <f t="shared" si="81"/>
        <v>10</v>
      </c>
      <c r="S499" s="18">
        <f t="shared" si="74"/>
        <v>10</v>
      </c>
      <c r="T499" s="19">
        <f t="shared" si="82"/>
        <v>0</v>
      </c>
      <c r="U499" s="16">
        <v>2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10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4510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10</v>
      </c>
      <c r="AV499" s="37">
        <f t="shared" si="86"/>
        <v>10</v>
      </c>
      <c r="AW499" s="37"/>
    </row>
    <row r="500" spans="1:49" ht="15.75" hidden="1" customHeight="1" x14ac:dyDescent="0.25">
      <c r="A500" s="6" t="s">
        <v>4364</v>
      </c>
      <c r="B500" s="21"/>
      <c r="C500" s="7">
        <v>1</v>
      </c>
      <c r="D500" s="39" t="s">
        <v>4370</v>
      </c>
      <c r="E500" s="7">
        <v>3462</v>
      </c>
      <c r="F500" s="7">
        <v>12</v>
      </c>
      <c r="G500" s="23">
        <v>23.4</v>
      </c>
      <c r="H500" s="34">
        <f>Tabela1[[#This Row],[PESO UNI]]*Tabela1[[#This Row],[QTE]]</f>
        <v>23.4</v>
      </c>
      <c r="I500" s="7">
        <v>12</v>
      </c>
      <c r="J500" s="8" t="s">
        <v>2550</v>
      </c>
      <c r="K500" s="8" t="s">
        <v>31</v>
      </c>
      <c r="L500" s="9" t="s">
        <v>2551</v>
      </c>
      <c r="M500" s="10">
        <v>46123</v>
      </c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23.4</v>
      </c>
      <c r="S500" s="18">
        <f t="shared" si="74"/>
        <v>23.4</v>
      </c>
      <c r="T500" s="19">
        <f t="shared" si="82"/>
        <v>0</v>
      </c>
      <c r="U500" s="16">
        <v>1</v>
      </c>
      <c r="V500" s="12" t="str">
        <f>IFERROR(VLOOKUP(Tabela1[[#This Row],[COD.MDE]],'LISTA DE EMBARQUE'!B:L,11,0),"")</f>
        <v/>
      </c>
      <c r="W500" s="13" t="str">
        <f>IFERROR(COUNTIF(#REF!,Tabela1[[#This Row],[Colunas5]]),"")</f>
        <v/>
      </c>
      <c r="X500" s="14">
        <f>Tabela1[[#This Row],[QIANTIDADE EXPEDIDA]]*Tabela1[[#This Row],[PESO UNI]]</f>
        <v>23.4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4510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P-024527-1/P190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23.4</v>
      </c>
      <c r="AV500" s="37">
        <f t="shared" si="86"/>
        <v>23.4</v>
      </c>
      <c r="AW500" s="37"/>
    </row>
    <row r="501" spans="1:49" ht="15.75" hidden="1" customHeight="1" x14ac:dyDescent="0.25">
      <c r="A501" s="6" t="s">
        <v>4371</v>
      </c>
      <c r="B501" s="21"/>
      <c r="C501" s="7">
        <v>1</v>
      </c>
      <c r="D501" s="39" t="s">
        <v>4372</v>
      </c>
      <c r="E501" s="7">
        <v>3464</v>
      </c>
      <c r="F501" s="7">
        <v>13</v>
      </c>
      <c r="G501" s="23">
        <v>51.7</v>
      </c>
      <c r="H501" s="34">
        <f>Tabela1[[#This Row],[PESO UNI]]*Tabela1[[#This Row],[QTE]]</f>
        <v>51.7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51.7</v>
      </c>
      <c r="S501" s="18">
        <f t="shared" si="74"/>
        <v>51.7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51.7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4510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P-073059-1/P190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51.7</v>
      </c>
      <c r="AV501" s="37">
        <f t="shared" si="86"/>
        <v>51.7</v>
      </c>
      <c r="AW501" s="37"/>
    </row>
    <row r="502" spans="1:49" ht="15.75" hidden="1" customHeight="1" x14ac:dyDescent="0.25">
      <c r="A502" s="6" t="s">
        <v>4373</v>
      </c>
      <c r="B502" s="21"/>
      <c r="C502" s="7">
        <v>1</v>
      </c>
      <c r="D502" s="39" t="s">
        <v>4374</v>
      </c>
      <c r="E502" s="7">
        <v>3465</v>
      </c>
      <c r="F502" s="7">
        <v>12</v>
      </c>
      <c r="G502" s="23">
        <v>232.8</v>
      </c>
      <c r="H502" s="34">
        <f>Tabela1[[#This Row],[PESO UNI]]*Tabela1[[#This Row],[QTE]]</f>
        <v>232.8</v>
      </c>
      <c r="I502" s="7">
        <v>0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-1</v>
      </c>
      <c r="R502" s="18">
        <f t="shared" si="81"/>
        <v>232.8</v>
      </c>
      <c r="S502" s="18">
        <f t="shared" si="74"/>
        <v>232.8</v>
      </c>
      <c r="T502" s="19">
        <f t="shared" si="82"/>
        <v>0</v>
      </c>
      <c r="U502" s="16">
        <f>IFERROR(SUMIF('LISTA DE EMBARQUE'!B:B,MICRO!E:E,'LISTA DE EMBARQUE'!G:G),"")</f>
        <v>1</v>
      </c>
      <c r="V502" s="12">
        <f>IFERROR(VLOOKUP(Tabela1[[#This Row],[COD.MDE]],'LISTA DE EMBARQUE'!B:L,11,0),"")</f>
        <v>4</v>
      </c>
      <c r="W502" s="13" t="str">
        <f>IFERROR(COUNTIF(#REF!,Tabela1[[#This Row],[Colunas5]]),"")</f>
        <v/>
      </c>
      <c r="X502" s="14">
        <f>Tabela1[[#This Row],[QIANTIDADE EXPEDIDA]]*Tabela1[[#This Row],[PESO UNI]]</f>
        <v>232.8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4510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P-073058-1/P190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232.8</v>
      </c>
      <c r="AV502" s="37">
        <f t="shared" si="86"/>
        <v>232.8</v>
      </c>
      <c r="AW502" s="37"/>
    </row>
    <row r="503" spans="1:49" ht="15.75" hidden="1" customHeight="1" x14ac:dyDescent="0.25">
      <c r="A503" s="6" t="s">
        <v>4375</v>
      </c>
      <c r="B503" s="21"/>
      <c r="C503" s="7">
        <v>2</v>
      </c>
      <c r="D503" s="39" t="s">
        <v>4376</v>
      </c>
      <c r="E503" s="7">
        <v>3466</v>
      </c>
      <c r="F503" s="7">
        <v>12</v>
      </c>
      <c r="G503" s="23">
        <v>31</v>
      </c>
      <c r="H503" s="34">
        <f>Tabela1[[#This Row],[PESO UNI]]*Tabela1[[#This Row],[QTE]]</f>
        <v>62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-2</v>
      </c>
      <c r="R503" s="18">
        <f t="shared" si="81"/>
        <v>62</v>
      </c>
      <c r="S503" s="18">
        <f t="shared" si="74"/>
        <v>62</v>
      </c>
      <c r="T503" s="19">
        <f t="shared" si="82"/>
        <v>0</v>
      </c>
      <c r="U503" s="16">
        <v>2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62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4510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P-024529-1/P190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62</v>
      </c>
      <c r="AV503" s="37">
        <f t="shared" si="86"/>
        <v>62</v>
      </c>
      <c r="AW503" s="37"/>
    </row>
    <row r="504" spans="1:49" ht="15.75" hidden="1" customHeight="1" x14ac:dyDescent="0.25">
      <c r="A504" s="6" t="s">
        <v>4377</v>
      </c>
      <c r="B504" s="21"/>
      <c r="C504" s="7">
        <v>1</v>
      </c>
      <c r="D504" s="39" t="s">
        <v>4378</v>
      </c>
      <c r="E504" s="7">
        <v>3467</v>
      </c>
      <c r="F504" s="7">
        <v>12</v>
      </c>
      <c r="G504" s="23">
        <v>45.4</v>
      </c>
      <c r="H504" s="34">
        <f>Tabela1[[#This Row],[PESO UNI]]*Tabela1[[#This Row],[QTE]]</f>
        <v>45.4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-1</v>
      </c>
      <c r="R504" s="18">
        <f t="shared" si="81"/>
        <v>45.4</v>
      </c>
      <c r="S504" s="18">
        <f t="shared" si="74"/>
        <v>45.4</v>
      </c>
      <c r="T504" s="19">
        <f t="shared" si="82"/>
        <v>0</v>
      </c>
      <c r="U504" s="16">
        <v>1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45.4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4510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P-024526-1/P190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45.4</v>
      </c>
      <c r="AV504" s="37">
        <f t="shared" si="86"/>
        <v>45.4</v>
      </c>
      <c r="AW504" s="37"/>
    </row>
    <row r="505" spans="1:49" ht="15.75" hidden="1" customHeight="1" x14ac:dyDescent="0.25">
      <c r="A505" s="6" t="s">
        <v>4379</v>
      </c>
      <c r="B505" s="21"/>
      <c r="C505" s="7">
        <v>2</v>
      </c>
      <c r="D505" s="39" t="s">
        <v>4380</v>
      </c>
      <c r="E505" s="7">
        <v>3468</v>
      </c>
      <c r="F505" s="7"/>
      <c r="G505" s="23">
        <v>24</v>
      </c>
      <c r="H505" s="34">
        <f>Tabela1[[#This Row],[PESO UNI]]*Tabela1[[#This Row],[QTE]]</f>
        <v>48</v>
      </c>
      <c r="I505" s="7">
        <v>1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-2</v>
      </c>
      <c r="R505" s="18">
        <f t="shared" si="81"/>
        <v>48</v>
      </c>
      <c r="S505" s="18">
        <f t="shared" si="74"/>
        <v>48</v>
      </c>
      <c r="T505" s="19">
        <f t="shared" si="82"/>
        <v>0</v>
      </c>
      <c r="U505" s="16">
        <v>2</v>
      </c>
      <c r="V505" s="12" t="str">
        <f>IFERROR(VLOOKUP(Tabela1[[#This Row],[COD.MDE]],'LISTA DE EMBARQUE'!B:L,11,0),"")</f>
        <v/>
      </c>
      <c r="W505" s="13" t="str">
        <f>IFERROR(COUNTIF(#REF!,Tabela1[[#This Row],[Colunas5]]),"")</f>
        <v/>
      </c>
      <c r="X505" s="14">
        <f>Tabela1[[#This Row],[QIANTIDADE EXPEDIDA]]*Tabela1[[#This Row],[PESO UNI]]</f>
        <v>48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4510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P-024528-1/P190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48</v>
      </c>
      <c r="AV505" s="37">
        <f t="shared" si="86"/>
        <v>48</v>
      </c>
      <c r="AW505" s="37"/>
    </row>
    <row r="506" spans="1:49" ht="15.75" hidden="1" customHeight="1" x14ac:dyDescent="0.25">
      <c r="A506" s="6" t="s">
        <v>4381</v>
      </c>
      <c r="B506" s="21"/>
      <c r="C506" s="7">
        <v>1</v>
      </c>
      <c r="D506" s="39" t="s">
        <v>4382</v>
      </c>
      <c r="E506" s="7">
        <v>3469</v>
      </c>
      <c r="F506" s="7">
        <v>10</v>
      </c>
      <c r="G506" s="23">
        <v>28.1</v>
      </c>
      <c r="H506" s="34">
        <f>Tabela1[[#This Row],[PESO UNI]]*Tabela1[[#This Row],[QTE]]</f>
        <v>28.1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28.1</v>
      </c>
      <c r="S506" s="18">
        <f t="shared" si="74"/>
        <v>28.1</v>
      </c>
      <c r="T506" s="19">
        <f t="shared" si="82"/>
        <v>0</v>
      </c>
      <c r="U506" s="16"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28.1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4510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28.1</v>
      </c>
      <c r="AV506" s="37">
        <f t="shared" si="86"/>
        <v>28.1</v>
      </c>
      <c r="AW506" s="37"/>
    </row>
    <row r="507" spans="1:49" ht="15.75" hidden="1" customHeight="1" x14ac:dyDescent="0.25">
      <c r="A507" s="6" t="s">
        <v>4381</v>
      </c>
      <c r="B507" s="21"/>
      <c r="C507" s="7">
        <v>1</v>
      </c>
      <c r="D507" s="39" t="s">
        <v>4383</v>
      </c>
      <c r="E507" s="7">
        <v>3470</v>
      </c>
      <c r="F507" s="7">
        <v>10</v>
      </c>
      <c r="G507" s="23">
        <v>2.9</v>
      </c>
      <c r="H507" s="34">
        <f>Tabela1[[#This Row],[PESO UNI]]*Tabela1[[#This Row],[QTE]]</f>
        <v>2.9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2.9</v>
      </c>
      <c r="S507" s="18">
        <f t="shared" si="74"/>
        <v>2.9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2.9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4510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2.9</v>
      </c>
      <c r="AV507" s="37">
        <f t="shared" si="86"/>
        <v>2.9</v>
      </c>
      <c r="AW507" s="37"/>
    </row>
    <row r="508" spans="1:49" ht="15.75" hidden="1" customHeight="1" x14ac:dyDescent="0.25">
      <c r="A508" s="6" t="s">
        <v>4381</v>
      </c>
      <c r="B508" s="21"/>
      <c r="C508" s="7">
        <v>1</v>
      </c>
      <c r="D508" s="39" t="s">
        <v>4384</v>
      </c>
      <c r="E508" s="7">
        <v>3471</v>
      </c>
      <c r="F508" s="7">
        <v>10</v>
      </c>
      <c r="G508" s="23">
        <v>3.3</v>
      </c>
      <c r="H508" s="34">
        <f>Tabela1[[#This Row],[PESO UNI]]*Tabela1[[#This Row],[QTE]]</f>
        <v>3.3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3.3</v>
      </c>
      <c r="S508" s="18">
        <f t="shared" ref="S508:S571" si="90">IFERROR(H508*AG508,"")</f>
        <v>3.3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3.3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4510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3.3</v>
      </c>
      <c r="AV508" s="37">
        <f t="shared" si="86"/>
        <v>3.3</v>
      </c>
      <c r="AW508" s="37"/>
    </row>
    <row r="509" spans="1:49" ht="15.75" hidden="1" customHeight="1" x14ac:dyDescent="0.25">
      <c r="A509" s="6" t="s">
        <v>4381</v>
      </c>
      <c r="B509" s="21"/>
      <c r="C509" s="7">
        <v>1</v>
      </c>
      <c r="D509" s="39" t="s">
        <v>4385</v>
      </c>
      <c r="E509" s="7">
        <v>3472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4510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4381</v>
      </c>
      <c r="B510" s="21"/>
      <c r="C510" s="7">
        <v>1</v>
      </c>
      <c r="D510" s="39" t="s">
        <v>4386</v>
      </c>
      <c r="E510" s="7">
        <v>3473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si="81"/>
        <v>0.1</v>
      </c>
      <c r="S510" s="18">
        <f t="shared" si="90"/>
        <v>0.1</v>
      </c>
      <c r="T510" s="19">
        <f t="shared" si="82"/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si="83"/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4510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si="84"/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si="85"/>
        <v>0.1</v>
      </c>
      <c r="AV510" s="37">
        <f t="shared" si="86"/>
        <v>0.1</v>
      </c>
      <c r="AW510" s="37"/>
    </row>
    <row r="511" spans="1:49" ht="15.75" hidden="1" customHeight="1" x14ac:dyDescent="0.25">
      <c r="A511" s="6" t="s">
        <v>4381</v>
      </c>
      <c r="B511" s="21"/>
      <c r="C511" s="7">
        <v>1</v>
      </c>
      <c r="D511" s="39" t="s">
        <v>4387</v>
      </c>
      <c r="E511" s="7">
        <v>3474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ref="R511:R574" si="91">IFERROR(H511*((AA511*0.25)+(AC511*0.25)+(AD511*0.225)+(AE511*0.225)+(AF511*0.05)),"")</f>
        <v>0.1</v>
      </c>
      <c r="S511" s="18">
        <f t="shared" si="90"/>
        <v>0.1</v>
      </c>
      <c r="T511" s="19">
        <f t="shared" ref="T511:T574" si="92">IFERROR(S511-H511,"")</f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ref="Y511:Y574" si="93">U511-C511</f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4510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ref="AO511:AO574" si="94">A511&amp;"/"&amp;J511</f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ref="AU511:AU574" si="95">IF(AH511="",0,IF(ISTEXT(AH511),H511*VALUE(SUBSTITUTE(AH511,"%",""))/100,H511*AH511))</f>
        <v>0.1</v>
      </c>
      <c r="AV511" s="37">
        <f t="shared" ref="AV511:AV574" si="96">IF(AG511="",0,IF(ISTEXT(AG511),H511*VALUE(SUBSTITUTE(AG511,"%",""))/100,H511*AG511))</f>
        <v>0.1</v>
      </c>
      <c r="AW511" s="37"/>
    </row>
    <row r="512" spans="1:49" ht="15.75" hidden="1" customHeight="1" x14ac:dyDescent="0.25">
      <c r="A512" s="6" t="s">
        <v>4381</v>
      </c>
      <c r="B512" s="21"/>
      <c r="C512" s="7">
        <v>1</v>
      </c>
      <c r="D512" s="39" t="s">
        <v>4388</v>
      </c>
      <c r="E512" s="7">
        <v>3475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4510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4381</v>
      </c>
      <c r="B513" s="21"/>
      <c r="C513" s="7">
        <v>1</v>
      </c>
      <c r="D513" s="39" t="s">
        <v>4389</v>
      </c>
      <c r="E513" s="7">
        <v>3476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4510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4381</v>
      </c>
      <c r="B514" s="21"/>
      <c r="C514" s="7">
        <v>1</v>
      </c>
      <c r="D514" s="39" t="s">
        <v>4390</v>
      </c>
      <c r="E514" s="7">
        <v>3477</v>
      </c>
      <c r="F514" s="7">
        <v>10</v>
      </c>
      <c r="G514" s="23">
        <v>0.1</v>
      </c>
      <c r="H514" s="34">
        <f>Tabela1[[#This Row],[PESO UNI]]*Tabela1[[#This Row],[QTE]]</f>
        <v>0.1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-1</v>
      </c>
      <c r="R514" s="18">
        <f t="shared" si="91"/>
        <v>0.1</v>
      </c>
      <c r="S514" s="18">
        <f t="shared" si="90"/>
        <v>0.1</v>
      </c>
      <c r="T514" s="19">
        <f t="shared" si="92"/>
        <v>0</v>
      </c>
      <c r="U514" s="16">
        <f>IFERROR(SUMIF('LISTA DE EMBARQUE'!B:B,MICRO!E:E,'LISTA DE EMBARQUE'!G:G),"")</f>
        <v>1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0.1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4510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0.1</v>
      </c>
      <c r="AV514" s="37">
        <f t="shared" si="96"/>
        <v>0.1</v>
      </c>
      <c r="AW514" s="37"/>
    </row>
    <row r="515" spans="1:49" ht="15.75" hidden="1" customHeight="1" x14ac:dyDescent="0.25">
      <c r="A515" s="6" t="s">
        <v>4381</v>
      </c>
      <c r="B515" s="21"/>
      <c r="C515" s="7">
        <v>2</v>
      </c>
      <c r="D515" s="39" t="s">
        <v>4391</v>
      </c>
      <c r="E515" s="7">
        <v>3478</v>
      </c>
      <c r="F515" s="7">
        <v>10</v>
      </c>
      <c r="G515" s="23">
        <v>0.1</v>
      </c>
      <c r="H515" s="34">
        <f>Tabela1[[#This Row],[PESO UNI]]*Tabela1[[#This Row],[QTE]]</f>
        <v>0.2</v>
      </c>
      <c r="I515" s="7">
        <v>0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-2</v>
      </c>
      <c r="R515" s="18">
        <f t="shared" si="91"/>
        <v>0.2</v>
      </c>
      <c r="S515" s="18">
        <f t="shared" si="90"/>
        <v>0.2</v>
      </c>
      <c r="T515" s="19">
        <f t="shared" si="92"/>
        <v>0</v>
      </c>
      <c r="U515" s="16">
        <f>IFERROR(SUMIF('LISTA DE EMBARQUE'!B:B,MICRO!E:E,'LISTA DE EMBARQUE'!G:G),"")</f>
        <v>2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0.2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4510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P-024518-1/P190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0.2</v>
      </c>
      <c r="AV515" s="37">
        <f t="shared" si="96"/>
        <v>0.2</v>
      </c>
      <c r="AW515" s="37"/>
    </row>
    <row r="516" spans="1:49" ht="15.75" hidden="1" customHeight="1" x14ac:dyDescent="0.25">
      <c r="A516" s="6" t="s">
        <v>4392</v>
      </c>
      <c r="B516" s="21"/>
      <c r="C516" s="7">
        <v>1</v>
      </c>
      <c r="D516" s="39" t="s">
        <v>4393</v>
      </c>
      <c r="E516" s="7">
        <v>3479</v>
      </c>
      <c r="F516" s="7">
        <v>9</v>
      </c>
      <c r="G516" s="23">
        <v>2.4</v>
      </c>
      <c r="H516" s="34">
        <f>Tabela1[[#This Row],[PESO UNI]]*Tabela1[[#This Row],[QTE]]</f>
        <v>2.4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-1</v>
      </c>
      <c r="R516" s="18">
        <f t="shared" si="91"/>
        <v>2.4</v>
      </c>
      <c r="S516" s="18">
        <f t="shared" si="90"/>
        <v>2.4</v>
      </c>
      <c r="T516" s="19">
        <f t="shared" si="92"/>
        <v>0</v>
      </c>
      <c r="U516" s="16">
        <f>IFERROR(SUMIF('LISTA DE EMBARQUE'!B:B,MICRO!E:E,'LISTA DE EMBARQUE'!G:G),"")</f>
        <v>1</v>
      </c>
      <c r="V516" s="12">
        <f>IFERROR(VLOOKUP(Tabela1[[#This Row],[COD.MDE]],'LISTA DE EMBARQUE'!B:L,11,0),"")</f>
        <v>4</v>
      </c>
      <c r="W516" s="13" t="str">
        <f>IFERROR(COUNTIF(#REF!,Tabela1[[#This Row],[Colunas5]]),"")</f>
        <v/>
      </c>
      <c r="X516" s="14">
        <f>Tabela1[[#This Row],[QIANTIDADE EXPEDIDA]]*Tabela1[[#This Row],[PESO UNI]]</f>
        <v>2.4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4510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P-024533-1/P190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2.4</v>
      </c>
      <c r="AV516" s="37">
        <f t="shared" si="96"/>
        <v>2.4</v>
      </c>
      <c r="AW516" s="37"/>
    </row>
    <row r="517" spans="1:49" ht="15.75" hidden="1" customHeight="1" x14ac:dyDescent="0.25">
      <c r="A517" s="6" t="s">
        <v>4394</v>
      </c>
      <c r="B517" s="21"/>
      <c r="C517" s="7">
        <v>4</v>
      </c>
      <c r="D517" s="39" t="s">
        <v>4395</v>
      </c>
      <c r="E517" s="7">
        <v>3480</v>
      </c>
      <c r="F517" s="7">
        <v>8</v>
      </c>
      <c r="G517" s="23">
        <v>6</v>
      </c>
      <c r="H517" s="34">
        <f>Tabela1[[#This Row],[PESO UNI]]*Tabela1[[#This Row],[QTE]]</f>
        <v>24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24</v>
      </c>
      <c r="S517" s="18">
        <f t="shared" si="90"/>
        <v>24</v>
      </c>
      <c r="T517" s="19">
        <f t="shared" si="92"/>
        <v>0</v>
      </c>
      <c r="U517" s="16">
        <v>4</v>
      </c>
      <c r="V517" s="12" t="str">
        <f>IFERROR(VLOOKUP(Tabela1[[#This Row],[COD.MDE]],'LISTA DE EMBARQUE'!B:L,11,0),"")</f>
        <v/>
      </c>
      <c r="W517" s="13" t="str">
        <f>IFERROR(COUNTIF(#REF!,Tabela1[[#This Row],[Colunas5]]),"")</f>
        <v/>
      </c>
      <c r="X517" s="14">
        <f>Tabela1[[#This Row],[QIANTIDADE EXPEDIDA]]*Tabela1[[#This Row],[PESO UNI]]</f>
        <v>24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4510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P-024530-1/P190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24</v>
      </c>
      <c r="AV517" s="37">
        <f t="shared" si="96"/>
        <v>24</v>
      </c>
      <c r="AW517" s="37"/>
    </row>
    <row r="518" spans="1:49" ht="15.75" hidden="1" customHeight="1" x14ac:dyDescent="0.25">
      <c r="A518" s="6" t="s">
        <v>4396</v>
      </c>
      <c r="B518" s="21"/>
      <c r="C518" s="7">
        <v>4</v>
      </c>
      <c r="D518" s="39" t="s">
        <v>4397</v>
      </c>
      <c r="E518" s="7">
        <v>3481</v>
      </c>
      <c r="F518" s="7">
        <v>7</v>
      </c>
      <c r="G518" s="23">
        <v>4.0999999999999996</v>
      </c>
      <c r="H518" s="34">
        <f>Tabela1[[#This Row],[PESO UNI]]*Tabela1[[#This Row],[QTE]]</f>
        <v>16.399999999999999</v>
      </c>
      <c r="I518" s="7">
        <v>1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-4</v>
      </c>
      <c r="R518" s="18">
        <f t="shared" si="91"/>
        <v>16.399999999999999</v>
      </c>
      <c r="S518" s="18">
        <f t="shared" si="90"/>
        <v>16.399999999999999</v>
      </c>
      <c r="T518" s="19">
        <f t="shared" si="92"/>
        <v>0</v>
      </c>
      <c r="U518" s="16">
        <f>IFERROR(SUMIF('LISTA DE EMBARQUE'!B:B,MICRO!E:E,'LISTA DE EMBARQUE'!G:G),"")</f>
        <v>4</v>
      </c>
      <c r="V518" s="12">
        <f>IFERROR(VLOOKUP(Tabela1[[#This Row],[COD.MDE]],'LISTA DE EMBARQUE'!B:L,11,0),"")</f>
        <v>4</v>
      </c>
      <c r="W518" s="13" t="str">
        <f>IFERROR(COUNTIF(#REF!,Tabela1[[#This Row],[Colunas5]]),"")</f>
        <v/>
      </c>
      <c r="X518" s="14">
        <f>Tabela1[[#This Row],[QIANTIDADE EXPEDIDA]]*Tabela1[[#This Row],[PESO UNI]]</f>
        <v>16.399999999999999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4510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P-024531-1/P190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16.399999999999999</v>
      </c>
      <c r="AV518" s="37">
        <f t="shared" si="96"/>
        <v>16.399999999999999</v>
      </c>
      <c r="AW518" s="37"/>
    </row>
    <row r="519" spans="1:49" ht="15.75" hidden="1" customHeight="1" x14ac:dyDescent="0.25">
      <c r="A519" s="6" t="s">
        <v>2558</v>
      </c>
      <c r="B519" s="21"/>
      <c r="C519" s="7">
        <v>2</v>
      </c>
      <c r="D519" s="39" t="s">
        <v>2559</v>
      </c>
      <c r="E519" s="7">
        <v>3482</v>
      </c>
      <c r="F519" s="7">
        <v>6</v>
      </c>
      <c r="G519" s="23">
        <v>426</v>
      </c>
      <c r="H519" s="34">
        <f>Tabela1[[#This Row],[PESO UNI]]*Tabela1[[#This Row],[QTE]]</f>
        <v>852</v>
      </c>
      <c r="I519" s="7">
        <v>2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-2</v>
      </c>
      <c r="R519" s="18">
        <f t="shared" si="91"/>
        <v>852</v>
      </c>
      <c r="S519" s="18">
        <f t="shared" si="90"/>
        <v>852</v>
      </c>
      <c r="T519" s="19">
        <f t="shared" si="92"/>
        <v>0</v>
      </c>
      <c r="U519" s="16">
        <f>IFERROR(SUMIF('LISTA DE EMBARQUE'!B:B,MICRO!E:E,'LISTA DE EMBARQUE'!G:G),"")</f>
        <v>2</v>
      </c>
      <c r="V519" s="12">
        <f>IFERROR(VLOOKUP(Tabela1[[#This Row],[COD.MDE]],'LISTA DE EMBARQUE'!B:L,11,0),"")</f>
        <v>2</v>
      </c>
      <c r="W519" s="13" t="str">
        <f>IFERROR(COUNTIF(#REF!,Tabela1[[#This Row],[Colunas5]]),"")</f>
        <v/>
      </c>
      <c r="X519" s="14">
        <f>Tabela1[[#This Row],[QIANTIDADE EXPEDIDA]]*Tabela1[[#This Row],[PESO UNI]]</f>
        <v>852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4510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P-024514-1/P190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852</v>
      </c>
      <c r="AV519" s="37">
        <f t="shared" si="96"/>
        <v>852</v>
      </c>
      <c r="AW519" s="37"/>
    </row>
    <row r="520" spans="1:49" ht="15.75" hidden="1" customHeight="1" x14ac:dyDescent="0.25">
      <c r="A520" s="6" t="s">
        <v>4398</v>
      </c>
      <c r="B520" s="21"/>
      <c r="C520" s="7">
        <v>1</v>
      </c>
      <c r="D520" s="39" t="s">
        <v>4399</v>
      </c>
      <c r="E520" s="7">
        <v>3483</v>
      </c>
      <c r="F520" s="7">
        <v>3</v>
      </c>
      <c r="G520" s="23">
        <v>24</v>
      </c>
      <c r="H520" s="34">
        <f>Tabela1[[#This Row],[PESO UNI]]*Tabela1[[#This Row],[QTE]]</f>
        <v>24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24</v>
      </c>
      <c r="S520" s="18">
        <f t="shared" si="90"/>
        <v>24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24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4510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24</v>
      </c>
      <c r="AV520" s="37">
        <f t="shared" si="96"/>
        <v>24</v>
      </c>
      <c r="AW520" s="37"/>
    </row>
    <row r="521" spans="1:49" ht="15.75" hidden="1" customHeight="1" x14ac:dyDescent="0.25">
      <c r="A521" s="6" t="s">
        <v>4398</v>
      </c>
      <c r="B521" s="21"/>
      <c r="C521" s="7">
        <v>1</v>
      </c>
      <c r="D521" s="39" t="s">
        <v>4400</v>
      </c>
      <c r="E521" s="7">
        <v>3484</v>
      </c>
      <c r="F521" s="7">
        <v>3</v>
      </c>
      <c r="G521" s="23">
        <v>20</v>
      </c>
      <c r="H521" s="34">
        <f>Tabela1[[#This Row],[PESO UNI]]*Tabela1[[#This Row],[QTE]]</f>
        <v>20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-1</v>
      </c>
      <c r="R521" s="18">
        <f t="shared" si="91"/>
        <v>20</v>
      </c>
      <c r="S521" s="18">
        <f t="shared" si="90"/>
        <v>20</v>
      </c>
      <c r="T521" s="19">
        <f t="shared" si="92"/>
        <v>0</v>
      </c>
      <c r="U521" s="16">
        <v>1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20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4510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20</v>
      </c>
      <c r="AV521" s="37">
        <f t="shared" si="96"/>
        <v>20</v>
      </c>
      <c r="AW521" s="37"/>
    </row>
    <row r="522" spans="1:49" ht="15.75" hidden="1" customHeight="1" x14ac:dyDescent="0.25">
      <c r="A522" s="6" t="s">
        <v>4398</v>
      </c>
      <c r="B522" s="21"/>
      <c r="C522" s="7">
        <v>2</v>
      </c>
      <c r="D522" s="39" t="s">
        <v>4401</v>
      </c>
      <c r="E522" s="7">
        <v>3485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4510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4398</v>
      </c>
      <c r="B523" s="21"/>
      <c r="C523" s="7">
        <v>2</v>
      </c>
      <c r="D523" s="39" t="s">
        <v>4402</v>
      </c>
      <c r="E523" s="7">
        <v>3486</v>
      </c>
      <c r="F523" s="7">
        <v>3</v>
      </c>
      <c r="G523" s="23">
        <v>3</v>
      </c>
      <c r="H523" s="34">
        <f>Tabela1[[#This Row],[PESO UNI]]*Tabela1[[#This Row],[QTE]]</f>
        <v>6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-2</v>
      </c>
      <c r="R523" s="18">
        <f t="shared" si="91"/>
        <v>6</v>
      </c>
      <c r="S523" s="18">
        <f t="shared" si="90"/>
        <v>6</v>
      </c>
      <c r="T523" s="19">
        <f t="shared" si="92"/>
        <v>0</v>
      </c>
      <c r="U523" s="16">
        <v>2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6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4510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6</v>
      </c>
      <c r="AV523" s="37">
        <f t="shared" si="96"/>
        <v>6</v>
      </c>
      <c r="AW523" s="37"/>
    </row>
    <row r="524" spans="1:49" ht="15.75" hidden="1" customHeight="1" x14ac:dyDescent="0.25">
      <c r="A524" s="6" t="s">
        <v>4398</v>
      </c>
      <c r="B524" s="21"/>
      <c r="C524" s="7">
        <v>1</v>
      </c>
      <c r="D524" s="39" t="s">
        <v>4403</v>
      </c>
      <c r="E524" s="7">
        <v>3487</v>
      </c>
      <c r="F524" s="7">
        <v>3</v>
      </c>
      <c r="G524" s="23">
        <v>0.2</v>
      </c>
      <c r="H524" s="34">
        <f>Tabela1[[#This Row],[PESO UNI]]*Tabela1[[#This Row],[QTE]]</f>
        <v>0.2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-1</v>
      </c>
      <c r="R524" s="18">
        <f t="shared" si="91"/>
        <v>0.2</v>
      </c>
      <c r="S524" s="18">
        <f t="shared" si="90"/>
        <v>0.2</v>
      </c>
      <c r="T524" s="19">
        <f t="shared" si="92"/>
        <v>0</v>
      </c>
      <c r="U524" s="16">
        <v>1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0.2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4510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0.2</v>
      </c>
      <c r="AV524" s="37">
        <f t="shared" si="96"/>
        <v>0.2</v>
      </c>
      <c r="AW524" s="37"/>
    </row>
    <row r="525" spans="1:49" ht="15.75" hidden="1" customHeight="1" x14ac:dyDescent="0.25">
      <c r="A525" s="6" t="s">
        <v>4398</v>
      </c>
      <c r="B525" s="21"/>
      <c r="C525" s="7">
        <v>2</v>
      </c>
      <c r="D525" s="39" t="s">
        <v>4404</v>
      </c>
      <c r="E525" s="7">
        <v>3488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4510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4398</v>
      </c>
      <c r="B526" s="21"/>
      <c r="C526" s="7">
        <v>2</v>
      </c>
      <c r="D526" s="39" t="s">
        <v>4405</v>
      </c>
      <c r="E526" s="7">
        <v>3489</v>
      </c>
      <c r="F526" s="7">
        <v>3</v>
      </c>
      <c r="G526" s="23">
        <v>0.2</v>
      </c>
      <c r="H526" s="34">
        <f>Tabela1[[#This Row],[PESO UNI]]*Tabela1[[#This Row],[QTE]]</f>
        <v>0.4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0.4</v>
      </c>
      <c r="S526" s="18">
        <f t="shared" si="90"/>
        <v>0.4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0.4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4510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0.4</v>
      </c>
      <c r="AV526" s="37">
        <f t="shared" si="96"/>
        <v>0.4</v>
      </c>
      <c r="AW526" s="37"/>
    </row>
    <row r="527" spans="1:49" ht="15.75" hidden="1" customHeight="1" x14ac:dyDescent="0.25">
      <c r="A527" s="6" t="s">
        <v>4398</v>
      </c>
      <c r="B527" s="21"/>
      <c r="C527" s="7">
        <v>2</v>
      </c>
      <c r="D527" s="39" t="s">
        <v>4406</v>
      </c>
      <c r="E527" s="7">
        <v>3490</v>
      </c>
      <c r="F527" s="7">
        <v>3</v>
      </c>
      <c r="G527" s="23">
        <v>14.2</v>
      </c>
      <c r="H527" s="34">
        <f>Tabela1[[#This Row],[PESO UNI]]*Tabela1[[#This Row],[QTE]]</f>
        <v>28.4</v>
      </c>
      <c r="I527" s="7">
        <v>0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28.4</v>
      </c>
      <c r="S527" s="18">
        <f t="shared" si="90"/>
        <v>28.4</v>
      </c>
      <c r="T527" s="19">
        <f t="shared" si="92"/>
        <v>0</v>
      </c>
      <c r="U527" s="16">
        <v>2</v>
      </c>
      <c r="V527" s="12" t="str">
        <f>IFERROR(VLOOKUP(Tabela1[[#This Row],[COD.MDE]],'LISTA DE EMBARQUE'!B:L,11,0),"")</f>
        <v/>
      </c>
      <c r="W527" s="13" t="str">
        <f>IFERROR(COUNTIF(#REF!,Tabela1[[#This Row],[Colunas5]]),"")</f>
        <v/>
      </c>
      <c r="X527" s="14">
        <f>Tabela1[[#This Row],[QIANTIDADE EXPEDIDA]]*Tabela1[[#This Row],[PESO UNI]]</f>
        <v>28.4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4510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P-024500-1/P190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28.4</v>
      </c>
      <c r="AV527" s="37">
        <f t="shared" si="96"/>
        <v>28.4</v>
      </c>
      <c r="AW527" s="37"/>
    </row>
    <row r="528" spans="1:49" ht="15.75" hidden="1" customHeight="1" x14ac:dyDescent="0.25">
      <c r="A528" s="6" t="s">
        <v>2560</v>
      </c>
      <c r="B528" s="21"/>
      <c r="C528" s="7">
        <v>2</v>
      </c>
      <c r="D528" s="39" t="s">
        <v>2561</v>
      </c>
      <c r="E528" s="7">
        <v>3491</v>
      </c>
      <c r="F528" s="7">
        <v>3</v>
      </c>
      <c r="G528" s="23">
        <v>71.599999999999994</v>
      </c>
      <c r="H528" s="34">
        <f>Tabela1[[#This Row],[PESO UNI]]*Tabela1[[#This Row],[QTE]]</f>
        <v>143.19999999999999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-2</v>
      </c>
      <c r="R528" s="18">
        <f t="shared" si="91"/>
        <v>143.19999999999999</v>
      </c>
      <c r="S528" s="18">
        <f t="shared" si="90"/>
        <v>143.19999999999999</v>
      </c>
      <c r="T528" s="19">
        <f t="shared" si="92"/>
        <v>0</v>
      </c>
      <c r="U528" s="16">
        <f>IFERROR(SUMIF('LISTA DE EMBARQUE'!B:B,MICRO!E:E,'LISTA DE EMBARQUE'!G:G),"")</f>
        <v>2</v>
      </c>
      <c r="V528" s="12">
        <f>IFERROR(VLOOKUP(Tabela1[[#This Row],[COD.MDE]],'LISTA DE EMBARQUE'!B:L,11,0),"")</f>
        <v>2</v>
      </c>
      <c r="W528" s="13" t="str">
        <f>IFERROR(COUNTIF(#REF!,Tabela1[[#This Row],[Colunas5]]),"")</f>
        <v/>
      </c>
      <c r="X528" s="14">
        <f>Tabela1[[#This Row],[QIANTIDADE EXPEDIDA]]*Tabela1[[#This Row],[PESO UNI]]</f>
        <v>143.19999999999999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4510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P-024499-1/P190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143.19999999999999</v>
      </c>
      <c r="AV528" s="37">
        <f t="shared" si="96"/>
        <v>143.19999999999999</v>
      </c>
      <c r="AW528" s="37"/>
    </row>
    <row r="529" spans="1:49" ht="15.75" hidden="1" customHeight="1" x14ac:dyDescent="0.25">
      <c r="A529" s="6" t="s">
        <v>4407</v>
      </c>
      <c r="B529" s="21"/>
      <c r="C529" s="7">
        <v>1</v>
      </c>
      <c r="D529" s="39" t="s">
        <v>4408</v>
      </c>
      <c r="E529" s="7">
        <v>3492</v>
      </c>
      <c r="F529" s="7">
        <v>3</v>
      </c>
      <c r="G529" s="23">
        <v>24</v>
      </c>
      <c r="H529" s="34">
        <f>Tabela1[[#This Row],[PESO UNI]]*Tabela1[[#This Row],[QTE]]</f>
        <v>24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24</v>
      </c>
      <c r="S529" s="18">
        <f t="shared" si="90"/>
        <v>24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24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4510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24</v>
      </c>
      <c r="AV529" s="37">
        <f t="shared" si="96"/>
        <v>24</v>
      </c>
      <c r="AW529" s="37"/>
    </row>
    <row r="530" spans="1:49" ht="15.75" hidden="1" customHeight="1" x14ac:dyDescent="0.25">
      <c r="A530" s="6" t="s">
        <v>4407</v>
      </c>
      <c r="B530" s="21"/>
      <c r="C530" s="7">
        <v>1</v>
      </c>
      <c r="D530" s="39" t="s">
        <v>4400</v>
      </c>
      <c r="E530" s="7">
        <v>3493</v>
      </c>
      <c r="F530" s="7">
        <v>3</v>
      </c>
      <c r="G530" s="23">
        <v>27</v>
      </c>
      <c r="H530" s="34">
        <f>Tabela1[[#This Row],[PESO UNI]]*Tabela1[[#This Row],[QTE]]</f>
        <v>27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27</v>
      </c>
      <c r="S530" s="18">
        <f t="shared" si="90"/>
        <v>27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27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4510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27</v>
      </c>
      <c r="AV530" s="37">
        <f t="shared" si="96"/>
        <v>27</v>
      </c>
      <c r="AW530" s="37"/>
    </row>
    <row r="531" spans="1:49" ht="15.75" hidden="1" customHeight="1" x14ac:dyDescent="0.25">
      <c r="A531" s="6" t="s">
        <v>4407</v>
      </c>
      <c r="B531" s="21"/>
      <c r="C531" s="7">
        <v>1</v>
      </c>
      <c r="D531" s="39" t="s">
        <v>4409</v>
      </c>
      <c r="E531" s="7">
        <v>3494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4510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4407</v>
      </c>
      <c r="B532" s="21"/>
      <c r="C532" s="7">
        <v>1</v>
      </c>
      <c r="D532" s="39" t="s">
        <v>4401</v>
      </c>
      <c r="E532" s="7">
        <v>3495</v>
      </c>
      <c r="F532" s="7">
        <v>3</v>
      </c>
      <c r="G532" s="23">
        <v>1.5</v>
      </c>
      <c r="H532" s="34">
        <f>Tabela1[[#This Row],[PESO UNI]]*Tabela1[[#This Row],[QTE]]</f>
        <v>1.5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-1</v>
      </c>
      <c r="R532" s="18">
        <f t="shared" si="91"/>
        <v>1.5</v>
      </c>
      <c r="S532" s="18">
        <f t="shared" si="90"/>
        <v>1.5</v>
      </c>
      <c r="T532" s="19">
        <f t="shared" si="92"/>
        <v>0</v>
      </c>
      <c r="U532" s="16">
        <v>1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1.5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4510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1.5</v>
      </c>
      <c r="AV532" s="37">
        <f t="shared" si="96"/>
        <v>1.5</v>
      </c>
      <c r="AW532" s="37"/>
    </row>
    <row r="533" spans="1:49" ht="15.75" hidden="1" customHeight="1" x14ac:dyDescent="0.25">
      <c r="A533" s="6" t="s">
        <v>4407</v>
      </c>
      <c r="B533" s="21"/>
      <c r="C533" s="7">
        <v>2</v>
      </c>
      <c r="D533" s="39" t="s">
        <v>4402</v>
      </c>
      <c r="E533" s="7">
        <v>3496</v>
      </c>
      <c r="F533" s="7">
        <v>3</v>
      </c>
      <c r="G533" s="23">
        <v>3</v>
      </c>
      <c r="H533" s="34">
        <f>Tabela1[[#This Row],[PESO UNI]]*Tabela1[[#This Row],[QTE]]</f>
        <v>6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-2</v>
      </c>
      <c r="R533" s="18">
        <f t="shared" si="91"/>
        <v>6</v>
      </c>
      <c r="S533" s="18">
        <f t="shared" si="90"/>
        <v>6</v>
      </c>
      <c r="T533" s="19">
        <f t="shared" si="92"/>
        <v>0</v>
      </c>
      <c r="U533" s="16">
        <v>2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6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4510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6</v>
      </c>
      <c r="AV533" s="37">
        <f t="shared" si="96"/>
        <v>6</v>
      </c>
      <c r="AW533" s="37"/>
    </row>
    <row r="534" spans="1:49" ht="15.75" hidden="1" customHeight="1" x14ac:dyDescent="0.25">
      <c r="A534" s="6" t="s">
        <v>4407</v>
      </c>
      <c r="B534" s="21"/>
      <c r="C534" s="7">
        <v>1</v>
      </c>
      <c r="D534" s="39" t="s">
        <v>4410</v>
      </c>
      <c r="E534" s="7">
        <v>3497</v>
      </c>
      <c r="F534" s="7">
        <v>3</v>
      </c>
      <c r="G534" s="23">
        <v>0.1</v>
      </c>
      <c r="H534" s="34">
        <f>Tabela1[[#This Row],[PESO UNI]]*Tabela1[[#This Row],[QTE]]</f>
        <v>0.1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0.1</v>
      </c>
      <c r="S534" s="18">
        <f t="shared" si="90"/>
        <v>0.1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0.1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4510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0.1</v>
      </c>
      <c r="AV534" s="37">
        <f t="shared" si="96"/>
        <v>0.1</v>
      </c>
      <c r="AW534" s="37"/>
    </row>
    <row r="535" spans="1:49" ht="15.75" hidden="1" customHeight="1" x14ac:dyDescent="0.25">
      <c r="A535" s="6" t="s">
        <v>4407</v>
      </c>
      <c r="B535" s="21"/>
      <c r="C535" s="7">
        <v>1</v>
      </c>
      <c r="D535" s="39" t="s">
        <v>4403</v>
      </c>
      <c r="E535" s="7">
        <v>3498</v>
      </c>
      <c r="F535" s="7">
        <v>3</v>
      </c>
      <c r="G535" s="23">
        <v>0.2</v>
      </c>
      <c r="H535" s="34">
        <f>Tabela1[[#This Row],[PESO UNI]]*Tabela1[[#This Row],[QTE]]</f>
        <v>0.2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0.2</v>
      </c>
      <c r="S535" s="18">
        <f t="shared" si="90"/>
        <v>0.2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0.2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4510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0.2</v>
      </c>
      <c r="AV535" s="37">
        <f t="shared" si="96"/>
        <v>0.2</v>
      </c>
      <c r="AW535" s="37"/>
    </row>
    <row r="536" spans="1:49" ht="15.75" hidden="1" customHeight="1" x14ac:dyDescent="0.25">
      <c r="A536" s="6" t="s">
        <v>4407</v>
      </c>
      <c r="B536" s="21"/>
      <c r="C536" s="7">
        <v>1</v>
      </c>
      <c r="D536" s="39" t="s">
        <v>4404</v>
      </c>
      <c r="E536" s="7">
        <v>3499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4510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4407</v>
      </c>
      <c r="B537" s="21"/>
      <c r="C537" s="7">
        <v>1</v>
      </c>
      <c r="D537" s="39" t="s">
        <v>4405</v>
      </c>
      <c r="E537" s="7">
        <v>3500</v>
      </c>
      <c r="F537" s="7">
        <v>3</v>
      </c>
      <c r="G537" s="23">
        <v>0.1</v>
      </c>
      <c r="H537" s="34">
        <f>Tabela1[[#This Row],[PESO UNI]]*Tabela1[[#This Row],[QTE]]</f>
        <v>0.1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-1</v>
      </c>
      <c r="R537" s="18">
        <f t="shared" si="91"/>
        <v>0.1</v>
      </c>
      <c r="S537" s="18">
        <f t="shared" si="90"/>
        <v>0.1</v>
      </c>
      <c r="T537" s="19">
        <f t="shared" si="92"/>
        <v>0</v>
      </c>
      <c r="U537" s="16">
        <v>1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0.1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4510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0.1</v>
      </c>
      <c r="AV537" s="37">
        <f t="shared" si="96"/>
        <v>0.1</v>
      </c>
      <c r="AW537" s="37"/>
    </row>
    <row r="538" spans="1:49" ht="15.75" hidden="1" customHeight="1" x14ac:dyDescent="0.25">
      <c r="A538" s="6" t="s">
        <v>4407</v>
      </c>
      <c r="B538" s="21"/>
      <c r="C538" s="7">
        <v>2</v>
      </c>
      <c r="D538" s="39" t="s">
        <v>4406</v>
      </c>
      <c r="E538" s="7">
        <v>3501</v>
      </c>
      <c r="F538" s="7">
        <v>3</v>
      </c>
      <c r="G538" s="23">
        <v>7.1</v>
      </c>
      <c r="H538" s="34">
        <f>Tabela1[[#This Row],[PESO UNI]]*Tabela1[[#This Row],[QTE]]</f>
        <v>14.2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-2</v>
      </c>
      <c r="R538" s="18">
        <f t="shared" si="91"/>
        <v>14.2</v>
      </c>
      <c r="S538" s="18">
        <f t="shared" si="90"/>
        <v>14.2</v>
      </c>
      <c r="T538" s="19">
        <f t="shared" si="92"/>
        <v>0</v>
      </c>
      <c r="U538" s="16">
        <v>2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14.2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4510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14.2</v>
      </c>
      <c r="AV538" s="37">
        <f t="shared" si="96"/>
        <v>14.2</v>
      </c>
      <c r="AW538" s="37"/>
    </row>
    <row r="539" spans="1:49" ht="15.75" hidden="1" customHeight="1" x14ac:dyDescent="0.25">
      <c r="A539" s="6" t="s">
        <v>4407</v>
      </c>
      <c r="B539" s="21"/>
      <c r="C539" s="7">
        <v>1</v>
      </c>
      <c r="D539" s="39" t="s">
        <v>4411</v>
      </c>
      <c r="E539" s="7">
        <v>3502</v>
      </c>
      <c r="F539" s="7">
        <v>3</v>
      </c>
      <c r="G539" s="23">
        <v>0.1</v>
      </c>
      <c r="H539" s="34">
        <f>Tabela1[[#This Row],[PESO UNI]]*Tabela1[[#This Row],[QTE]]</f>
        <v>0.1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-1</v>
      </c>
      <c r="R539" s="18">
        <f t="shared" si="91"/>
        <v>0.1</v>
      </c>
      <c r="S539" s="18">
        <f t="shared" si="90"/>
        <v>0.1</v>
      </c>
      <c r="T539" s="19">
        <f t="shared" si="92"/>
        <v>0</v>
      </c>
      <c r="U539" s="16">
        <v>1</v>
      </c>
      <c r="V539" s="12" t="str">
        <f>IFERROR(VLOOKUP(Tabela1[[#This Row],[COD.MDE]],'LISTA DE EMBARQUE'!B:L,11,0),"")</f>
        <v/>
      </c>
      <c r="W539" s="13" t="str">
        <f>IFERROR(COUNTIF(#REF!,Tabela1[[#This Row],[Colunas5]]),"")</f>
        <v/>
      </c>
      <c r="X539" s="14">
        <f>Tabela1[[#This Row],[QIANTIDADE EXPEDIDA]]*Tabela1[[#This Row],[PESO UNI]]</f>
        <v>0.1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4510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P-024498-1/P190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0.1</v>
      </c>
      <c r="AV539" s="37">
        <f t="shared" si="96"/>
        <v>0.1</v>
      </c>
      <c r="AW539" s="37"/>
    </row>
    <row r="540" spans="1:49" ht="15.75" hidden="1" customHeight="1" x14ac:dyDescent="0.25">
      <c r="A540" s="6" t="s">
        <v>2562</v>
      </c>
      <c r="B540" s="21"/>
      <c r="C540" s="7">
        <v>2</v>
      </c>
      <c r="D540" s="39" t="s">
        <v>2563</v>
      </c>
      <c r="E540" s="7">
        <v>3503</v>
      </c>
      <c r="F540" s="7">
        <v>3</v>
      </c>
      <c r="G540" s="23">
        <v>24</v>
      </c>
      <c r="H540" s="34">
        <f>Tabela1[[#This Row],[PESO UNI]]*Tabela1[[#This Row],[QTE]]</f>
        <v>48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-2</v>
      </c>
      <c r="R540" s="18">
        <f t="shared" si="91"/>
        <v>48</v>
      </c>
      <c r="S540" s="18">
        <f t="shared" si="90"/>
        <v>48</v>
      </c>
      <c r="T540" s="19">
        <f t="shared" si="92"/>
        <v>0</v>
      </c>
      <c r="U540" s="16">
        <f>IFERROR(SUMIF('LISTA DE EMBARQUE'!B:B,MICRO!E:E,'LISTA DE EMBARQUE'!G:G),"")</f>
        <v>2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48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4510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P-024497-1/P190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48</v>
      </c>
      <c r="AV540" s="37">
        <f t="shared" si="96"/>
        <v>48</v>
      </c>
      <c r="AW540" s="37"/>
    </row>
    <row r="541" spans="1:49" ht="15.75" hidden="1" customHeight="1" x14ac:dyDescent="0.25">
      <c r="A541" s="6" t="s">
        <v>2564</v>
      </c>
      <c r="B541" s="21"/>
      <c r="C541" s="7">
        <v>1</v>
      </c>
      <c r="D541" s="39" t="s">
        <v>2565</v>
      </c>
      <c r="E541" s="7">
        <v>3504</v>
      </c>
      <c r="F541" s="7">
        <v>2</v>
      </c>
      <c r="G541" s="23">
        <v>951.2</v>
      </c>
      <c r="H541" s="34">
        <f>Tabela1[[#This Row],[PESO UNI]]*Tabela1[[#This Row],[QTE]]</f>
        <v>951.2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-1</v>
      </c>
      <c r="R541" s="18">
        <f t="shared" si="91"/>
        <v>951.2</v>
      </c>
      <c r="S541" s="18">
        <f t="shared" si="90"/>
        <v>951.2</v>
      </c>
      <c r="T541" s="19">
        <f t="shared" si="92"/>
        <v>0</v>
      </c>
      <c r="U541" s="16">
        <f>IFERROR(SUMIF('LISTA DE EMBARQUE'!B:B,MICRO!E:E,'LISTA DE EMBARQUE'!G:G),"")</f>
        <v>1</v>
      </c>
      <c r="V541" s="12">
        <f>IFERROR(VLOOKUP(Tabela1[[#This Row],[COD.MDE]],'LISTA DE EMBARQUE'!B:L,11,0),"")</f>
        <v>2</v>
      </c>
      <c r="W541" s="13" t="str">
        <f>IFERROR(COUNTIF(#REF!,Tabela1[[#This Row],[Colunas5]]),"")</f>
        <v/>
      </c>
      <c r="X541" s="14">
        <f>Tabela1[[#This Row],[QIANTIDADE EXPEDIDA]]*Tabela1[[#This Row],[PESO UNI]]</f>
        <v>951.2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4510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951.2</v>
      </c>
      <c r="AV541" s="37">
        <f t="shared" si="96"/>
        <v>951.2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2566</v>
      </c>
      <c r="E542" s="7">
        <v>3505</v>
      </c>
      <c r="F542" s="7">
        <v>2</v>
      </c>
      <c r="G542" s="23">
        <v>3.4</v>
      </c>
      <c r="H542" s="34">
        <f>Tabela1[[#This Row],[PESO UNI]]*Tabela1[[#This Row],[QTE]]</f>
        <v>6.8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6.8</v>
      </c>
      <c r="S542" s="18">
        <f t="shared" si="90"/>
        <v>6.8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6.8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4510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6.8</v>
      </c>
      <c r="AV542" s="37">
        <f t="shared" si="96"/>
        <v>6.8</v>
      </c>
      <c r="AW542" s="37"/>
    </row>
    <row r="543" spans="1:49" ht="15.75" hidden="1" customHeight="1" x14ac:dyDescent="0.25">
      <c r="A543" s="6" t="s">
        <v>2564</v>
      </c>
      <c r="B543" s="21"/>
      <c r="C543" s="7">
        <v>2</v>
      </c>
      <c r="D543" s="39" t="s">
        <v>2567</v>
      </c>
      <c r="E543" s="7">
        <v>3506</v>
      </c>
      <c r="F543" s="7">
        <v>2</v>
      </c>
      <c r="G543" s="23">
        <v>3</v>
      </c>
      <c r="H543" s="34">
        <f>Tabela1[[#This Row],[PESO UNI]]*Tabela1[[#This Row],[QTE]]</f>
        <v>6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-2</v>
      </c>
      <c r="R543" s="18">
        <f t="shared" si="91"/>
        <v>6</v>
      </c>
      <c r="S543" s="18">
        <f t="shared" si="90"/>
        <v>6</v>
      </c>
      <c r="T543" s="19">
        <f t="shared" si="92"/>
        <v>0</v>
      </c>
      <c r="U543" s="16">
        <v>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6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4510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6</v>
      </c>
      <c r="AV543" s="37">
        <f t="shared" si="96"/>
        <v>6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2568</v>
      </c>
      <c r="E544" s="7">
        <v>3507</v>
      </c>
      <c r="F544" s="7">
        <v>2</v>
      </c>
      <c r="G544" s="23">
        <v>22.8</v>
      </c>
      <c r="H544" s="34">
        <f>Tabela1[[#This Row],[PESO UNI]]*Tabela1[[#This Row],[QTE]]</f>
        <v>273.60000000000002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273.60000000000002</v>
      </c>
      <c r="S544" s="18">
        <f t="shared" si="90"/>
        <v>273.60000000000002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273.60000000000002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4510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273.60000000000002</v>
      </c>
      <c r="AV544" s="37">
        <f t="shared" si="96"/>
        <v>273.60000000000002</v>
      </c>
      <c r="AW544" s="37"/>
    </row>
    <row r="545" spans="1:49" ht="15.75" hidden="1" customHeight="1" x14ac:dyDescent="0.25">
      <c r="A545" s="6" t="s">
        <v>2564</v>
      </c>
      <c r="B545" s="21"/>
      <c r="C545" s="7">
        <v>12</v>
      </c>
      <c r="D545" s="39" t="s">
        <v>2569</v>
      </c>
      <c r="E545" s="7">
        <v>3508</v>
      </c>
      <c r="F545" s="7">
        <v>2</v>
      </c>
      <c r="G545" s="23">
        <v>20.399999999999999</v>
      </c>
      <c r="H545" s="34">
        <f>Tabela1[[#This Row],[PESO UNI]]*Tabela1[[#This Row],[QTE]]</f>
        <v>244.79999999999998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-12</v>
      </c>
      <c r="R545" s="18">
        <f t="shared" si="91"/>
        <v>244.79999999999998</v>
      </c>
      <c r="S545" s="18">
        <f t="shared" si="90"/>
        <v>244.79999999999998</v>
      </c>
      <c r="T545" s="19">
        <f t="shared" si="92"/>
        <v>0</v>
      </c>
      <c r="U545" s="16">
        <v>12</v>
      </c>
      <c r="V545" s="12" t="str">
        <f>IFERROR(VLOOKUP(Tabela1[[#This Row],[COD.MDE]],'LISTA DE EMBARQUE'!B:L,11,0),"")</f>
        <v/>
      </c>
      <c r="W545" s="13" t="str">
        <f>IFERROR(COUNTIF(#REF!,Tabela1[[#This Row],[Colunas5]]),"")</f>
        <v/>
      </c>
      <c r="X545" s="14">
        <f>Tabela1[[#This Row],[QIANTIDADE EXPEDIDA]]*Tabela1[[#This Row],[PESO UNI]]</f>
        <v>244.79999999999998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4510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P-024513-1/P190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244.79999999999998</v>
      </c>
      <c r="AV545" s="37">
        <f t="shared" si="96"/>
        <v>244.79999999999998</v>
      </c>
      <c r="AW545" s="37"/>
    </row>
    <row r="546" spans="1:49" ht="15.75" hidden="1" customHeight="1" x14ac:dyDescent="0.25">
      <c r="A546" s="6" t="s">
        <v>2570</v>
      </c>
      <c r="B546" s="21"/>
      <c r="C546" s="7">
        <v>1</v>
      </c>
      <c r="D546" s="39" t="s">
        <v>2571</v>
      </c>
      <c r="E546" s="7">
        <v>3509</v>
      </c>
      <c r="F546" s="7">
        <v>2</v>
      </c>
      <c r="G546" s="23">
        <v>961</v>
      </c>
      <c r="H546" s="34">
        <f>Tabela1[[#This Row],[PESO UNI]]*Tabela1[[#This Row],[QTE]]</f>
        <v>961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-1</v>
      </c>
      <c r="R546" s="18">
        <f t="shared" si="91"/>
        <v>961</v>
      </c>
      <c r="S546" s="18">
        <f t="shared" si="90"/>
        <v>961</v>
      </c>
      <c r="T546" s="19">
        <f t="shared" si="92"/>
        <v>0</v>
      </c>
      <c r="U546" s="16">
        <f>IFERROR(SUMIF('LISTA DE EMBARQUE'!B:B,MICRO!E:E,'LISTA DE EMBARQUE'!G:G),"")</f>
        <v>1</v>
      </c>
      <c r="V546" s="12">
        <f>IFERROR(VLOOKUP(Tabela1[[#This Row],[COD.MDE]],'LISTA DE EMBARQUE'!B:L,11,0),"")</f>
        <v>3</v>
      </c>
      <c r="W546" s="13" t="str">
        <f>IFERROR(COUNTIF(#REF!,Tabela1[[#This Row],[Colunas5]]),"")</f>
        <v/>
      </c>
      <c r="X546" s="14">
        <f>Tabela1[[#This Row],[QIANTIDADE EXPEDIDA]]*Tabela1[[#This Row],[PESO UNI]]</f>
        <v>961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4510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961</v>
      </c>
      <c r="AV546" s="37">
        <f t="shared" si="96"/>
        <v>961</v>
      </c>
      <c r="AW546" s="37"/>
    </row>
    <row r="547" spans="1:49" ht="15.75" hidden="1" customHeight="1" x14ac:dyDescent="0.25">
      <c r="A547" s="6" t="s">
        <v>2570</v>
      </c>
      <c r="B547" s="21"/>
      <c r="C547" s="7">
        <v>4</v>
      </c>
      <c r="D547" s="39" t="s">
        <v>2566</v>
      </c>
      <c r="E547" s="7">
        <v>3510</v>
      </c>
      <c r="F547" s="7">
        <v>2</v>
      </c>
      <c r="G547" s="23">
        <v>6.8</v>
      </c>
      <c r="H547" s="34">
        <f>Tabela1[[#This Row],[PESO UNI]]*Tabela1[[#This Row],[QTE]]</f>
        <v>27.2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-4</v>
      </c>
      <c r="R547" s="18">
        <f t="shared" si="91"/>
        <v>27.2</v>
      </c>
      <c r="S547" s="18">
        <f t="shared" si="90"/>
        <v>27.2</v>
      </c>
      <c r="T547" s="19">
        <f t="shared" si="92"/>
        <v>0</v>
      </c>
      <c r="U547" s="16">
        <v>4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27.2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4510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27.2</v>
      </c>
      <c r="AV547" s="37">
        <f t="shared" si="96"/>
        <v>27.2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2567</v>
      </c>
      <c r="E548" s="7">
        <v>3511</v>
      </c>
      <c r="F548" s="7">
        <v>2</v>
      </c>
      <c r="G548" s="23">
        <v>22.8</v>
      </c>
      <c r="H548" s="34">
        <f>Tabela1[[#This Row],[PESO UNI]]*Tabela1[[#This Row],[QTE]]</f>
        <v>273.60000000000002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273.60000000000002</v>
      </c>
      <c r="S548" s="18">
        <f t="shared" si="90"/>
        <v>273.60000000000002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273.60000000000002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4510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273.60000000000002</v>
      </c>
      <c r="AV548" s="37">
        <f t="shared" si="96"/>
        <v>273.60000000000002</v>
      </c>
      <c r="AW548" s="37"/>
    </row>
    <row r="549" spans="1:49" ht="15.75" hidden="1" customHeight="1" x14ac:dyDescent="0.25">
      <c r="A549" s="6" t="s">
        <v>2570</v>
      </c>
      <c r="B549" s="21"/>
      <c r="C549" s="7">
        <v>12</v>
      </c>
      <c r="D549" s="39" t="s">
        <v>2568</v>
      </c>
      <c r="E549" s="7">
        <v>3512</v>
      </c>
      <c r="F549" s="7">
        <v>2</v>
      </c>
      <c r="G549" s="23">
        <v>24</v>
      </c>
      <c r="H549" s="34">
        <f>Tabela1[[#This Row],[PESO UNI]]*Tabela1[[#This Row],[QTE]]</f>
        <v>288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-12</v>
      </c>
      <c r="R549" s="18">
        <f t="shared" si="91"/>
        <v>288</v>
      </c>
      <c r="S549" s="18">
        <f t="shared" si="90"/>
        <v>288</v>
      </c>
      <c r="T549" s="19">
        <f t="shared" si="92"/>
        <v>0</v>
      </c>
      <c r="U549" s="16">
        <v>12</v>
      </c>
      <c r="V549" s="12" t="str">
        <f>IFERROR(VLOOKUP(Tabela1[[#This Row],[COD.MDE]],'LISTA DE EMBARQUE'!B:L,11,0),"")</f>
        <v/>
      </c>
      <c r="W549" s="13" t="str">
        <f>IFERROR(COUNTIF(#REF!,Tabela1[[#This Row],[Colunas5]]),"")</f>
        <v/>
      </c>
      <c r="X549" s="14">
        <f>Tabela1[[#This Row],[QIANTIDADE EXPEDIDA]]*Tabela1[[#This Row],[PESO UNI]]</f>
        <v>288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4510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P-024512-1/P190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288</v>
      </c>
      <c r="AV549" s="37">
        <f t="shared" si="96"/>
        <v>288</v>
      </c>
      <c r="AW549" s="37"/>
    </row>
    <row r="550" spans="1:49" ht="15.75" hidden="1" customHeight="1" x14ac:dyDescent="0.25">
      <c r="A550" s="6" t="s">
        <v>2572</v>
      </c>
      <c r="B550" s="21"/>
      <c r="C550" s="7">
        <v>2</v>
      </c>
      <c r="D550" s="39" t="s">
        <v>2573</v>
      </c>
      <c r="E550" s="7">
        <v>3513</v>
      </c>
      <c r="F550" s="7">
        <v>1</v>
      </c>
      <c r="G550" s="23">
        <v>1898.7</v>
      </c>
      <c r="H550" s="34">
        <f>Tabela1[[#This Row],[PESO UNI]]*Tabela1[[#This Row],[QTE]]</f>
        <v>3797.4</v>
      </c>
      <c r="I550" s="7">
        <v>1</v>
      </c>
      <c r="J550" s="8" t="s">
        <v>2550</v>
      </c>
      <c r="K550" s="8" t="s">
        <v>31</v>
      </c>
      <c r="L550" s="9" t="s">
        <v>2551</v>
      </c>
      <c r="M550" s="10"/>
      <c r="N550" s="11" t="s">
        <v>38</v>
      </c>
      <c r="O550" s="12"/>
      <c r="P550" s="13"/>
      <c r="Q550" s="14">
        <f>Tabela1[[#This Row],[QTDE/ Fabricação]]-Tabela1[[#This Row],[QTE]]</f>
        <v>-2</v>
      </c>
      <c r="R550" s="18">
        <f t="shared" si="91"/>
        <v>3797.4</v>
      </c>
      <c r="S550" s="18">
        <f t="shared" si="90"/>
        <v>3797.4</v>
      </c>
      <c r="T550" s="19">
        <f t="shared" si="92"/>
        <v>0</v>
      </c>
      <c r="U550" s="16">
        <f>IFERROR(SUMIF('LISTA DE EMBARQUE'!B:B,MICRO!E:E,'LISTA DE EMBARQUE'!G:G),"")</f>
        <v>2</v>
      </c>
      <c r="V550" s="12">
        <f>IFERROR(VLOOKUP(Tabela1[[#This Row],[COD.MDE]],'LISTA DE EMBARQUE'!B:L,11,0),"")</f>
        <v>2</v>
      </c>
      <c r="W550" s="13" t="str">
        <f>IFERROR(COUNTIF(#REF!,Tabela1[[#This Row],[Colunas5]]),"")</f>
        <v/>
      </c>
      <c r="X550" s="14">
        <f>Tabela1[[#This Row],[QIANTIDADE EXPEDIDA]]*Tabela1[[#This Row],[PESO UNI]]</f>
        <v>3797.4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4510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P-024511-1/P190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3797.4</v>
      </c>
      <c r="AV550" s="37">
        <f t="shared" si="96"/>
        <v>3797.4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2547</v>
      </c>
      <c r="E551" s="7">
        <v>3514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>
        <v>46119</v>
      </c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4510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2548</v>
      </c>
      <c r="E552" s="7">
        <v>3515</v>
      </c>
      <c r="F552" s="7">
        <v>27</v>
      </c>
      <c r="G552" s="23">
        <v>13</v>
      </c>
      <c r="H552" s="34">
        <f>Tabela1[[#This Row],[PESO UNI]]*Tabela1[[#This Row],[QTE]]</f>
        <v>13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13</v>
      </c>
      <c r="S552" s="18">
        <f t="shared" si="90"/>
        <v>13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13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4510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13</v>
      </c>
      <c r="AV552" s="37">
        <f t="shared" si="96"/>
        <v>13</v>
      </c>
      <c r="AW552" s="37"/>
    </row>
    <row r="553" spans="1:49" ht="15.75" hidden="1" customHeight="1" x14ac:dyDescent="0.25">
      <c r="A553" s="6" t="s">
        <v>2546</v>
      </c>
      <c r="B553" s="21"/>
      <c r="C553" s="7">
        <v>1</v>
      </c>
      <c r="D553" s="39" t="s">
        <v>2549</v>
      </c>
      <c r="E553" s="7">
        <v>3515</v>
      </c>
      <c r="F553" s="7">
        <v>27</v>
      </c>
      <c r="G553" s="23">
        <v>6</v>
      </c>
      <c r="H553" s="34">
        <f>Tabela1[[#This Row],[PESO UNI]]*Tabela1[[#This Row],[QTE]]</f>
        <v>6</v>
      </c>
      <c r="I553" s="7">
        <v>0</v>
      </c>
      <c r="J553" s="8" t="s">
        <v>2550</v>
      </c>
      <c r="K553" s="8" t="s">
        <v>31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6</v>
      </c>
      <c r="S553" s="18">
        <f t="shared" si="90"/>
        <v>6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6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4510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P-073081-1/P190</v>
      </c>
      <c r="AP553" t="str">
        <f>Tabela1[[#This Row],[TAG]]&amp;Tabela1[[#This Row],[PEDIDO]]&amp;Tabela1[[#This Row],[PRODUTO]]</f>
        <v>P190P-190ESTRUTURA</v>
      </c>
      <c r="AQ553" s="22" t="str">
        <f>Tabela1[[#This Row],[PRODUTO]]&amp;Tabela1[[#This Row],[TAG]]</f>
        <v>ESTRUTURAP190</v>
      </c>
      <c r="AR553" s="24" t="str">
        <f>Tabela1[[#This Row],[PEDIDO]]&amp;Tabela1[[#This Row],[PRODUTO]]</f>
        <v>P-190ESTRUTURA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6</v>
      </c>
      <c r="AV553" s="37">
        <f t="shared" si="96"/>
        <v>6</v>
      </c>
      <c r="AW553" s="37"/>
    </row>
    <row r="554" spans="1:49" ht="15.75" hidden="1" customHeight="1" x14ac:dyDescent="0.25">
      <c r="A554" s="6" t="s">
        <v>2555</v>
      </c>
      <c r="B554" s="21" t="s">
        <v>3170</v>
      </c>
      <c r="C554" s="7">
        <v>1</v>
      </c>
      <c r="D554" s="39" t="s">
        <v>2556</v>
      </c>
      <c r="E554" s="7">
        <v>3517</v>
      </c>
      <c r="F554" s="7">
        <v>21</v>
      </c>
      <c r="G554" s="23">
        <v>192.3</v>
      </c>
      <c r="H554" s="34">
        <f>Tabela1[[#This Row],[PESO UNI]]*Tabela1[[#This Row],[QTE]]</f>
        <v>192.3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192.3</v>
      </c>
      <c r="S554" s="18">
        <f t="shared" si="90"/>
        <v>192.3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192.3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4510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192.3</v>
      </c>
      <c r="AV554" s="37">
        <f t="shared" si="96"/>
        <v>192.3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2981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4510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6" t="s">
        <v>2555</v>
      </c>
      <c r="B556" s="21"/>
      <c r="C556" s="7">
        <v>1</v>
      </c>
      <c r="D556" s="39" t="s">
        <v>2982</v>
      </c>
      <c r="E556" s="7">
        <v>3517</v>
      </c>
      <c r="F556" s="7">
        <v>21</v>
      </c>
      <c r="G556" s="23">
        <v>4</v>
      </c>
      <c r="H556" s="34">
        <f>Tabela1[[#This Row],[PESO UNI]]*Tabela1[[#This Row],[QTE]]</f>
        <v>4</v>
      </c>
      <c r="I556" s="7">
        <v>1</v>
      </c>
      <c r="J556" s="8" t="s">
        <v>2550</v>
      </c>
      <c r="K556" s="8" t="s">
        <v>46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-1</v>
      </c>
      <c r="R556" s="18">
        <f t="shared" si="91"/>
        <v>4</v>
      </c>
      <c r="S556" s="18">
        <f t="shared" si="90"/>
        <v>4</v>
      </c>
      <c r="T556" s="19">
        <f t="shared" si="92"/>
        <v>0</v>
      </c>
      <c r="U556" s="16">
        <v>1</v>
      </c>
      <c r="V556" s="12" t="str">
        <f>IFERROR(VLOOKUP(Tabela1[[#This Row],[COD.MDE]],'LISTA DE EMBARQUE'!B:L,11,0),"")</f>
        <v/>
      </c>
      <c r="W556" s="13" t="str">
        <f>IFERROR(COUNTIF(#REF!,Tabela1[[#This Row],[Colunas5]]),"")</f>
        <v/>
      </c>
      <c r="X556" s="14">
        <f>Tabela1[[#This Row],[QIANTIDADE EXPEDIDA]]*Tabela1[[#This Row],[PESO UNI]]</f>
        <v>4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4510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P-024507-1/P190</v>
      </c>
      <c r="AP556" t="str">
        <f>Tabela1[[#This Row],[TAG]]&amp;Tabela1[[#This Row],[PEDIDO]]&amp;Tabela1[[#This Row],[PRODUTO]]</f>
        <v>P190P-190TECMETAL</v>
      </c>
      <c r="AQ556" s="22" t="str">
        <f>Tabela1[[#This Row],[PRODUTO]]&amp;Tabela1[[#This Row],[TAG]]</f>
        <v>TECMETALP190</v>
      </c>
      <c r="AR556" s="24" t="str">
        <f>Tabela1[[#This Row],[PEDIDO]]&amp;Tabela1[[#This Row],[PRODUTO]]</f>
        <v>P-190TECMETAL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4</v>
      </c>
      <c r="AV556" s="37">
        <f t="shared" si="96"/>
        <v>4</v>
      </c>
      <c r="AW556" s="37"/>
    </row>
    <row r="557" spans="1:49" ht="15.75" hidden="1" customHeight="1" x14ac:dyDescent="0.25">
      <c r="A557" s="1" t="s">
        <v>4456</v>
      </c>
      <c r="B557" s="21"/>
      <c r="C557" s="1">
        <v>2</v>
      </c>
      <c r="D557" s="1" t="s">
        <v>4457</v>
      </c>
      <c r="E557" s="7">
        <v>4347</v>
      </c>
      <c r="F557" s="7" t="s">
        <v>4412</v>
      </c>
      <c r="G557" s="1">
        <v>45</v>
      </c>
      <c r="H557" s="34">
        <f>Tabela1[[#This Row],[PESO UNI]]*Tabela1[[#This Row],[QTE]]</f>
        <v>90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-2</v>
      </c>
      <c r="R557" s="18">
        <f t="shared" si="91"/>
        <v>90</v>
      </c>
      <c r="S557" s="18">
        <f t="shared" si="90"/>
        <v>90</v>
      </c>
      <c r="T557" s="19">
        <f t="shared" si="92"/>
        <v>0</v>
      </c>
      <c r="U557" s="16">
        <f>IFERROR(SUMIF('LISTA DE EMBARQUE'!B:B,MICRO!E:E,'LISTA DE EMBARQUE'!G:G),"")</f>
        <v>2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90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4510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90</v>
      </c>
      <c r="AV557" s="37">
        <f t="shared" si="96"/>
        <v>90</v>
      </c>
      <c r="AW557" s="37"/>
    </row>
    <row r="558" spans="1:49" ht="15.75" hidden="1" customHeight="1" x14ac:dyDescent="0.25">
      <c r="A558" s="1" t="s">
        <v>4456</v>
      </c>
      <c r="B558" s="21"/>
      <c r="C558" s="1">
        <v>1</v>
      </c>
      <c r="D558" s="1" t="s">
        <v>4458</v>
      </c>
      <c r="E558" s="7">
        <v>4348</v>
      </c>
      <c r="F558" s="7" t="s">
        <v>4412</v>
      </c>
      <c r="G558" s="1">
        <v>85</v>
      </c>
      <c r="H558" s="34">
        <f>Tabela1[[#This Row],[PESO UNI]]*Tabela1[[#This Row],[QTE]]</f>
        <v>85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85</v>
      </c>
      <c r="S558" s="18">
        <f t="shared" si="90"/>
        <v>85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85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4510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85</v>
      </c>
      <c r="AV558" s="37">
        <f t="shared" si="96"/>
        <v>85</v>
      </c>
      <c r="AW558" s="37"/>
    </row>
    <row r="559" spans="1:49" ht="15.75" hidden="1" customHeight="1" x14ac:dyDescent="0.25">
      <c r="A559" s="1" t="s">
        <v>4456</v>
      </c>
      <c r="B559" s="21"/>
      <c r="C559" s="1">
        <v>1</v>
      </c>
      <c r="D559" s="1" t="s">
        <v>4459</v>
      </c>
      <c r="E559" s="7">
        <v>4349</v>
      </c>
      <c r="F559" s="7" t="s">
        <v>4412</v>
      </c>
      <c r="G559" s="1">
        <v>65</v>
      </c>
      <c r="H559" s="34">
        <f>Tabela1[[#This Row],[PESO UNI]]*Tabela1[[#This Row],[QTE]]</f>
        <v>65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65</v>
      </c>
      <c r="S559" s="18">
        <f t="shared" si="90"/>
        <v>65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65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4510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65</v>
      </c>
      <c r="AV559" s="37">
        <f t="shared" si="96"/>
        <v>65</v>
      </c>
      <c r="AW559" s="37"/>
    </row>
    <row r="560" spans="1:49" ht="15.75" hidden="1" customHeight="1" x14ac:dyDescent="0.25">
      <c r="A560" s="1" t="s">
        <v>4460</v>
      </c>
      <c r="B560" s="21"/>
      <c r="C560" s="1">
        <v>1</v>
      </c>
      <c r="D560" s="1" t="s">
        <v>4461</v>
      </c>
      <c r="E560" s="7">
        <v>4350</v>
      </c>
      <c r="F560" s="7" t="s">
        <v>4412</v>
      </c>
      <c r="G560" s="1">
        <v>7.2</v>
      </c>
      <c r="H560" s="34">
        <f>Tabela1[[#This Row],[PESO UNI]]*Tabela1[[#This Row],[QTE]]</f>
        <v>7.2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7.2</v>
      </c>
      <c r="S560" s="18">
        <f t="shared" si="90"/>
        <v>7.2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7.2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4510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P-073057-1/P190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7.2</v>
      </c>
      <c r="AV560" s="37">
        <f t="shared" si="96"/>
        <v>7.2</v>
      </c>
      <c r="AW560" s="37"/>
    </row>
    <row r="561" spans="1:49" ht="15.75" hidden="1" customHeight="1" x14ac:dyDescent="0.25">
      <c r="A561" s="1" t="s">
        <v>4392</v>
      </c>
      <c r="B561" s="21"/>
      <c r="C561" s="1">
        <v>1</v>
      </c>
      <c r="D561" s="1" t="s">
        <v>4462</v>
      </c>
      <c r="E561" s="7">
        <v>4351</v>
      </c>
      <c r="F561" s="7" t="s">
        <v>4412</v>
      </c>
      <c r="G561" s="1">
        <v>0.03</v>
      </c>
      <c r="H561" s="34">
        <f>Tabela1[[#This Row],[PESO UNI]]*Tabela1[[#This Row],[QTE]]</f>
        <v>0.03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-1</v>
      </c>
      <c r="R561" s="18">
        <f t="shared" si="91"/>
        <v>0.03</v>
      </c>
      <c r="S561" s="18">
        <f t="shared" si="90"/>
        <v>0.03</v>
      </c>
      <c r="T561" s="19">
        <f t="shared" si="92"/>
        <v>0</v>
      </c>
      <c r="U561" s="16">
        <f>IFERROR(SUMIF('LISTA DE EMBARQUE'!B:B,MICRO!E:E,'LISTA DE EMBARQUE'!G:G),"")</f>
        <v>1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0.03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4510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0.03</v>
      </c>
      <c r="AV561" s="37">
        <f t="shared" si="96"/>
        <v>0.03</v>
      </c>
      <c r="AW561" s="37"/>
    </row>
    <row r="562" spans="1:49" ht="15.75" hidden="1" customHeight="1" x14ac:dyDescent="0.25">
      <c r="A562" s="1" t="s">
        <v>4392</v>
      </c>
      <c r="B562" s="21"/>
      <c r="C562" s="1">
        <v>4</v>
      </c>
      <c r="D562" s="1" t="s">
        <v>4463</v>
      </c>
      <c r="E562" s="7">
        <v>4352</v>
      </c>
      <c r="F562" s="7" t="s">
        <v>4412</v>
      </c>
      <c r="G562" s="1">
        <v>0.02</v>
      </c>
      <c r="H562" s="34">
        <f>Tabela1[[#This Row],[PESO UNI]]*Tabela1[[#This Row],[QTE]]</f>
        <v>0.08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-4</v>
      </c>
      <c r="R562" s="18">
        <f t="shared" si="91"/>
        <v>0.08</v>
      </c>
      <c r="S562" s="18">
        <f t="shared" si="90"/>
        <v>0.08</v>
      </c>
      <c r="T562" s="19">
        <f t="shared" si="92"/>
        <v>0</v>
      </c>
      <c r="U562" s="16">
        <f>IFERROR(SUMIF('LISTA DE EMBARQUE'!B:B,MICRO!E:E,'LISTA DE EMBARQUE'!G:G),"")</f>
        <v>4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0.08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4510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0.08</v>
      </c>
      <c r="AV562" s="37">
        <f t="shared" si="96"/>
        <v>0.08</v>
      </c>
      <c r="AW562" s="37"/>
    </row>
    <row r="563" spans="1:49" ht="15.75" hidden="1" customHeight="1" x14ac:dyDescent="0.25">
      <c r="A563" s="1" t="s">
        <v>4392</v>
      </c>
      <c r="B563" s="21"/>
      <c r="C563" s="1">
        <v>2</v>
      </c>
      <c r="D563" s="1" t="s">
        <v>4464</v>
      </c>
      <c r="E563" s="7">
        <v>4353</v>
      </c>
      <c r="F563" s="7" t="s">
        <v>4412</v>
      </c>
      <c r="G563" s="1">
        <v>0.02</v>
      </c>
      <c r="H563" s="34">
        <f>Tabela1[[#This Row],[PESO UNI]]*Tabela1[[#This Row],[QTE]]</f>
        <v>0.04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-2</v>
      </c>
      <c r="R563" s="18">
        <f t="shared" si="91"/>
        <v>0.04</v>
      </c>
      <c r="S563" s="18">
        <f t="shared" si="90"/>
        <v>0.04</v>
      </c>
      <c r="T563" s="19">
        <f t="shared" si="92"/>
        <v>0</v>
      </c>
      <c r="U563" s="16">
        <f>IFERROR(SUMIF('LISTA DE EMBARQUE'!B:B,MICRO!E:E,'LISTA DE EMBARQUE'!G:G),"")</f>
        <v>2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0.04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4510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P-024533-1/P190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0.04</v>
      </c>
      <c r="AV563" s="37">
        <f t="shared" si="96"/>
        <v>0.04</v>
      </c>
      <c r="AW563" s="37"/>
    </row>
    <row r="564" spans="1:49" ht="15.75" hidden="1" customHeight="1" x14ac:dyDescent="0.25">
      <c r="A564" s="1" t="s">
        <v>4460</v>
      </c>
      <c r="B564" s="21"/>
      <c r="C564" s="1">
        <v>110</v>
      </c>
      <c r="D564" s="1" t="s">
        <v>4465</v>
      </c>
      <c r="E564" s="7">
        <v>4354</v>
      </c>
      <c r="F564" s="7" t="s">
        <v>4412</v>
      </c>
      <c r="G564" s="1">
        <v>1.55</v>
      </c>
      <c r="H564" s="34">
        <f>Tabela1[[#This Row],[PESO UNI]]*Tabela1[[#This Row],[QTE]]</f>
        <v>170.5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-110</v>
      </c>
      <c r="R564" s="18">
        <f t="shared" si="91"/>
        <v>170.5</v>
      </c>
      <c r="S564" s="18">
        <f t="shared" si="90"/>
        <v>170.5</v>
      </c>
      <c r="T564" s="19">
        <f t="shared" si="92"/>
        <v>0</v>
      </c>
      <c r="U564" s="16">
        <f>IFERROR(SUMIF('LISTA DE EMBARQUE'!B:B,MICRO!E:E,'LISTA DE EMBARQUE'!G:G),"")</f>
        <v>110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170.5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4510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P-073057-1/P190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170.5</v>
      </c>
      <c r="AV564" s="37">
        <f t="shared" si="96"/>
        <v>170.5</v>
      </c>
      <c r="AW564" s="37"/>
    </row>
    <row r="565" spans="1:49" ht="15.75" hidden="1" customHeight="1" x14ac:dyDescent="0.25">
      <c r="A565" s="1" t="s">
        <v>4466</v>
      </c>
      <c r="B565" s="21"/>
      <c r="C565" s="1">
        <v>40</v>
      </c>
      <c r="D565" s="1" t="s">
        <v>4467</v>
      </c>
      <c r="E565" s="7">
        <v>4355</v>
      </c>
      <c r="F565" s="7" t="s">
        <v>4412</v>
      </c>
      <c r="G565" s="1">
        <v>0.28999999999999998</v>
      </c>
      <c r="H565" s="34">
        <f>Tabela1[[#This Row],[PESO UNI]]*Tabela1[[#This Row],[QTE]]</f>
        <v>11.6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11.6</v>
      </c>
      <c r="S565" s="18">
        <f t="shared" si="90"/>
        <v>11.6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11.6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4510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11.6</v>
      </c>
      <c r="AV565" s="37">
        <f t="shared" si="96"/>
        <v>11.6</v>
      </c>
      <c r="AW565" s="37"/>
    </row>
    <row r="566" spans="1:49" ht="15.75" hidden="1" customHeight="1" x14ac:dyDescent="0.25">
      <c r="A566" s="1" t="s">
        <v>4466</v>
      </c>
      <c r="B566" s="21"/>
      <c r="C566" s="1">
        <v>40</v>
      </c>
      <c r="D566" s="1" t="s">
        <v>4468</v>
      </c>
      <c r="E566" s="7">
        <v>4356</v>
      </c>
      <c r="F566" s="7" t="s">
        <v>4412</v>
      </c>
      <c r="G566" s="1">
        <v>0.02</v>
      </c>
      <c r="H566" s="34">
        <f>Tabela1[[#This Row],[PESO UNI]]*Tabela1[[#This Row],[QTE]]</f>
        <v>0.8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0.8</v>
      </c>
      <c r="S566" s="18">
        <f t="shared" si="90"/>
        <v>0.8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0.8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4510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0.8</v>
      </c>
      <c r="AV566" s="37">
        <f t="shared" si="96"/>
        <v>0.8</v>
      </c>
      <c r="AW566" s="37"/>
    </row>
    <row r="567" spans="1:49" ht="15.75" hidden="1" customHeight="1" x14ac:dyDescent="0.25">
      <c r="A567" s="1" t="s">
        <v>4466</v>
      </c>
      <c r="B567" s="21"/>
      <c r="C567" s="1">
        <v>40</v>
      </c>
      <c r="D567" s="1" t="s">
        <v>4469</v>
      </c>
      <c r="E567" s="7">
        <v>4357</v>
      </c>
      <c r="F567" s="7" t="s">
        <v>4412</v>
      </c>
      <c r="G567" s="1">
        <v>5.5E-2</v>
      </c>
      <c r="H567" s="34">
        <f>Tabela1[[#This Row],[PESO UNI]]*Tabela1[[#This Row],[QTE]]</f>
        <v>2.2000000000000002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-40</v>
      </c>
      <c r="R567" s="18">
        <f t="shared" si="91"/>
        <v>2.2000000000000002</v>
      </c>
      <c r="S567" s="18">
        <f t="shared" si="90"/>
        <v>2.2000000000000002</v>
      </c>
      <c r="T567" s="19">
        <f t="shared" si="92"/>
        <v>0</v>
      </c>
      <c r="U567" s="16">
        <f>IFERROR(SUMIF('LISTA DE EMBARQUE'!B:B,MICRO!E:E,'LISTA DE EMBARQUE'!G:G),"")</f>
        <v>40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2.2000000000000002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4510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>P-073056-1/P190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2.2000000000000002</v>
      </c>
      <c r="AV567" s="37">
        <f t="shared" si="96"/>
        <v>2.2000000000000002</v>
      </c>
      <c r="AW567" s="37"/>
    </row>
    <row r="568" spans="1:49" ht="15.75" hidden="1" customHeight="1" x14ac:dyDescent="0.25">
      <c r="A568" s="1" t="s">
        <v>4470</v>
      </c>
      <c r="B568" s="21"/>
      <c r="C568" s="1">
        <v>1</v>
      </c>
      <c r="D568" s="1" t="s">
        <v>4471</v>
      </c>
      <c r="E568" s="7">
        <v>4358</v>
      </c>
      <c r="F568" s="7" t="s">
        <v>4412</v>
      </c>
      <c r="G568" s="1">
        <v>6.5</v>
      </c>
      <c r="H568" s="34">
        <f>Tabela1[[#This Row],[PESO UNI]]*Tabela1[[#This Row],[QTE]]</f>
        <v>6.5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</v>
      </c>
      <c r="R568" s="18">
        <f t="shared" si="91"/>
        <v>6.5</v>
      </c>
      <c r="S568" s="18">
        <f t="shared" si="90"/>
        <v>6.5</v>
      </c>
      <c r="T568" s="19">
        <f t="shared" si="92"/>
        <v>0</v>
      </c>
      <c r="U568" s="16">
        <f>IFERROR(SUMIF('LISTA DE EMBARQUE'!B:B,MICRO!E:E,'LISTA DE EMBARQUE'!G:G),"")</f>
        <v>1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6.5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4510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 xml:space="preserve"> P-073060-1/P190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6.5</v>
      </c>
      <c r="AV568" s="37">
        <f t="shared" si="96"/>
        <v>6.5</v>
      </c>
      <c r="AW568" s="37"/>
    </row>
    <row r="569" spans="1:49" ht="15.75" hidden="1" customHeight="1" x14ac:dyDescent="0.25">
      <c r="A569" s="1" t="s">
        <v>4472</v>
      </c>
      <c r="B569" s="21"/>
      <c r="C569" s="1">
        <v>18</v>
      </c>
      <c r="D569" s="1" t="s">
        <v>4473</v>
      </c>
      <c r="E569" s="7">
        <v>4359</v>
      </c>
      <c r="F569" s="7" t="s">
        <v>4412</v>
      </c>
      <c r="G569" s="1">
        <v>0.02</v>
      </c>
      <c r="H569" s="34">
        <f>Tabela1[[#This Row],[PESO UNI]]*Tabela1[[#This Row],[QTE]]</f>
        <v>0.36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0.36</v>
      </c>
      <c r="S569" s="18">
        <f t="shared" si="90"/>
        <v>0.36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0.36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4510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0.36</v>
      </c>
      <c r="AV569" s="37">
        <f t="shared" si="96"/>
        <v>0.36</v>
      </c>
      <c r="AW569" s="37"/>
    </row>
    <row r="570" spans="1:49" ht="15.75" hidden="1" customHeight="1" x14ac:dyDescent="0.25">
      <c r="A570" s="1" t="s">
        <v>4472</v>
      </c>
      <c r="B570" s="21"/>
      <c r="C570" s="1">
        <v>18</v>
      </c>
      <c r="D570" s="1" t="s">
        <v>4474</v>
      </c>
      <c r="E570" s="7">
        <v>4360</v>
      </c>
      <c r="F570" s="7" t="s">
        <v>4412</v>
      </c>
      <c r="G570" s="1">
        <v>0.03</v>
      </c>
      <c r="H570" s="34">
        <f>Tabela1[[#This Row],[PESO UNI]]*Tabela1[[#This Row],[QTE]]</f>
        <v>0.54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-18</v>
      </c>
      <c r="R570" s="18">
        <f t="shared" si="91"/>
        <v>0.54</v>
      </c>
      <c r="S570" s="18">
        <f t="shared" si="90"/>
        <v>0.54</v>
      </c>
      <c r="T570" s="19">
        <f t="shared" si="92"/>
        <v>0</v>
      </c>
      <c r="U570" s="16">
        <f>IFERROR(SUMIF('LISTA DE EMBARQUE'!B:B,MICRO!E:E,'LISTA DE EMBARQUE'!G:G),"")</f>
        <v>18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0.54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4510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0.54</v>
      </c>
      <c r="AV570" s="37">
        <f t="shared" si="96"/>
        <v>0.54</v>
      </c>
      <c r="AW570" s="37"/>
    </row>
    <row r="571" spans="1:49" ht="15.75" hidden="1" customHeight="1" x14ac:dyDescent="0.25">
      <c r="A571" s="1" t="s">
        <v>4472</v>
      </c>
      <c r="B571" s="21"/>
      <c r="C571" s="1">
        <v>5</v>
      </c>
      <c r="D571" s="1" t="s">
        <v>4475</v>
      </c>
      <c r="E571" s="7">
        <v>4361</v>
      </c>
      <c r="F571" s="7" t="s">
        <v>4412</v>
      </c>
      <c r="G571" s="1">
        <v>0.02</v>
      </c>
      <c r="H571" s="34">
        <f>Tabela1[[#This Row],[PESO UNI]]*Tabela1[[#This Row],[QTE]]</f>
        <v>0.1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-5</v>
      </c>
      <c r="R571" s="18">
        <f t="shared" si="91"/>
        <v>0.1</v>
      </c>
      <c r="S571" s="18">
        <f t="shared" si="90"/>
        <v>0.1</v>
      </c>
      <c r="T571" s="19">
        <f t="shared" si="92"/>
        <v>0</v>
      </c>
      <c r="U571" s="16">
        <f>IFERROR(SUMIF('LISTA DE EMBARQUE'!B:B,MICRO!E:E,'LISTA DE EMBARQUE'!G:G),"")</f>
        <v>5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4510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</v>
      </c>
      <c r="AV571" s="37">
        <f t="shared" si="96"/>
        <v>0.1</v>
      </c>
      <c r="AW571" s="37"/>
    </row>
    <row r="572" spans="1:49" ht="15.75" hidden="1" customHeight="1" x14ac:dyDescent="0.25">
      <c r="A572" s="1" t="s">
        <v>4472</v>
      </c>
      <c r="B572" s="21"/>
      <c r="C572" s="1">
        <v>3</v>
      </c>
      <c r="D572" s="1" t="s">
        <v>4476</v>
      </c>
      <c r="E572" s="7">
        <v>4362</v>
      </c>
      <c r="F572" s="7" t="s">
        <v>4412</v>
      </c>
      <c r="G572" s="1">
        <v>0.04</v>
      </c>
      <c r="H572" s="34">
        <f>Tabela1[[#This Row],[PESO UNI]]*Tabela1[[#This Row],[QTE]]</f>
        <v>0.12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0.12</v>
      </c>
      <c r="S572" s="18">
        <f t="shared" ref="S572:S605" si="97">IFERROR(H572*AG572,"")</f>
        <v>0.12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4510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0.12</v>
      </c>
      <c r="AV572" s="37">
        <f t="shared" si="96"/>
        <v>0.12</v>
      </c>
      <c r="AW572" s="37"/>
    </row>
    <row r="573" spans="1:49" ht="15.75" hidden="1" customHeight="1" x14ac:dyDescent="0.25">
      <c r="A573" s="1" t="s">
        <v>4472</v>
      </c>
      <c r="B573" s="21"/>
      <c r="C573" s="1">
        <v>3</v>
      </c>
      <c r="D573" s="1" t="s">
        <v>4477</v>
      </c>
      <c r="E573" s="7">
        <v>4363</v>
      </c>
      <c r="F573" s="7" t="s">
        <v>4412</v>
      </c>
      <c r="G573" s="1">
        <v>0.05</v>
      </c>
      <c r="H573" s="34">
        <f>Tabela1[[#This Row],[PESO UNI]]*Tabela1[[#This Row],[QTE]]</f>
        <v>0.15000000000000002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-3</v>
      </c>
      <c r="R573" s="18">
        <f t="shared" si="91"/>
        <v>0.15000000000000002</v>
      </c>
      <c r="S573" s="18">
        <f t="shared" si="97"/>
        <v>0.15000000000000002</v>
      </c>
      <c r="T573" s="19">
        <f t="shared" si="92"/>
        <v>0</v>
      </c>
      <c r="U573" s="16">
        <f>IFERROR(SUMIF('LISTA DE EMBARQUE'!B:B,MICRO!E:E,'LISTA DE EMBARQUE'!G:G),"")</f>
        <v>3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0.15000000000000002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4510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0.15000000000000002</v>
      </c>
      <c r="AV573" s="37">
        <f t="shared" si="96"/>
        <v>0.15000000000000002</v>
      </c>
      <c r="AW573" s="37"/>
    </row>
    <row r="574" spans="1:49" ht="15.75" hidden="1" customHeight="1" x14ac:dyDescent="0.25">
      <c r="A574" s="1" t="s">
        <v>4472</v>
      </c>
      <c r="B574" s="21"/>
      <c r="C574" s="1">
        <v>10</v>
      </c>
      <c r="D574" s="1" t="s">
        <v>4478</v>
      </c>
      <c r="E574" s="7">
        <v>4364</v>
      </c>
      <c r="F574" s="7" t="s">
        <v>4412</v>
      </c>
      <c r="G574" s="1">
        <v>0.05</v>
      </c>
      <c r="H574" s="34">
        <f>Tabela1[[#This Row],[PESO UNI]]*Tabela1[[#This Row],[QTE]]</f>
        <v>0.5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si="91"/>
        <v>0.5</v>
      </c>
      <c r="S574" s="18">
        <f t="shared" si="97"/>
        <v>0.5</v>
      </c>
      <c r="T574" s="19">
        <f t="shared" si="92"/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0.5</v>
      </c>
      <c r="Y574" s="14">
        <f t="shared" si="93"/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4510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si="94"/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si="95"/>
        <v>0.5</v>
      </c>
      <c r="AV574" s="37">
        <f t="shared" si="96"/>
        <v>0.5</v>
      </c>
      <c r="AW574" s="37"/>
    </row>
    <row r="575" spans="1:49" ht="15.75" hidden="1" customHeight="1" x14ac:dyDescent="0.25">
      <c r="A575" s="1" t="s">
        <v>4472</v>
      </c>
      <c r="B575" s="21"/>
      <c r="C575" s="1">
        <v>10</v>
      </c>
      <c r="D575" s="1" t="s">
        <v>4479</v>
      </c>
      <c r="E575" s="7">
        <v>4365</v>
      </c>
      <c r="F575" s="7" t="s">
        <v>4412</v>
      </c>
      <c r="G575" s="1">
        <v>0.06</v>
      </c>
      <c r="H575" s="34">
        <f>Tabela1[[#This Row],[PESO UNI]]*Tabela1[[#This Row],[QTE]]</f>
        <v>0.6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-10</v>
      </c>
      <c r="R575" s="18">
        <f t="shared" ref="R575:R605" si="98">IFERROR(H575*((AA575*0.25)+(AC575*0.25)+(AD575*0.225)+(AE575*0.225)+(AF575*0.05)),"")</f>
        <v>0.6</v>
      </c>
      <c r="S575" s="18">
        <f t="shared" si="97"/>
        <v>0.6</v>
      </c>
      <c r="T575" s="19">
        <f t="shared" ref="T575:T605" si="99">IFERROR(S575-H575,"")</f>
        <v>0</v>
      </c>
      <c r="U575" s="16">
        <f>IFERROR(SUMIF('LISTA DE EMBARQUE'!B:B,MICRO!E:E,'LISTA DE EMBARQUE'!G:G),"")</f>
        <v>10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0.6</v>
      </c>
      <c r="Y575" s="14">
        <f t="shared" ref="Y575:Y605" si="100">U575-C575</f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4510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ref="AO575:AO605" si="101">A575&amp;"/"&amp;J575</f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ref="AU575:AU605" si="102">IF(AH575="",0,IF(ISTEXT(AH575),H575*VALUE(SUBSTITUTE(AH575,"%",""))/100,H575*AH575))</f>
        <v>0.6</v>
      </c>
      <c r="AV575" s="37">
        <f t="shared" ref="AV575:AV605" si="103">IF(AG575="",0,IF(ISTEXT(AG575),H575*VALUE(SUBSTITUTE(AG575,"%",""))/100,H575*AG575))</f>
        <v>0.6</v>
      </c>
      <c r="AW575" s="37"/>
    </row>
    <row r="576" spans="1:49" ht="15.75" hidden="1" customHeight="1" x14ac:dyDescent="0.25">
      <c r="A576" s="1" t="s">
        <v>4472</v>
      </c>
      <c r="B576" s="21"/>
      <c r="C576" s="1">
        <v>2</v>
      </c>
      <c r="D576" s="1" t="s">
        <v>4480</v>
      </c>
      <c r="E576" s="7">
        <v>4366</v>
      </c>
      <c r="F576" s="7" t="s">
        <v>4412</v>
      </c>
      <c r="G576" s="1">
        <v>0.03</v>
      </c>
      <c r="H576" s="34">
        <f>Tabela1[[#This Row],[PESO UNI]]*Tabela1[[#This Row],[QTE]]</f>
        <v>0.06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-2</v>
      </c>
      <c r="R576" s="18">
        <f t="shared" si="98"/>
        <v>0.06</v>
      </c>
      <c r="S576" s="18">
        <f t="shared" si="97"/>
        <v>0.06</v>
      </c>
      <c r="T576" s="19">
        <f t="shared" si="99"/>
        <v>0</v>
      </c>
      <c r="U576" s="16">
        <f>IFERROR(SUMIF('LISTA DE EMBARQUE'!B:B,MICRO!E:E,'LISTA DE EMBARQUE'!G:G),"")</f>
        <v>2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0.06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4510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0.06</v>
      </c>
      <c r="AV576" s="37">
        <f t="shared" si="103"/>
        <v>0.06</v>
      </c>
      <c r="AW576" s="37"/>
    </row>
    <row r="577" spans="1:49" ht="15.75" hidden="1" customHeight="1" x14ac:dyDescent="0.25">
      <c r="A577" s="1" t="s">
        <v>4472</v>
      </c>
      <c r="B577" s="21"/>
      <c r="C577" s="1">
        <v>4</v>
      </c>
      <c r="D577" s="1" t="s">
        <v>4481</v>
      </c>
      <c r="E577" s="7">
        <v>4367</v>
      </c>
      <c r="F577" s="7" t="s">
        <v>4412</v>
      </c>
      <c r="G577" s="1">
        <v>0.04</v>
      </c>
      <c r="H577" s="34">
        <f>Tabela1[[#This Row],[PESO UNI]]*Tabela1[[#This Row],[QTE]]</f>
        <v>0.16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-4</v>
      </c>
      <c r="R577" s="18">
        <f t="shared" si="98"/>
        <v>0.16</v>
      </c>
      <c r="S577" s="18">
        <f t="shared" si="97"/>
        <v>0.16</v>
      </c>
      <c r="T577" s="19">
        <f t="shared" si="99"/>
        <v>0</v>
      </c>
      <c r="U577" s="16">
        <f>IFERROR(SUMIF('LISTA DE EMBARQUE'!B:B,MICRO!E:E,'LISTA DE EMBARQUE'!G:G),"")</f>
        <v>4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0.16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4510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0.16</v>
      </c>
      <c r="AV577" s="37">
        <f t="shared" si="103"/>
        <v>0.16</v>
      </c>
      <c r="AW577" s="37"/>
    </row>
    <row r="578" spans="1:49" ht="15.75" hidden="1" customHeight="1" x14ac:dyDescent="0.25">
      <c r="A578" s="1" t="s">
        <v>4472</v>
      </c>
      <c r="B578" s="21"/>
      <c r="C578" s="1">
        <v>2</v>
      </c>
      <c r="D578" s="1" t="s">
        <v>4482</v>
      </c>
      <c r="E578" s="7">
        <v>4368</v>
      </c>
      <c r="F578" s="7" t="s">
        <v>4412</v>
      </c>
      <c r="G578" s="1">
        <v>0.02</v>
      </c>
      <c r="H578" s="34">
        <f>Tabela1[[#This Row],[PESO UNI]]*Tabela1[[#This Row],[QTE]]</f>
        <v>0.04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-2</v>
      </c>
      <c r="R578" s="18">
        <f t="shared" si="98"/>
        <v>0.04</v>
      </c>
      <c r="S578" s="18">
        <f t="shared" si="97"/>
        <v>0.04</v>
      </c>
      <c r="T578" s="19">
        <f t="shared" si="99"/>
        <v>0</v>
      </c>
      <c r="U578" s="16">
        <f>IFERROR(SUMIF('LISTA DE EMBARQUE'!B:B,MICRO!E:E,'LISTA DE EMBARQUE'!G:G),"")</f>
        <v>2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0.04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4510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0.04</v>
      </c>
      <c r="AV578" s="37">
        <f t="shared" si="103"/>
        <v>0.04</v>
      </c>
      <c r="AW578" s="37"/>
    </row>
    <row r="579" spans="1:49" ht="15.75" hidden="1" customHeight="1" x14ac:dyDescent="0.25">
      <c r="A579" s="1" t="s">
        <v>4472</v>
      </c>
      <c r="B579" s="21"/>
      <c r="C579" s="1">
        <v>8</v>
      </c>
      <c r="D579" s="1" t="s">
        <v>4483</v>
      </c>
      <c r="E579" s="7">
        <v>4369</v>
      </c>
      <c r="F579" s="7" t="s">
        <v>4412</v>
      </c>
      <c r="G579" s="1">
        <v>0.04</v>
      </c>
      <c r="H579" s="34">
        <f>Tabela1[[#This Row],[PESO UNI]]*Tabela1[[#This Row],[QTE]]</f>
        <v>0.32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-8</v>
      </c>
      <c r="R579" s="18">
        <f t="shared" si="98"/>
        <v>0.32</v>
      </c>
      <c r="S579" s="18">
        <f t="shared" si="97"/>
        <v>0.32</v>
      </c>
      <c r="T579" s="19">
        <f t="shared" si="99"/>
        <v>0</v>
      </c>
      <c r="U579" s="16">
        <f>IFERROR(SUMIF('LISTA DE EMBARQUE'!B:B,MICRO!E:E,'LISTA DE EMBARQUE'!G:G),"")</f>
        <v>8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0.32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4510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0.32</v>
      </c>
      <c r="AV579" s="37">
        <f t="shared" si="103"/>
        <v>0.32</v>
      </c>
      <c r="AW579" s="37"/>
    </row>
    <row r="580" spans="1:49" ht="15.75" hidden="1" customHeight="1" x14ac:dyDescent="0.25">
      <c r="A580" s="1" t="s">
        <v>4472</v>
      </c>
      <c r="B580" s="21"/>
      <c r="C580" s="1">
        <v>1</v>
      </c>
      <c r="D580" s="1" t="s">
        <v>4484</v>
      </c>
      <c r="E580" s="7">
        <v>4370</v>
      </c>
      <c r="F580" s="7" t="s">
        <v>4412</v>
      </c>
      <c r="G580" s="1">
        <v>2.2000000000000002</v>
      </c>
      <c r="H580" s="34">
        <f>Tabela1[[#This Row],[PESO UNI]]*Tabela1[[#This Row],[QTE]]</f>
        <v>2.2000000000000002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-1</v>
      </c>
      <c r="R580" s="18">
        <f t="shared" si="98"/>
        <v>2.2000000000000002</v>
      </c>
      <c r="S580" s="18">
        <f t="shared" si="97"/>
        <v>2.2000000000000002</v>
      </c>
      <c r="T580" s="19">
        <f t="shared" si="99"/>
        <v>0</v>
      </c>
      <c r="U580" s="16">
        <f>IFERROR(SUMIF('LISTA DE EMBARQUE'!B:B,MICRO!E:E,'LISTA DE EMBARQUE'!G:G),"")</f>
        <v>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2.2000000000000002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4510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2.2000000000000002</v>
      </c>
      <c r="AV580" s="37">
        <f t="shared" si="103"/>
        <v>2.2000000000000002</v>
      </c>
      <c r="AW580" s="37"/>
    </row>
    <row r="581" spans="1:49" ht="15.75" hidden="1" customHeight="1" x14ac:dyDescent="0.25">
      <c r="A581" s="1" t="s">
        <v>4472</v>
      </c>
      <c r="B581" s="21"/>
      <c r="C581" s="1">
        <v>71</v>
      </c>
      <c r="D581" s="1" t="s">
        <v>4485</v>
      </c>
      <c r="E581" s="7">
        <v>4371</v>
      </c>
      <c r="F581" s="7" t="s">
        <v>4412</v>
      </c>
      <c r="G581" s="1">
        <v>0.127</v>
      </c>
      <c r="H581" s="34">
        <f>Tabela1[[#This Row],[PESO UNI]]*Tabela1[[#This Row],[QTE]]</f>
        <v>9.0169999999999995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-71</v>
      </c>
      <c r="R581" s="18">
        <f t="shared" si="98"/>
        <v>9.0169999999999995</v>
      </c>
      <c r="S581" s="18">
        <f t="shared" si="97"/>
        <v>9.0169999999999995</v>
      </c>
      <c r="T581" s="19">
        <f t="shared" si="99"/>
        <v>0</v>
      </c>
      <c r="U581" s="16">
        <f>IFERROR(SUMIF('LISTA DE EMBARQUE'!B:B,MICRO!E:E,'LISTA DE EMBARQUE'!G:G),"")</f>
        <v>71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9.0169999999999995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4510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9.0169999999999995</v>
      </c>
      <c r="AV581" s="37">
        <f t="shared" si="103"/>
        <v>9.0169999999999995</v>
      </c>
      <c r="AW581" s="37"/>
    </row>
    <row r="582" spans="1:49" ht="15.75" hidden="1" customHeight="1" x14ac:dyDescent="0.25">
      <c r="A582" s="1" t="s">
        <v>4472</v>
      </c>
      <c r="B582" s="21"/>
      <c r="C582" s="1">
        <v>10</v>
      </c>
      <c r="D582" s="1" t="s">
        <v>4487</v>
      </c>
      <c r="E582" s="7">
        <v>4372</v>
      </c>
      <c r="F582" s="7" t="s">
        <v>4412</v>
      </c>
      <c r="G582" s="1">
        <v>0.14000000000000001</v>
      </c>
      <c r="H582" s="34">
        <f>Tabela1[[#This Row],[PESO UNI]]*Tabela1[[#This Row],[QTE]]</f>
        <v>1.4000000000000001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-10</v>
      </c>
      <c r="R582" s="18">
        <f t="shared" si="98"/>
        <v>1.4000000000000001</v>
      </c>
      <c r="S582" s="18">
        <f t="shared" si="97"/>
        <v>1.4000000000000001</v>
      </c>
      <c r="T582" s="19">
        <f t="shared" si="99"/>
        <v>0</v>
      </c>
      <c r="U582" s="16">
        <f>IFERROR(SUMIF('LISTA DE EMBARQUE'!B:B,MICRO!E:E,'LISTA DE EMBARQUE'!G:G),"")</f>
        <v>10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1.4000000000000001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4510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1.4000000000000001</v>
      </c>
      <c r="AV582" s="37">
        <f t="shared" si="103"/>
        <v>1.4000000000000001</v>
      </c>
      <c r="AW582" s="37"/>
    </row>
    <row r="583" spans="1:49" ht="15.75" hidden="1" customHeight="1" x14ac:dyDescent="0.25">
      <c r="A583" s="1" t="s">
        <v>4472</v>
      </c>
      <c r="B583" s="21"/>
      <c r="C583" s="1">
        <v>18</v>
      </c>
      <c r="D583" s="1" t="s">
        <v>4488</v>
      </c>
      <c r="E583" s="7">
        <v>4373</v>
      </c>
      <c r="F583" s="7" t="s">
        <v>4412</v>
      </c>
      <c r="G583" s="1">
        <v>0.36699999999999999</v>
      </c>
      <c r="H583" s="34">
        <f>Tabela1[[#This Row],[PESO UNI]]*Tabela1[[#This Row],[QTE]]</f>
        <v>6.6059999999999999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-18</v>
      </c>
      <c r="R583" s="18">
        <f t="shared" si="98"/>
        <v>6.6059999999999999</v>
      </c>
      <c r="S583" s="18">
        <f t="shared" si="97"/>
        <v>6.6059999999999999</v>
      </c>
      <c r="T583" s="19">
        <f t="shared" si="99"/>
        <v>0</v>
      </c>
      <c r="U583" s="16">
        <f>IFERROR(SUMIF('LISTA DE EMBARQUE'!B:B,MICRO!E:E,'LISTA DE EMBARQUE'!G:G),"")</f>
        <v>18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6.6059999999999999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4510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6.6059999999999999</v>
      </c>
      <c r="AV583" s="37">
        <f t="shared" si="103"/>
        <v>6.6059999999999999</v>
      </c>
      <c r="AW583" s="37"/>
    </row>
    <row r="584" spans="1:49" ht="15.75" hidden="1" customHeight="1" x14ac:dyDescent="0.25">
      <c r="A584" s="1" t="s">
        <v>4472</v>
      </c>
      <c r="B584" s="21"/>
      <c r="C584" s="1">
        <v>50</v>
      </c>
      <c r="D584" s="1" t="s">
        <v>4489</v>
      </c>
      <c r="E584" s="7">
        <v>4374</v>
      </c>
      <c r="F584" s="7" t="s">
        <v>4412</v>
      </c>
      <c r="G584" s="1">
        <v>0.56999999999999995</v>
      </c>
      <c r="H584" s="34">
        <f>Tabela1[[#This Row],[PESO UNI]]*Tabela1[[#This Row],[QTE]]</f>
        <v>28.499999999999996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-50</v>
      </c>
      <c r="R584" s="18">
        <f t="shared" si="98"/>
        <v>28.499999999999996</v>
      </c>
      <c r="S584" s="18">
        <f t="shared" si="97"/>
        <v>28.499999999999996</v>
      </c>
      <c r="T584" s="19">
        <f t="shared" si="99"/>
        <v>0</v>
      </c>
      <c r="U584" s="16">
        <f>IFERROR(SUMIF('LISTA DE EMBARQUE'!B:B,MICRO!E:E,'LISTA DE EMBARQUE'!G:G),"")</f>
        <v>50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28.499999999999996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4510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28.499999999999996</v>
      </c>
      <c r="AV584" s="37">
        <f t="shared" si="103"/>
        <v>28.499999999999996</v>
      </c>
      <c r="AW584" s="37"/>
    </row>
    <row r="585" spans="1:49" ht="15.75" hidden="1" customHeight="1" x14ac:dyDescent="0.25">
      <c r="A585" s="1" t="s">
        <v>4472</v>
      </c>
      <c r="B585" s="21"/>
      <c r="C585" s="1">
        <v>60</v>
      </c>
      <c r="D585" s="1" t="s">
        <v>4490</v>
      </c>
      <c r="E585" s="7">
        <v>4375</v>
      </c>
      <c r="F585" s="7" t="s">
        <v>4412</v>
      </c>
      <c r="G585" s="1">
        <v>0.1666</v>
      </c>
      <c r="H585" s="34">
        <f>Tabela1[[#This Row],[PESO UNI]]*Tabela1[[#This Row],[QTE]]</f>
        <v>9.9960000000000004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-60</v>
      </c>
      <c r="R585" s="18">
        <f t="shared" si="98"/>
        <v>9.9960000000000004</v>
      </c>
      <c r="S585" s="18">
        <f t="shared" si="97"/>
        <v>9.9960000000000004</v>
      </c>
      <c r="T585" s="19">
        <f t="shared" si="99"/>
        <v>0</v>
      </c>
      <c r="U585" s="16">
        <f>IFERROR(SUMIF('LISTA DE EMBARQUE'!B:B,MICRO!E:E,'LISTA DE EMBARQUE'!G:G),"")</f>
        <v>60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9.9960000000000004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4510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9.9960000000000004</v>
      </c>
      <c r="AV585" s="37">
        <f t="shared" si="103"/>
        <v>9.9960000000000004</v>
      </c>
      <c r="AW585" s="37"/>
    </row>
    <row r="586" spans="1:49" ht="15.75" hidden="1" customHeight="1" x14ac:dyDescent="0.25">
      <c r="A586" s="1" t="s">
        <v>4472</v>
      </c>
      <c r="B586" s="21"/>
      <c r="C586" s="1">
        <v>15</v>
      </c>
      <c r="D586" s="1" t="s">
        <v>4491</v>
      </c>
      <c r="E586" s="7">
        <v>4376</v>
      </c>
      <c r="F586" s="7" t="s">
        <v>4412</v>
      </c>
      <c r="G586" s="1">
        <v>0.16</v>
      </c>
      <c r="H586" s="34">
        <f>Tabela1[[#This Row],[PESO UNI]]*Tabela1[[#This Row],[QTE]]</f>
        <v>2.4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-15</v>
      </c>
      <c r="R586" s="18">
        <f t="shared" si="98"/>
        <v>2.4</v>
      </c>
      <c r="S586" s="18">
        <f t="shared" si="97"/>
        <v>2.4</v>
      </c>
      <c r="T586" s="19">
        <f t="shared" si="99"/>
        <v>0</v>
      </c>
      <c r="U586" s="16">
        <f>IFERROR(SUMIF('LISTA DE EMBARQUE'!B:B,MICRO!E:E,'LISTA DE EMBARQUE'!G:G),"")</f>
        <v>15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2.4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4510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2.4</v>
      </c>
      <c r="AV586" s="37">
        <f t="shared" si="103"/>
        <v>2.4</v>
      </c>
      <c r="AW586" s="37"/>
    </row>
    <row r="587" spans="1:49" ht="15.75" hidden="1" customHeight="1" x14ac:dyDescent="0.25">
      <c r="A587" s="1" t="s">
        <v>4472</v>
      </c>
      <c r="B587" s="21"/>
      <c r="C587" s="1">
        <v>52</v>
      </c>
      <c r="D587" s="1" t="s">
        <v>4492</v>
      </c>
      <c r="E587" s="7">
        <v>4377</v>
      </c>
      <c r="F587" s="7" t="s">
        <v>4412</v>
      </c>
      <c r="G587" s="1">
        <v>0.44600000000000001</v>
      </c>
      <c r="H587" s="34">
        <f>Tabela1[[#This Row],[PESO UNI]]*Tabela1[[#This Row],[QTE]]</f>
        <v>23.192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-52</v>
      </c>
      <c r="R587" s="18">
        <f t="shared" si="98"/>
        <v>23.192</v>
      </c>
      <c r="S587" s="18">
        <f t="shared" si="97"/>
        <v>23.192</v>
      </c>
      <c r="T587" s="19">
        <f t="shared" si="99"/>
        <v>0</v>
      </c>
      <c r="U587" s="16">
        <f>IFERROR(SUMIF('LISTA DE EMBARQUE'!B:B,MICRO!E:E,'LISTA DE EMBARQUE'!G:G),"")</f>
        <v>52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23.192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4510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23.192</v>
      </c>
      <c r="AV587" s="37">
        <f t="shared" si="103"/>
        <v>23.192</v>
      </c>
      <c r="AW587" s="37"/>
    </row>
    <row r="588" spans="1:49" ht="15.75" hidden="1" customHeight="1" x14ac:dyDescent="0.25">
      <c r="A588" s="1" t="s">
        <v>4472</v>
      </c>
      <c r="B588" s="21"/>
      <c r="C588" s="1">
        <v>78</v>
      </c>
      <c r="D588" s="1" t="s">
        <v>4493</v>
      </c>
      <c r="E588" s="7">
        <v>4378</v>
      </c>
      <c r="F588" s="7" t="s">
        <v>4412</v>
      </c>
      <c r="G588" s="1">
        <v>0.14799999999999999</v>
      </c>
      <c r="H588" s="34">
        <f>Tabela1[[#This Row],[PESO UNI]]*Tabela1[[#This Row],[QTE]]</f>
        <v>11.543999999999999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-78</v>
      </c>
      <c r="R588" s="18">
        <f t="shared" si="98"/>
        <v>11.543999999999999</v>
      </c>
      <c r="S588" s="18">
        <f t="shared" si="97"/>
        <v>11.543999999999999</v>
      </c>
      <c r="T588" s="19">
        <f t="shared" si="99"/>
        <v>0</v>
      </c>
      <c r="U588" s="16">
        <f>IFERROR(SUMIF('LISTA DE EMBARQUE'!B:B,MICRO!E:E,'LISTA DE EMBARQUE'!G:G),"")</f>
        <v>78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11.543999999999999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4510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11.543999999999999</v>
      </c>
      <c r="AV588" s="37">
        <f t="shared" si="103"/>
        <v>11.543999999999999</v>
      </c>
      <c r="AW588" s="37"/>
    </row>
    <row r="589" spans="1:49" ht="15.75" hidden="1" customHeight="1" x14ac:dyDescent="0.25">
      <c r="A589" s="1" t="s">
        <v>4472</v>
      </c>
      <c r="B589" s="21"/>
      <c r="C589" s="1">
        <v>26</v>
      </c>
      <c r="D589" s="1" t="s">
        <v>4494</v>
      </c>
      <c r="E589" s="7">
        <v>4379</v>
      </c>
      <c r="F589" s="7" t="s">
        <v>4412</v>
      </c>
      <c r="G589" s="1">
        <v>0.16900000000000001</v>
      </c>
      <c r="H589" s="34">
        <f>Tabela1[[#This Row],[PESO UNI]]*Tabela1[[#This Row],[QTE]]</f>
        <v>4.3940000000000001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-26</v>
      </c>
      <c r="R589" s="18">
        <f t="shared" si="98"/>
        <v>4.3940000000000001</v>
      </c>
      <c r="S589" s="18">
        <f t="shared" si="97"/>
        <v>4.3940000000000001</v>
      </c>
      <c r="T589" s="19">
        <f t="shared" si="99"/>
        <v>0</v>
      </c>
      <c r="U589" s="16">
        <f>IFERROR(SUMIF('LISTA DE EMBARQUE'!B:B,MICRO!E:E,'LISTA DE EMBARQUE'!G:G),"")</f>
        <v>26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4.3940000000000001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4510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4.3940000000000001</v>
      </c>
      <c r="AV589" s="37">
        <f t="shared" si="103"/>
        <v>4.3940000000000001</v>
      </c>
      <c r="AW589" s="37"/>
    </row>
    <row r="590" spans="1:49" ht="15.75" hidden="1" customHeight="1" x14ac:dyDescent="0.25">
      <c r="A590" s="1" t="s">
        <v>4472</v>
      </c>
      <c r="B590" s="21"/>
      <c r="C590" s="1">
        <v>60</v>
      </c>
      <c r="D590" s="1" t="s">
        <v>4495</v>
      </c>
      <c r="E590" s="7">
        <v>4380</v>
      </c>
      <c r="F590" s="7" t="s">
        <v>4412</v>
      </c>
      <c r="G590" s="1">
        <v>0.66600000000000004</v>
      </c>
      <c r="H590" s="34">
        <f>Tabela1[[#This Row],[PESO UNI]]*Tabela1[[#This Row],[QTE]]</f>
        <v>39.96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-60</v>
      </c>
      <c r="R590" s="18">
        <f t="shared" si="98"/>
        <v>39.96</v>
      </c>
      <c r="S590" s="18">
        <f t="shared" si="97"/>
        <v>39.96</v>
      </c>
      <c r="T590" s="19">
        <f t="shared" si="99"/>
        <v>0</v>
      </c>
      <c r="U590" s="16">
        <f>IFERROR(SUMIF('LISTA DE EMBARQUE'!B:B,MICRO!E:E,'LISTA DE EMBARQUE'!G:G),"")</f>
        <v>60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39.96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4510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39.96</v>
      </c>
      <c r="AV590" s="37">
        <f t="shared" si="103"/>
        <v>39.96</v>
      </c>
      <c r="AW590" s="37"/>
    </row>
    <row r="591" spans="1:49" ht="15.75" hidden="1" customHeight="1" x14ac:dyDescent="0.25">
      <c r="A591" s="1" t="s">
        <v>4472</v>
      </c>
      <c r="B591" s="21"/>
      <c r="C591" s="1">
        <v>52</v>
      </c>
      <c r="D591" s="1" t="s">
        <v>4496</v>
      </c>
      <c r="E591" s="7">
        <v>4381</v>
      </c>
      <c r="F591" s="7" t="s">
        <v>4412</v>
      </c>
      <c r="G591" s="1">
        <v>0.21099999999999999</v>
      </c>
      <c r="H591" s="34">
        <f>Tabela1[[#This Row],[PESO UNI]]*Tabela1[[#This Row],[QTE]]</f>
        <v>10.972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-52</v>
      </c>
      <c r="R591" s="18">
        <f t="shared" si="98"/>
        <v>10.972</v>
      </c>
      <c r="S591" s="18">
        <f t="shared" si="97"/>
        <v>10.972</v>
      </c>
      <c r="T591" s="19">
        <f t="shared" si="99"/>
        <v>0</v>
      </c>
      <c r="U591" s="16">
        <f>IFERROR(SUMIF('LISTA DE EMBARQUE'!B:B,MICRO!E:E,'LISTA DE EMBARQUE'!G:G),"")</f>
        <v>52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10.972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4510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10.972</v>
      </c>
      <c r="AV591" s="37">
        <f t="shared" si="103"/>
        <v>10.972</v>
      </c>
      <c r="AW591" s="37"/>
    </row>
    <row r="592" spans="1:49" ht="15.75" hidden="1" customHeight="1" x14ac:dyDescent="0.25">
      <c r="A592" s="1" t="s">
        <v>4472</v>
      </c>
      <c r="B592" s="21"/>
      <c r="C592" s="1">
        <v>26</v>
      </c>
      <c r="D592" s="1" t="s">
        <v>4497</v>
      </c>
      <c r="E592" s="7">
        <v>4382</v>
      </c>
      <c r="F592" s="7" t="s">
        <v>4412</v>
      </c>
      <c r="G592" s="1">
        <v>0.42299999999999999</v>
      </c>
      <c r="H592" s="34">
        <f>Tabela1[[#This Row],[PESO UNI]]*Tabela1[[#This Row],[QTE]]</f>
        <v>10.997999999999999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-26</v>
      </c>
      <c r="R592" s="18">
        <f t="shared" si="98"/>
        <v>10.997999999999999</v>
      </c>
      <c r="S592" s="18">
        <f t="shared" si="97"/>
        <v>10.997999999999999</v>
      </c>
      <c r="T592" s="19">
        <f t="shared" si="99"/>
        <v>0</v>
      </c>
      <c r="U592" s="16">
        <f>IFERROR(SUMIF('LISTA DE EMBARQUE'!B:B,MICRO!E:E,'LISTA DE EMBARQUE'!G:G),"")</f>
        <v>26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10.997999999999999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4510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10.997999999999999</v>
      </c>
      <c r="AV592" s="37">
        <f t="shared" si="103"/>
        <v>10.997999999999999</v>
      </c>
      <c r="AW592" s="37"/>
    </row>
    <row r="593" spans="1:49" ht="15.75" hidden="1" customHeight="1" x14ac:dyDescent="0.25">
      <c r="A593" s="1" t="s">
        <v>4472</v>
      </c>
      <c r="B593" s="21"/>
      <c r="C593" s="1">
        <v>3</v>
      </c>
      <c r="D593" s="1" t="s">
        <v>4498</v>
      </c>
      <c r="E593" s="7">
        <v>4383</v>
      </c>
      <c r="F593" s="7" t="s">
        <v>4412</v>
      </c>
      <c r="G593" s="1">
        <v>3.5</v>
      </c>
      <c r="H593" s="34">
        <f>Tabela1[[#This Row],[PESO UNI]]*Tabela1[[#This Row],[QTE]]</f>
        <v>10.5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-3</v>
      </c>
      <c r="R593" s="18">
        <f t="shared" si="98"/>
        <v>10.5</v>
      </c>
      <c r="S593" s="18">
        <f t="shared" si="97"/>
        <v>10.5</v>
      </c>
      <c r="T593" s="19">
        <f t="shared" si="99"/>
        <v>0</v>
      </c>
      <c r="U593" s="16">
        <f>IFERROR(SUMIF('LISTA DE EMBARQUE'!B:B,MICRO!E:E,'LISTA DE EMBARQUE'!G:G),"")</f>
        <v>3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10.5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4510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10.5</v>
      </c>
      <c r="AV593" s="37">
        <f t="shared" si="103"/>
        <v>10.5</v>
      </c>
      <c r="AW593" s="37"/>
    </row>
    <row r="594" spans="1:49" ht="15.75" hidden="1" customHeight="1" x14ac:dyDescent="0.25">
      <c r="A594" s="1" t="s">
        <v>4472</v>
      </c>
      <c r="B594" s="21"/>
      <c r="C594" s="1">
        <v>20</v>
      </c>
      <c r="D594" s="1" t="s">
        <v>4499</v>
      </c>
      <c r="E594" s="7">
        <v>4384</v>
      </c>
      <c r="F594" s="7" t="s">
        <v>4412</v>
      </c>
      <c r="G594" s="1">
        <v>0.3</v>
      </c>
      <c r="H594" s="34">
        <f>Tabela1[[#This Row],[PESO UNI]]*Tabela1[[#This Row],[QTE]]</f>
        <v>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-20</v>
      </c>
      <c r="R594" s="18">
        <f t="shared" si="98"/>
        <v>6</v>
      </c>
      <c r="S594" s="18">
        <f t="shared" si="97"/>
        <v>6</v>
      </c>
      <c r="T594" s="19">
        <f t="shared" si="99"/>
        <v>0</v>
      </c>
      <c r="U594" s="16">
        <f>IFERROR(SUMIF('LISTA DE EMBARQUE'!B:B,MICRO!E:E,'LISTA DE EMBARQUE'!G:G),"")</f>
        <v>20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4510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6</v>
      </c>
      <c r="AV594" s="37">
        <f t="shared" si="103"/>
        <v>6</v>
      </c>
      <c r="AW594" s="37"/>
    </row>
    <row r="595" spans="1:49" ht="15.75" hidden="1" customHeight="1" x14ac:dyDescent="0.25">
      <c r="A595" s="1" t="s">
        <v>4472</v>
      </c>
      <c r="B595" s="21"/>
      <c r="C595" s="1">
        <v>6</v>
      </c>
      <c r="D595" s="1" t="s">
        <v>4500</v>
      </c>
      <c r="E595" s="7">
        <v>4385</v>
      </c>
      <c r="F595" s="7" t="s">
        <v>4412</v>
      </c>
      <c r="G595" s="1">
        <v>0.01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-6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6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4510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4472</v>
      </c>
      <c r="B596" s="21"/>
      <c r="C596" s="1">
        <v>3</v>
      </c>
      <c r="D596" s="1" t="s">
        <v>4501</v>
      </c>
      <c r="E596" s="7">
        <v>4386</v>
      </c>
      <c r="F596" s="7" t="s">
        <v>4412</v>
      </c>
      <c r="G596" s="1">
        <v>0.02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-3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3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4510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4472</v>
      </c>
      <c r="B597" s="21"/>
      <c r="C597" s="1">
        <v>6</v>
      </c>
      <c r="D597" s="1" t="s">
        <v>4502</v>
      </c>
      <c r="E597" s="7">
        <v>4387</v>
      </c>
      <c r="F597" s="7" t="s">
        <v>4412</v>
      </c>
      <c r="G597" s="1">
        <v>0.01</v>
      </c>
      <c r="H597" s="34">
        <f>Tabela1[[#This Row],[PESO UNI]]*Tabela1[[#This Row],[QTE]]</f>
        <v>0.06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-6</v>
      </c>
      <c r="R597" s="18">
        <f t="shared" si="98"/>
        <v>0.06</v>
      </c>
      <c r="S597" s="18">
        <f t="shared" si="97"/>
        <v>0.06</v>
      </c>
      <c r="T597" s="19">
        <f t="shared" si="99"/>
        <v>0</v>
      </c>
      <c r="U597" s="16">
        <f>IFERROR(SUMIF('LISTA DE EMBARQUE'!B:B,MICRO!E:E,'LISTA DE EMBARQUE'!G:G),"")</f>
        <v>6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0.06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4510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0.06</v>
      </c>
      <c r="AV597" s="37">
        <f t="shared" si="103"/>
        <v>0.06</v>
      </c>
      <c r="AW597" s="37"/>
    </row>
    <row r="598" spans="1:49" ht="15.75" hidden="1" customHeight="1" x14ac:dyDescent="0.25">
      <c r="A598" s="1" t="s">
        <v>4472</v>
      </c>
      <c r="B598" s="21"/>
      <c r="C598" s="1">
        <v>15</v>
      </c>
      <c r="D598" s="1" t="s">
        <v>4503</v>
      </c>
      <c r="E598" s="7">
        <v>4388</v>
      </c>
      <c r="F598" s="7" t="s">
        <v>4412</v>
      </c>
      <c r="G598" s="1">
        <v>0.34599999999999997</v>
      </c>
      <c r="H598" s="34">
        <f>Tabela1[[#This Row],[PESO UNI]]*Tabela1[[#This Row],[QTE]]</f>
        <v>5.1899999999999995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-15</v>
      </c>
      <c r="R598" s="18">
        <f t="shared" si="98"/>
        <v>5.1899999999999995</v>
      </c>
      <c r="S598" s="18">
        <f t="shared" si="97"/>
        <v>5.1899999999999995</v>
      </c>
      <c r="T598" s="19">
        <f t="shared" si="99"/>
        <v>0</v>
      </c>
      <c r="U598" s="16">
        <f>IFERROR(SUMIF('LISTA DE EMBARQUE'!B:B,MICRO!E:E,'LISTA DE EMBARQUE'!G:G),"")</f>
        <v>15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5.1899999999999995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4510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5.1899999999999995</v>
      </c>
      <c r="AV598" s="37">
        <f t="shared" si="103"/>
        <v>5.1899999999999995</v>
      </c>
      <c r="AW598" s="37"/>
    </row>
    <row r="599" spans="1:49" ht="15.75" hidden="1" customHeight="1" x14ac:dyDescent="0.25">
      <c r="A599" s="1" t="s">
        <v>4472</v>
      </c>
      <c r="B599" s="21"/>
      <c r="C599" s="1">
        <v>12</v>
      </c>
      <c r="D599" s="1" t="s">
        <v>4504</v>
      </c>
      <c r="E599" s="7">
        <v>4389</v>
      </c>
      <c r="F599" s="7" t="s">
        <v>4412</v>
      </c>
      <c r="G599" s="1">
        <v>0.11700000000000001</v>
      </c>
      <c r="H599" s="34">
        <f>Tabela1[[#This Row],[PESO UNI]]*Tabela1[[#This Row],[QTE]]</f>
        <v>1.4040000000000001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-12</v>
      </c>
      <c r="R599" s="18">
        <f t="shared" si="98"/>
        <v>1.4040000000000001</v>
      </c>
      <c r="S599" s="18">
        <f t="shared" si="97"/>
        <v>1.4040000000000001</v>
      </c>
      <c r="T599" s="19">
        <f t="shared" si="99"/>
        <v>0</v>
      </c>
      <c r="U599" s="16">
        <f>IFERROR(SUMIF('LISTA DE EMBARQUE'!B:B,MICRO!E:E,'LISTA DE EMBARQUE'!G:G),"")</f>
        <v>12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1.4040000000000001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4510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(CONFORME ET:BBR-D-DF-1073-MDE-K-0017)/P190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1.4040000000000001</v>
      </c>
      <c r="AV599" s="37">
        <f t="shared" si="103"/>
        <v>1.4040000000000001</v>
      </c>
      <c r="AW599" s="37"/>
    </row>
    <row r="600" spans="1:49" ht="15.75" hidden="1" customHeight="1" x14ac:dyDescent="0.25">
      <c r="A600" s="1" t="s">
        <v>4460</v>
      </c>
      <c r="B600" s="21"/>
      <c r="C600" s="1">
        <v>4</v>
      </c>
      <c r="D600" s="1" t="s">
        <v>4505</v>
      </c>
      <c r="E600" s="7">
        <v>4390</v>
      </c>
      <c r="F600" s="7" t="s">
        <v>4412</v>
      </c>
      <c r="G600" s="1">
        <v>1</v>
      </c>
      <c r="H600" s="34">
        <f>Tabela1[[#This Row],[PESO UNI]]*Tabela1[[#This Row],[QTE]]</f>
        <v>4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-4</v>
      </c>
      <c r="R600" s="18">
        <f t="shared" si="98"/>
        <v>4</v>
      </c>
      <c r="S600" s="18">
        <f t="shared" si="97"/>
        <v>4</v>
      </c>
      <c r="T600" s="19">
        <f t="shared" si="99"/>
        <v>0</v>
      </c>
      <c r="U600" s="16">
        <f>IFERROR(SUMIF('LISTA DE EMBARQUE'!B:B,MICRO!E:E,'LISTA DE EMBARQUE'!G:G),"")</f>
        <v>4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4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4510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P-073057-1/P190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4</v>
      </c>
      <c r="AV600" s="37">
        <f t="shared" si="103"/>
        <v>4</v>
      </c>
      <c r="AW600" s="37"/>
    </row>
    <row r="601" spans="1:49" ht="15.75" hidden="1" customHeight="1" x14ac:dyDescent="0.25">
      <c r="A601" s="1" t="s">
        <v>4472</v>
      </c>
      <c r="B601" s="21"/>
      <c r="C601" s="1">
        <v>1</v>
      </c>
      <c r="D601" s="1" t="s">
        <v>4506</v>
      </c>
      <c r="E601" s="7">
        <v>4391</v>
      </c>
      <c r="F601" s="7" t="s">
        <v>4412</v>
      </c>
      <c r="G601" s="1">
        <v>1.2</v>
      </c>
      <c r="H601" s="34">
        <f>Tabela1[[#This Row],[PESO UNI]]*Tabela1[[#This Row],[QTE]]</f>
        <v>1.2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1.2</v>
      </c>
      <c r="S601" s="18">
        <f t="shared" si="97"/>
        <v>1.2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1.2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4510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1.2</v>
      </c>
      <c r="AV601" s="37">
        <f t="shared" si="103"/>
        <v>1.2</v>
      </c>
      <c r="AW601" s="37"/>
    </row>
    <row r="602" spans="1:49" ht="15.75" hidden="1" customHeight="1" x14ac:dyDescent="0.25">
      <c r="A602" s="1" t="s">
        <v>4472</v>
      </c>
      <c r="B602" s="21"/>
      <c r="C602" s="1">
        <v>1</v>
      </c>
      <c r="D602" s="1" t="s">
        <v>4448</v>
      </c>
      <c r="E602" s="7">
        <v>4392</v>
      </c>
      <c r="F602" s="7" t="s">
        <v>4412</v>
      </c>
      <c r="G602" s="1">
        <v>2.5</v>
      </c>
      <c r="H602" s="34">
        <f>Tabela1[[#This Row],[PESO UNI]]*Tabela1[[#This Row],[QTE]]</f>
        <v>2.5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2.5</v>
      </c>
      <c r="S602" s="18">
        <f t="shared" si="97"/>
        <v>2.5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2.5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4510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(CONFORME ET:BBR-D-DF-1073-MDE-K-0017)/P190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2.5</v>
      </c>
      <c r="AV602" s="37">
        <f t="shared" si="103"/>
        <v>2.5</v>
      </c>
      <c r="AW602" s="37"/>
    </row>
    <row r="603" spans="1:49" ht="15.75" hidden="1" customHeight="1" x14ac:dyDescent="0.25">
      <c r="A603" s="1" t="s">
        <v>4507</v>
      </c>
      <c r="B603" s="21"/>
      <c r="C603" s="1">
        <v>1</v>
      </c>
      <c r="D603" s="1" t="s">
        <v>4508</v>
      </c>
      <c r="E603" s="7">
        <v>4393</v>
      </c>
      <c r="F603" s="7" t="s">
        <v>4412</v>
      </c>
      <c r="G603" s="1">
        <v>120</v>
      </c>
      <c r="H603" s="34">
        <f>Tabela1[[#This Row],[PESO UNI]]*Tabela1[[#This Row],[QTE]]</f>
        <v>120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120</v>
      </c>
      <c r="S603" s="18">
        <f t="shared" si="97"/>
        <v>120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120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4510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120</v>
      </c>
      <c r="AV603" s="37">
        <f t="shared" si="103"/>
        <v>120</v>
      </c>
      <c r="AW603" s="37"/>
    </row>
    <row r="604" spans="1:49" ht="15.75" hidden="1" customHeight="1" x14ac:dyDescent="0.25">
      <c r="A604" s="1" t="s">
        <v>4507</v>
      </c>
      <c r="B604" s="21"/>
      <c r="C604" s="1">
        <v>1</v>
      </c>
      <c r="D604" s="1" t="s">
        <v>4509</v>
      </c>
      <c r="E604" s="7">
        <v>4394</v>
      </c>
      <c r="F604" s="7" t="s">
        <v>4412</v>
      </c>
      <c r="G604" s="1">
        <v>0.5</v>
      </c>
      <c r="H604" s="34">
        <f>Tabela1[[#This Row],[PESO UNI]]*Tabela1[[#This Row],[QTE]]</f>
        <v>0.5</v>
      </c>
      <c r="I604" s="7"/>
      <c r="J604" s="8" t="s">
        <v>2550</v>
      </c>
      <c r="K604" s="8" t="s">
        <v>45</v>
      </c>
      <c r="L604" s="9" t="s">
        <v>2551</v>
      </c>
      <c r="M604" s="10"/>
      <c r="N604" s="11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0.5</v>
      </c>
      <c r="S604" s="18">
        <f t="shared" si="97"/>
        <v>0.5</v>
      </c>
      <c r="T604" s="19">
        <f t="shared" si="99"/>
        <v>0</v>
      </c>
      <c r="U604" s="16">
        <f>IFERROR(SUMIF('LISTA DE EMBARQUE'!B:B,MICRO!E:E,'LISTA DE EMBARQUE'!G:G),"")</f>
        <v>1</v>
      </c>
      <c r="V604" s="12">
        <f>IFERROR(VLOOKUP(Tabela1[[#This Row],[COD.MDE]],'LISTA DE EMBARQUE'!B:L,11,0),"")</f>
        <v>4</v>
      </c>
      <c r="W604" s="13" t="str">
        <f>IFERROR(COUNTIF(#REF!,Tabela1[[#This Row],[Colunas5]]),"")</f>
        <v/>
      </c>
      <c r="X604" s="14">
        <f>Tabela1[[#This Row],[QIANTIDADE EXPEDIDA]]*Tabela1[[#This Row],[PESO UNI]]</f>
        <v>0.5</v>
      </c>
      <c r="Y604" s="14">
        <f t="shared" si="100"/>
        <v>0</v>
      </c>
      <c r="Z604" s="20">
        <f>Tabela1[[#This Row],[PESO TOTAL]]-Tabela1[[#This Row],[Peso Expedido]]</f>
        <v>0</v>
      </c>
      <c r="AA604" s="17">
        <v>1</v>
      </c>
      <c r="AB604" s="33"/>
      <c r="AC604" s="33">
        <v>1</v>
      </c>
      <c r="AD604" s="33">
        <v>1</v>
      </c>
      <c r="AE604" s="33">
        <v>1</v>
      </c>
      <c r="AF604" s="33">
        <v>1</v>
      </c>
      <c r="AG604" s="33">
        <v>1</v>
      </c>
      <c r="AH604" s="33">
        <v>1</v>
      </c>
      <c r="AI604" s="33" t="s">
        <v>4510</v>
      </c>
      <c r="AJ604"/>
      <c r="AK604" t="str">
        <f>Tabela1[[#This Row],[Coluna1]]&amp;Tabela1[[#This Row],[PEDIDO]]</f>
        <v>P-190</v>
      </c>
      <c r="AL604"/>
      <c r="AM604"/>
      <c r="AN604"/>
      <c r="AO604" t="str">
        <f t="shared" si="101"/>
        <v>PAINEL ELÉTRICO CONF. OV-260385-PTC-02/P190</v>
      </c>
      <c r="AP604" t="str">
        <f>Tabela1[[#This Row],[TAG]]&amp;Tabela1[[#This Row],[PEDIDO]]&amp;Tabela1[[#This Row],[PRODUTO]]</f>
        <v>P190P-190COMERCIAL</v>
      </c>
      <c r="AQ604" s="22" t="str">
        <f>Tabela1[[#This Row],[PRODUTO]]&amp;Tabela1[[#This Row],[TAG]]</f>
        <v>COMERCIALP190</v>
      </c>
      <c r="AR604" s="24" t="str">
        <f>Tabela1[[#This Row],[PEDIDO]]&amp;Tabela1[[#This Row],[PRODUTO]]</f>
        <v>P-190COMERCIAL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0.5</v>
      </c>
      <c r="AV604" s="37">
        <f t="shared" si="103"/>
        <v>0.5</v>
      </c>
      <c r="AW604" s="37"/>
    </row>
    <row r="605" spans="1:49" ht="15.75" hidden="1" customHeight="1" x14ac:dyDescent="0.25">
      <c r="A605" s="6" t="s">
        <v>4512</v>
      </c>
      <c r="B605" s="21" t="s">
        <v>4513</v>
      </c>
      <c r="C605" s="7">
        <v>1</v>
      </c>
      <c r="D605" s="39" t="s">
        <v>4514</v>
      </c>
      <c r="E605" s="7">
        <v>4395</v>
      </c>
      <c r="F605" s="7">
        <v>36</v>
      </c>
      <c r="G605" s="37">
        <v>748.2</v>
      </c>
      <c r="H605" s="34">
        <f>Tabela1[[#This Row],[PESO UNI]]*Tabela1[[#This Row],[QTE]]</f>
        <v>748.2</v>
      </c>
      <c r="I605" s="7">
        <v>0</v>
      </c>
      <c r="J605" s="8" t="s">
        <v>3045</v>
      </c>
      <c r="K605" s="8" t="s">
        <v>31</v>
      </c>
      <c r="L605" s="9" t="s">
        <v>2984</v>
      </c>
      <c r="M605" s="10">
        <v>46220</v>
      </c>
      <c r="N605" s="8" t="s">
        <v>38</v>
      </c>
      <c r="O605" s="12"/>
      <c r="P605" s="13"/>
      <c r="Q605" s="14">
        <f>Tabela1[[#This Row],[QTDE/ Fabricação]]-Tabela1[[#This Row],[QTE]]</f>
        <v>-1</v>
      </c>
      <c r="R605" s="18">
        <f t="shared" si="98"/>
        <v>0</v>
      </c>
      <c r="S605" s="18">
        <f t="shared" si="97"/>
        <v>0</v>
      </c>
      <c r="T605" s="19">
        <f t="shared" si="99"/>
        <v>-748.2</v>
      </c>
      <c r="U605" s="16">
        <f>IFERROR(SUMIF('LISTA DE EMBARQUE'!B:B,MICRO!E:E,'LISTA DE EMBARQUE'!G:G),"")</f>
        <v>0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0</v>
      </c>
      <c r="Y605" s="14">
        <f t="shared" si="100"/>
        <v>-1</v>
      </c>
      <c r="Z605" s="20">
        <f>Tabela1[[#This Row],[PESO TOTAL]]-Tabela1[[#This Row],[Peso Expedido]]</f>
        <v>748.2</v>
      </c>
      <c r="AA605" s="17"/>
      <c r="AB605" s="33"/>
      <c r="AC605" s="33"/>
      <c r="AD605" s="33"/>
      <c r="AE605" s="33"/>
      <c r="AF605" s="33"/>
      <c r="AG605" s="33"/>
      <c r="AH605" s="33"/>
      <c r="AI605" s="33" t="str">
        <f t="shared" ref="AI605" si="104">IF(Z605&lt;=0,"ok","")</f>
        <v/>
      </c>
      <c r="AJ605"/>
      <c r="AK605" t="str">
        <f>Tabela1[[#This Row],[Coluna1]]&amp;Tabela1[[#This Row],[PEDIDO]]</f>
        <v>P-198</v>
      </c>
      <c r="AL605"/>
      <c r="AM605"/>
      <c r="AN605"/>
      <c r="AO605" t="str">
        <f t="shared" si="101"/>
        <v>T-073245-1/14-CV-0001</v>
      </c>
      <c r="AP605" t="str">
        <f>Tabela1[[#This Row],[TAG]]&amp;Tabela1[[#This Row],[PEDIDO]]&amp;Tabela1[[#This Row],[PRODUTO]]</f>
        <v>14-CV-0001P-198ESTRUTURA</v>
      </c>
      <c r="AQ605" s="22" t="str">
        <f>Tabela1[[#This Row],[PRODUTO]]&amp;Tabela1[[#This Row],[TAG]]</f>
        <v>ESTRUTURA14-CV-0001</v>
      </c>
      <c r="AR605" s="24" t="str">
        <f>Tabela1[[#This Row],[PEDIDO]]&amp;Tabela1[[#This Row],[PRODUTO]]</f>
        <v>P-198ESTRUTURA</v>
      </c>
      <c r="AS605" s="37">
        <f>IF(AF605="",0,IF(ISTEXT(AF605),H605*VALUE(SUBSTITUTE(AF605,"%",""))/100,H605*AF605))-Tabela1[[#This Row],[PRONTO ACABADO2]]</f>
        <v>0</v>
      </c>
      <c r="AT605" s="37">
        <f>IF(AG605="",0,IF(ISTEXT(AG605),H605*VALUE(SUBSTITUTE(AG605,"%",""))/100,H605*AG605))-Tabela1[[#This Row],[PESO EXPEDIDO2]]</f>
        <v>0</v>
      </c>
      <c r="AU605" s="37">
        <f t="shared" si="102"/>
        <v>0</v>
      </c>
      <c r="AV605" s="37">
        <f t="shared" si="103"/>
        <v>0</v>
      </c>
      <c r="AW605" s="37"/>
    </row>
    <row r="606" spans="1:49" ht="15.75" hidden="1" customHeight="1" x14ac:dyDescent="0.25">
      <c r="A606" s="1" t="s">
        <v>2552</v>
      </c>
      <c r="B606" s="195"/>
      <c r="C606" s="197">
        <v>47</v>
      </c>
      <c r="D606" s="208" t="s">
        <v>3736</v>
      </c>
      <c r="E606" s="194" t="s">
        <v>4447</v>
      </c>
      <c r="F606" s="197" t="s">
        <v>4412</v>
      </c>
      <c r="G606" s="198">
        <v>121.38</v>
      </c>
      <c r="H606" s="34">
        <f>Tabela1[[#This Row],[PESO UNI]]*Tabela1[[#This Row],[QTE]]</f>
        <v>5704.86</v>
      </c>
      <c r="I606" s="198">
        <v>0</v>
      </c>
      <c r="J606" s="8" t="s">
        <v>2550</v>
      </c>
      <c r="K606" s="8" t="s">
        <v>4321</v>
      </c>
      <c r="L606" s="9" t="s">
        <v>2551</v>
      </c>
      <c r="M606" s="199"/>
      <c r="N606" s="205"/>
      <c r="O606" s="200"/>
      <c r="P606" s="201"/>
      <c r="Q606" s="14">
        <f>Tabela1[[#This Row],[QTDE/ Fabricação]]-Tabela1[[#This Row],[QTE]]</f>
        <v>-47</v>
      </c>
      <c r="R606" s="18">
        <f t="shared" ref="R606:R622" si="105">IFERROR(H606*((AA606*0.25)+(AC606*0.25)+(AD606*0.225)+(AE606*0.225)+(AF606*0.05)),"")</f>
        <v>5704.86</v>
      </c>
      <c r="S606" s="158">
        <f>IFERROR(H606*AG606,"")</f>
        <v>5704.86</v>
      </c>
      <c r="T606" s="19">
        <f t="shared" ref="T606:T622" si="106">IFERROR(S606-H606,"")</f>
        <v>0</v>
      </c>
      <c r="U606" s="16">
        <v>47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5704.86</v>
      </c>
      <c r="Y606" s="14">
        <f t="shared" ref="Y606:Y622" si="107">U606-C606</f>
        <v>0</v>
      </c>
      <c r="Z606" s="20">
        <f>Tabela1[[#This Row],[PESO TOTAL]]-Tabela1[[#This Row],[Peso Expedido]]</f>
        <v>0</v>
      </c>
      <c r="AA606" s="17">
        <v>1</v>
      </c>
      <c r="AB606" s="33"/>
      <c r="AC606" s="33">
        <v>1</v>
      </c>
      <c r="AD606" s="33">
        <v>1</v>
      </c>
      <c r="AE606" s="33">
        <v>1</v>
      </c>
      <c r="AF606" s="33">
        <v>1</v>
      </c>
      <c r="AG606" s="33">
        <v>1</v>
      </c>
      <c r="AH606" s="33">
        <v>1</v>
      </c>
      <c r="AI606" s="33" t="s">
        <v>4510</v>
      </c>
      <c r="AQ606" s="202"/>
      <c r="AR606" s="158"/>
      <c r="AS606" s="158"/>
      <c r="AT606" s="158"/>
      <c r="AU606" s="158"/>
      <c r="AV606" s="158"/>
      <c r="AW606" s="158"/>
    </row>
    <row r="607" spans="1:49" ht="15.75" hidden="1" customHeight="1" x14ac:dyDescent="0.25">
      <c r="A607" s="1" t="s">
        <v>4515</v>
      </c>
      <c r="B607" s="21" t="s">
        <v>4516</v>
      </c>
      <c r="C607" s="1">
        <v>1</v>
      </c>
      <c r="D607" s="1" t="s">
        <v>4517</v>
      </c>
      <c r="E607" s="7">
        <v>4396</v>
      </c>
      <c r="F607" s="7">
        <v>37</v>
      </c>
      <c r="G607" s="1">
        <v>1284.3</v>
      </c>
      <c r="H607" s="34">
        <f>Tabela1[[#This Row],[PESO UNI]]*Tabela1[[#This Row],[QTE]]</f>
        <v>1284.3</v>
      </c>
      <c r="I607" s="7" t="s">
        <v>4842</v>
      </c>
      <c r="J607" s="8" t="s">
        <v>3140</v>
      </c>
      <c r="K607" s="8" t="s">
        <v>4321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ref="S607:S622" si="108">IFERROR(H607*AG607,"")</f>
        <v>0</v>
      </c>
      <c r="T607" s="19">
        <f t="shared" si="106"/>
        <v>-1284.3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1284.3</v>
      </c>
      <c r="AA607" s="17"/>
      <c r="AB607" s="33"/>
      <c r="AC607" s="33"/>
      <c r="AD607" s="33"/>
      <c r="AE607" s="33"/>
      <c r="AF607" s="33"/>
      <c r="AG607" s="33"/>
      <c r="AH607" s="33"/>
      <c r="AI607" s="33" t="s">
        <v>4510</v>
      </c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4518</v>
      </c>
      <c r="B608" s="21" t="s">
        <v>4519</v>
      </c>
      <c r="C608" s="1">
        <v>1</v>
      </c>
      <c r="D608" s="1" t="s">
        <v>4520</v>
      </c>
      <c r="E608" s="7">
        <v>4397</v>
      </c>
      <c r="F608" s="7">
        <v>37</v>
      </c>
      <c r="G608" s="1">
        <v>395.4</v>
      </c>
      <c r="H608" s="34">
        <f>Tabela1[[#This Row],[PESO UNI]]*Tabela1[[#This Row],[QTE]]</f>
        <v>395.4</v>
      </c>
      <c r="I608" s="7" t="s">
        <v>4842</v>
      </c>
      <c r="J608" s="8" t="s">
        <v>3140</v>
      </c>
      <c r="K608" s="8" t="s">
        <v>4321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-395.4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395.4</v>
      </c>
      <c r="AA608" s="17"/>
      <c r="AB608" s="33"/>
      <c r="AC608" s="33"/>
      <c r="AD608" s="33"/>
      <c r="AE608" s="33"/>
      <c r="AF608" s="33"/>
      <c r="AG608" s="33"/>
      <c r="AH608" s="33"/>
      <c r="AI608" s="33" t="s">
        <v>4510</v>
      </c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4521</v>
      </c>
      <c r="B609" s="21" t="s">
        <v>4522</v>
      </c>
      <c r="C609" s="1">
        <v>1</v>
      </c>
      <c r="D609" s="1" t="s">
        <v>4523</v>
      </c>
      <c r="E609" s="7">
        <v>4398</v>
      </c>
      <c r="F609" s="7">
        <v>37</v>
      </c>
      <c r="G609" s="1">
        <v>166</v>
      </c>
      <c r="H609" s="34">
        <f>Tabela1[[#This Row],[PESO UNI]]*Tabela1[[#This Row],[QTE]]</f>
        <v>166</v>
      </c>
      <c r="I609" s="7" t="s">
        <v>4842</v>
      </c>
      <c r="J609" s="8" t="s">
        <v>3140</v>
      </c>
      <c r="K609" s="8" t="s">
        <v>4321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-166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166</v>
      </c>
      <c r="AA609" s="17"/>
      <c r="AB609" s="33"/>
      <c r="AC609" s="33"/>
      <c r="AD609" s="33"/>
      <c r="AE609" s="33"/>
      <c r="AF609" s="33"/>
      <c r="AG609" s="33"/>
      <c r="AH609" s="33"/>
      <c r="AI609" s="33" t="s">
        <v>4510</v>
      </c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4521</v>
      </c>
      <c r="B610" s="21" t="s">
        <v>4522</v>
      </c>
      <c r="C610" s="1">
        <v>1</v>
      </c>
      <c r="D610" s="1" t="s">
        <v>4524</v>
      </c>
      <c r="E610" s="7">
        <v>4399</v>
      </c>
      <c r="F610" s="7">
        <v>37</v>
      </c>
      <c r="G610" s="1">
        <v>28.6</v>
      </c>
      <c r="H610" s="34">
        <f>Tabela1[[#This Row],[PESO UNI]]*Tabela1[[#This Row],[QTE]]</f>
        <v>28.6</v>
      </c>
      <c r="I610" s="7" t="s">
        <v>4842</v>
      </c>
      <c r="J610" s="8" t="s">
        <v>3140</v>
      </c>
      <c r="K610" s="8" t="s">
        <v>4321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-28.6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28.6</v>
      </c>
      <c r="AA610" s="17"/>
      <c r="AB610" s="33"/>
      <c r="AC610" s="33"/>
      <c r="AD610" s="33"/>
      <c r="AE610" s="33"/>
      <c r="AF610" s="33"/>
      <c r="AG610" s="33"/>
      <c r="AH610" s="33"/>
      <c r="AI610" s="33" t="s">
        <v>4510</v>
      </c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4525</v>
      </c>
      <c r="B611" s="21" t="s">
        <v>4526</v>
      </c>
      <c r="C611" s="1">
        <v>1</v>
      </c>
      <c r="D611" s="1" t="s">
        <v>4527</v>
      </c>
      <c r="E611" s="7">
        <v>4400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4842</v>
      </c>
      <c r="J611" s="8" t="s">
        <v>3140</v>
      </c>
      <c r="K611" s="8" t="s">
        <v>4321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 t="s">
        <v>4510</v>
      </c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4525</v>
      </c>
      <c r="B612" s="21" t="s">
        <v>4526</v>
      </c>
      <c r="C612" s="1">
        <v>1</v>
      </c>
      <c r="D612" s="1" t="s">
        <v>4528</v>
      </c>
      <c r="E612" s="7">
        <v>4401</v>
      </c>
      <c r="F612" s="7">
        <v>37</v>
      </c>
      <c r="G612" s="1">
        <v>126.7</v>
      </c>
      <c r="H612" s="34">
        <f>Tabela1[[#This Row],[PESO UNI]]*Tabela1[[#This Row],[QTE]]</f>
        <v>126.7</v>
      </c>
      <c r="I612" s="7" t="s">
        <v>4842</v>
      </c>
      <c r="J612" s="8" t="s">
        <v>3140</v>
      </c>
      <c r="K612" s="8" t="s">
        <v>4321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-126.7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126.7</v>
      </c>
      <c r="AA612" s="17"/>
      <c r="AB612" s="33"/>
      <c r="AC612" s="33"/>
      <c r="AD612" s="33"/>
      <c r="AE612" s="33"/>
      <c r="AF612" s="33"/>
      <c r="AG612" s="33"/>
      <c r="AH612" s="33"/>
      <c r="AI612" s="33" t="s">
        <v>4510</v>
      </c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4529</v>
      </c>
      <c r="B613" s="21" t="s">
        <v>4530</v>
      </c>
      <c r="C613" s="1">
        <v>1</v>
      </c>
      <c r="D613" s="1" t="s">
        <v>4531</v>
      </c>
      <c r="E613" s="7">
        <v>4402</v>
      </c>
      <c r="F613" s="7">
        <v>37</v>
      </c>
      <c r="G613" s="1">
        <v>100.9</v>
      </c>
      <c r="H613" s="34">
        <f>Tabela1[[#This Row],[PESO UNI]]*Tabela1[[#This Row],[QTE]]</f>
        <v>100.9</v>
      </c>
      <c r="I613" s="7" t="s">
        <v>4842</v>
      </c>
      <c r="J613" s="8" t="s">
        <v>3140</v>
      </c>
      <c r="K613" s="8" t="s">
        <v>4321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-1</v>
      </c>
      <c r="R613" s="18">
        <f t="shared" si="105"/>
        <v>0</v>
      </c>
      <c r="S613" s="18">
        <f t="shared" si="108"/>
        <v>0</v>
      </c>
      <c r="T613" s="19">
        <f t="shared" si="106"/>
        <v>-100.9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-1</v>
      </c>
      <c r="Z613" s="20">
        <f>Tabela1[[#This Row],[PESO TOTAL]]-Tabela1[[#This Row],[Peso Expedido]]</f>
        <v>100.9</v>
      </c>
      <c r="AA613" s="17"/>
      <c r="AB613" s="33"/>
      <c r="AC613" s="33"/>
      <c r="AD613" s="33"/>
      <c r="AE613" s="33"/>
      <c r="AF613" s="33"/>
      <c r="AG613" s="33"/>
      <c r="AH613" s="33"/>
      <c r="AI613" s="33" t="s">
        <v>4510</v>
      </c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4529</v>
      </c>
      <c r="B614" s="21" t="s">
        <v>4530</v>
      </c>
      <c r="C614" s="1">
        <v>2</v>
      </c>
      <c r="D614" s="1" t="s">
        <v>4532</v>
      </c>
      <c r="E614" s="7">
        <v>4403</v>
      </c>
      <c r="F614" s="7">
        <v>37</v>
      </c>
      <c r="G614" s="1">
        <v>83.4</v>
      </c>
      <c r="H614" s="34">
        <f>Tabela1[[#This Row],[PESO UNI]]*Tabela1[[#This Row],[QTE]]</f>
        <v>166.8</v>
      </c>
      <c r="I614" s="7" t="s">
        <v>4842</v>
      </c>
      <c r="J614" s="8" t="s">
        <v>3140</v>
      </c>
      <c r="K614" s="8" t="s">
        <v>4321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-2</v>
      </c>
      <c r="R614" s="18">
        <f t="shared" si="105"/>
        <v>0</v>
      </c>
      <c r="S614" s="18">
        <f t="shared" si="108"/>
        <v>0</v>
      </c>
      <c r="T614" s="19">
        <f t="shared" si="106"/>
        <v>-166.8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-2</v>
      </c>
      <c r="Z614" s="20">
        <f>Tabela1[[#This Row],[PESO TOTAL]]-Tabela1[[#This Row],[Peso Expedido]]</f>
        <v>166.8</v>
      </c>
      <c r="AA614" s="17"/>
      <c r="AB614" s="33"/>
      <c r="AC614" s="33"/>
      <c r="AD614" s="33"/>
      <c r="AE614" s="33"/>
      <c r="AF614" s="33"/>
      <c r="AG614" s="33"/>
      <c r="AH614" s="33"/>
      <c r="AI614" s="33" t="s">
        <v>4510</v>
      </c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4529</v>
      </c>
      <c r="B615" s="21" t="s">
        <v>4530</v>
      </c>
      <c r="C615" s="1">
        <v>1</v>
      </c>
      <c r="D615" s="1" t="s">
        <v>4533</v>
      </c>
      <c r="E615" s="7">
        <v>4404</v>
      </c>
      <c r="F615" s="7">
        <v>37</v>
      </c>
      <c r="G615" s="1">
        <v>120.2</v>
      </c>
      <c r="H615" s="34">
        <f>Tabela1[[#This Row],[PESO UNI]]*Tabela1[[#This Row],[QTE]]</f>
        <v>120.2</v>
      </c>
      <c r="I615" s="7" t="s">
        <v>4842</v>
      </c>
      <c r="J615" s="8" t="s">
        <v>3140</v>
      </c>
      <c r="K615" s="8" t="s">
        <v>4321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-120.2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120.2</v>
      </c>
      <c r="AA615" s="17"/>
      <c r="AB615" s="33"/>
      <c r="AC615" s="33"/>
      <c r="AD615" s="33"/>
      <c r="AE615" s="33"/>
      <c r="AF615" s="33"/>
      <c r="AG615" s="33"/>
      <c r="AH615" s="33"/>
      <c r="AI615" s="33" t="s">
        <v>4510</v>
      </c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4529</v>
      </c>
      <c r="B616" s="21" t="s">
        <v>4530</v>
      </c>
      <c r="C616" s="1">
        <v>1</v>
      </c>
      <c r="D616" s="1" t="s">
        <v>4534</v>
      </c>
      <c r="E616" s="7">
        <v>4405</v>
      </c>
      <c r="F616" s="7">
        <v>37</v>
      </c>
      <c r="G616" s="1">
        <v>63.6</v>
      </c>
      <c r="H616" s="34">
        <f>Tabela1[[#This Row],[PESO UNI]]*Tabela1[[#This Row],[QTE]]</f>
        <v>63.6</v>
      </c>
      <c r="I616" s="7" t="s">
        <v>4842</v>
      </c>
      <c r="J616" s="8" t="s">
        <v>3140</v>
      </c>
      <c r="K616" s="8" t="s">
        <v>4321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-63.6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63.6</v>
      </c>
      <c r="AA616" s="17"/>
      <c r="AB616" s="33"/>
      <c r="AC616" s="33"/>
      <c r="AD616" s="33"/>
      <c r="AE616" s="33"/>
      <c r="AF616" s="33"/>
      <c r="AG616" s="33"/>
      <c r="AH616" s="33"/>
      <c r="AI616" s="33" t="s">
        <v>4510</v>
      </c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4529</v>
      </c>
      <c r="B617" s="21" t="s">
        <v>4530</v>
      </c>
      <c r="C617" s="1">
        <v>1</v>
      </c>
      <c r="D617" s="1" t="s">
        <v>4535</v>
      </c>
      <c r="E617" s="7">
        <v>4406</v>
      </c>
      <c r="F617" s="7">
        <v>37</v>
      </c>
      <c r="G617" s="1">
        <v>75.8</v>
      </c>
      <c r="H617" s="34">
        <f>Tabela1[[#This Row],[PESO UNI]]*Tabela1[[#This Row],[QTE]]</f>
        <v>75.8</v>
      </c>
      <c r="I617" s="7" t="s">
        <v>4842</v>
      </c>
      <c r="J617" s="8" t="s">
        <v>3140</v>
      </c>
      <c r="K617" s="8" t="s">
        <v>4321</v>
      </c>
      <c r="L617" s="9" t="s">
        <v>2984</v>
      </c>
      <c r="M617" s="10">
        <v>46220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-75.8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75.8</v>
      </c>
      <c r="AA617" s="17"/>
      <c r="AB617" s="33"/>
      <c r="AC617" s="33"/>
      <c r="AD617" s="33"/>
      <c r="AE617" s="33"/>
      <c r="AF617" s="33"/>
      <c r="AG617" s="33"/>
      <c r="AH617" s="33"/>
      <c r="AI617" s="33" t="s">
        <v>4510</v>
      </c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4537</v>
      </c>
      <c r="B618" s="21" t="s">
        <v>4538</v>
      </c>
      <c r="C618" s="1">
        <v>1</v>
      </c>
      <c r="D618" s="1" t="s">
        <v>4539</v>
      </c>
      <c r="E618" s="7">
        <v>4407</v>
      </c>
      <c r="F618" s="7">
        <v>38</v>
      </c>
      <c r="G618" s="1">
        <v>753.9</v>
      </c>
      <c r="H618" s="34">
        <f>Tabela1[[#This Row],[PESO UNI]]*Tabela1[[#This Row],[QTE]]</f>
        <v>753.9</v>
      </c>
      <c r="I618" s="7">
        <v>0</v>
      </c>
      <c r="J618" s="8" t="s">
        <v>3140</v>
      </c>
      <c r="K618" s="8" t="s">
        <v>4321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-1</v>
      </c>
      <c r="R618" s="18">
        <f t="shared" si="105"/>
        <v>0</v>
      </c>
      <c r="S618" s="18">
        <f t="shared" si="108"/>
        <v>0</v>
      </c>
      <c r="T618" s="19">
        <f t="shared" si="106"/>
        <v>-753.9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-1</v>
      </c>
      <c r="Z618" s="20">
        <f>Tabela1[[#This Row],[PESO TOTAL]]-Tabela1[[#This Row],[Peso Expedido]]</f>
        <v>753.9</v>
      </c>
      <c r="AA618" s="17"/>
      <c r="AB618" s="33"/>
      <c r="AC618" s="33"/>
      <c r="AD618" s="33"/>
      <c r="AE618" s="33"/>
      <c r="AF618" s="33"/>
      <c r="AG618" s="33"/>
      <c r="AH618" s="33"/>
      <c r="AI618" s="33" t="s">
        <v>4510</v>
      </c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4537</v>
      </c>
      <c r="B619" s="21" t="s">
        <v>4538</v>
      </c>
      <c r="C619" s="1">
        <v>2</v>
      </c>
      <c r="D619" s="1" t="s">
        <v>4540</v>
      </c>
      <c r="E619" s="7">
        <v>4408</v>
      </c>
      <c r="F619" s="7">
        <v>38</v>
      </c>
      <c r="G619" s="1">
        <v>81.099999999999994</v>
      </c>
      <c r="H619" s="34">
        <f>Tabela1[[#This Row],[PESO UNI]]*Tabela1[[#This Row],[QTE]]</f>
        <v>162.19999999999999</v>
      </c>
      <c r="I619" s="7">
        <v>0</v>
      </c>
      <c r="J619" s="8" t="s">
        <v>3140</v>
      </c>
      <c r="K619" s="8" t="s">
        <v>4321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-162.19999999999999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162.19999999999999</v>
      </c>
      <c r="AA619" s="17"/>
      <c r="AB619" s="33"/>
      <c r="AC619" s="33"/>
      <c r="AD619" s="33"/>
      <c r="AE619" s="33"/>
      <c r="AF619" s="33"/>
      <c r="AG619" s="33"/>
      <c r="AH619" s="33"/>
      <c r="AI619" s="33" t="s">
        <v>4510</v>
      </c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4537</v>
      </c>
      <c r="B620" s="21" t="s">
        <v>4538</v>
      </c>
      <c r="C620" s="1">
        <v>2</v>
      </c>
      <c r="D620" s="1" t="s">
        <v>4541</v>
      </c>
      <c r="E620" s="7">
        <v>4409</v>
      </c>
      <c r="F620" s="7">
        <v>38</v>
      </c>
      <c r="G620" s="1">
        <v>51.8</v>
      </c>
      <c r="H620" s="34">
        <f>Tabela1[[#This Row],[PESO UNI]]*Tabela1[[#This Row],[QTE]]</f>
        <v>103.6</v>
      </c>
      <c r="I620" s="7">
        <v>0</v>
      </c>
      <c r="J620" s="8" t="s">
        <v>3140</v>
      </c>
      <c r="K620" s="8" t="s">
        <v>4321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-103.6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103.6</v>
      </c>
      <c r="AA620" s="17"/>
      <c r="AB620" s="33"/>
      <c r="AC620" s="33"/>
      <c r="AD620" s="33"/>
      <c r="AE620" s="33"/>
      <c r="AF620" s="33"/>
      <c r="AG620" s="33"/>
      <c r="AH620" s="33"/>
      <c r="AI620" s="33" t="s">
        <v>4510</v>
      </c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4537</v>
      </c>
      <c r="B621" s="21" t="s">
        <v>4538</v>
      </c>
      <c r="C621" s="1">
        <v>2</v>
      </c>
      <c r="D621" s="1" t="s">
        <v>4542</v>
      </c>
      <c r="E621" s="7">
        <v>4410</v>
      </c>
      <c r="F621" s="7">
        <v>38</v>
      </c>
      <c r="G621" s="1">
        <v>2.7</v>
      </c>
      <c r="H621" s="34">
        <f>Tabela1[[#This Row],[PESO UNI]]*Tabela1[[#This Row],[QTE]]</f>
        <v>5.4</v>
      </c>
      <c r="I621" s="7">
        <v>0</v>
      </c>
      <c r="J621" s="8" t="s">
        <v>3140</v>
      </c>
      <c r="K621" s="8" t="s">
        <v>4321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-5.4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5.4</v>
      </c>
      <c r="AA621" s="17"/>
      <c r="AB621" s="33"/>
      <c r="AC621" s="33"/>
      <c r="AD621" s="33"/>
      <c r="AE621" s="33"/>
      <c r="AF621" s="33"/>
      <c r="AG621" s="33"/>
      <c r="AH621" s="33"/>
      <c r="AI621" s="33" t="s">
        <v>4510</v>
      </c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4537</v>
      </c>
      <c r="B622" s="21" t="s">
        <v>4538</v>
      </c>
      <c r="C622" s="1">
        <v>2</v>
      </c>
      <c r="D622" s="1" t="s">
        <v>4543</v>
      </c>
      <c r="E622" s="7">
        <v>4411</v>
      </c>
      <c r="F622" s="7">
        <v>38</v>
      </c>
      <c r="G622" s="1">
        <v>0.75</v>
      </c>
      <c r="H622" s="34">
        <f>Tabela1[[#This Row],[PESO UNI]]*Tabela1[[#This Row],[QTE]]</f>
        <v>1.5</v>
      </c>
      <c r="I622" s="7">
        <v>0</v>
      </c>
      <c r="J622" s="8" t="s">
        <v>3140</v>
      </c>
      <c r="K622" s="8" t="s">
        <v>4321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 t="shared" si="105"/>
        <v>0</v>
      </c>
      <c r="S622" s="18">
        <f t="shared" si="108"/>
        <v>0</v>
      </c>
      <c r="T622" s="19">
        <f t="shared" si="106"/>
        <v>-1.5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 t="shared" si="107"/>
        <v>-2</v>
      </c>
      <c r="Z622" s="20">
        <f>Tabela1[[#This Row],[PESO TOTAL]]-Tabela1[[#This Row],[Peso Expedido]]</f>
        <v>1.5</v>
      </c>
      <c r="AA622" s="17"/>
      <c r="AB622" s="33"/>
      <c r="AC622" s="33"/>
      <c r="AD622" s="33"/>
      <c r="AE622" s="33"/>
      <c r="AF622" s="33"/>
      <c r="AG622" s="33"/>
      <c r="AH622" s="33"/>
      <c r="AI622" s="33" t="s">
        <v>4510</v>
      </c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4537</v>
      </c>
      <c r="B623" s="21" t="s">
        <v>4538</v>
      </c>
      <c r="C623" s="1">
        <v>2</v>
      </c>
      <c r="D623" s="1" t="s">
        <v>4544</v>
      </c>
      <c r="E623" s="7">
        <v>4412</v>
      </c>
      <c r="F623" s="7">
        <v>38</v>
      </c>
      <c r="G623" s="1">
        <v>0.8</v>
      </c>
      <c r="H623" s="34">
        <f>Tabela1[[#This Row],[PESO UNI]]*Tabela1[[#This Row],[QTE]]</f>
        <v>1.6</v>
      </c>
      <c r="I623" s="7">
        <v>0</v>
      </c>
      <c r="J623" s="8" t="s">
        <v>3140</v>
      </c>
      <c r="K623" s="8" t="s">
        <v>4321</v>
      </c>
      <c r="L623" s="9" t="s">
        <v>2984</v>
      </c>
      <c r="M623" s="10">
        <v>46223</v>
      </c>
      <c r="N623" s="8" t="s">
        <v>38</v>
      </c>
      <c r="O623" s="12"/>
      <c r="P623" s="13"/>
      <c r="Q623" s="14">
        <f>Tabela1[[#This Row],[QTDE/ Fabricação]]-Tabela1[[#This Row],[QTE]]</f>
        <v>-2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-1.6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-2</v>
      </c>
      <c r="Z623" s="20">
        <f>Tabela1[[#This Row],[PESO TOTAL]]-Tabela1[[#This Row],[Peso Expedido]]</f>
        <v>1.6</v>
      </c>
      <c r="AA623" s="17"/>
      <c r="AB623" s="33"/>
      <c r="AC623" s="33"/>
      <c r="AD623" s="33"/>
      <c r="AE623" s="33"/>
      <c r="AF623" s="33"/>
      <c r="AG623" s="33"/>
      <c r="AH623" s="33"/>
      <c r="AI623" s="33" t="s">
        <v>4510</v>
      </c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4545</v>
      </c>
      <c r="B624" s="21" t="s">
        <v>4546</v>
      </c>
      <c r="C624" s="1">
        <v>1</v>
      </c>
      <c r="D624" s="1" t="s">
        <v>4547</v>
      </c>
      <c r="E624" s="7">
        <v>4413</v>
      </c>
      <c r="F624" s="7">
        <v>39</v>
      </c>
      <c r="G624" s="1">
        <v>514.29999999999995</v>
      </c>
      <c r="H624" s="34">
        <f>Tabela1[[#This Row],[PESO UNI]]*Tabela1[[#This Row],[QTE]]</f>
        <v>514.29999999999995</v>
      </c>
      <c r="I624" s="7">
        <v>0</v>
      </c>
      <c r="J624" s="8" t="s">
        <v>3045</v>
      </c>
      <c r="K624" s="8" t="s">
        <v>4321</v>
      </c>
      <c r="L624" s="9" t="s">
        <v>2984</v>
      </c>
      <c r="M624" s="10">
        <v>46224</v>
      </c>
      <c r="N624" s="8" t="s">
        <v>38</v>
      </c>
      <c r="O624" s="12"/>
      <c r="P624" s="13"/>
      <c r="Q624" s="14">
        <f>Tabela1[[#This Row],[QTDE/ Fabricação]]-Tabela1[[#This Row],[QTE]]</f>
        <v>-1</v>
      </c>
      <c r="R624" s="18">
        <f>IFERROR(H624*((AA624*0.25)+(AC624*0.25)+(AD624*0.225)+(AE624*0.225)+(AF624*0.05)),"")</f>
        <v>0</v>
      </c>
      <c r="S624" s="18">
        <f>IFERROR(H624*AG624,"")</f>
        <v>0</v>
      </c>
      <c r="T624" s="19">
        <f>IFERROR(S624-H624,"")</f>
        <v>-514.29999999999995</v>
      </c>
      <c r="U624" s="16">
        <f>IFERROR(SUMIF('LISTA DE EMBARQUE'!B:B,MICRO!E:E,'LISTA DE EMBARQUE'!G:G),"")</f>
        <v>0</v>
      </c>
      <c r="V624" s="12" t="str">
        <f>IFERROR(VLOOKUP(Tabela1[[#This Row],[COD.MDE]],'LISTA DE EMBARQUE'!B:L,11,0),"")</f>
        <v/>
      </c>
      <c r="W624" s="13" t="str">
        <f>IFERROR(COUNTIF(#REF!,Tabela1[[#This Row],[Colunas5]]),"")</f>
        <v/>
      </c>
      <c r="X624" s="14">
        <f>Tabela1[[#This Row],[QIANTIDADE EXPEDIDA]]*Tabela1[[#This Row],[PESO UNI]]</f>
        <v>0</v>
      </c>
      <c r="Y624" s="14">
        <f>U624-C624</f>
        <v>-1</v>
      </c>
      <c r="Z624" s="20">
        <f>Tabela1[[#This Row],[PESO TOTAL]]-Tabela1[[#This Row],[Peso Expedido]]</f>
        <v>514.29999999999995</v>
      </c>
      <c r="AA624" s="17"/>
      <c r="AB624" s="33"/>
      <c r="AC624" s="33"/>
      <c r="AD624" s="33"/>
      <c r="AE624" s="33"/>
      <c r="AF624" s="33"/>
      <c r="AG624" s="33"/>
      <c r="AH624" s="33"/>
      <c r="AI624" s="33" t="s">
        <v>4510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customHeight="1" x14ac:dyDescent="0.25">
      <c r="A625" s="1" t="s">
        <v>4549</v>
      </c>
      <c r="B625" s="21"/>
      <c r="C625" s="1">
        <v>30</v>
      </c>
      <c r="D625" s="1" t="s">
        <v>4548</v>
      </c>
      <c r="E625" s="7">
        <v>4414</v>
      </c>
      <c r="F625" s="7">
        <v>1</v>
      </c>
      <c r="G625" s="1">
        <v>11.5</v>
      </c>
      <c r="H625" s="34">
        <f>Tabela1[[#This Row],[PESO UNI]]*Tabela1[[#This Row],[QTE]]</f>
        <v>345</v>
      </c>
      <c r="I625" s="7">
        <v>0</v>
      </c>
      <c r="J625" s="8" t="s">
        <v>4550</v>
      </c>
      <c r="K625" s="8" t="s">
        <v>23</v>
      </c>
      <c r="L625" s="9" t="s">
        <v>4551</v>
      </c>
      <c r="M625" s="10">
        <v>46271</v>
      </c>
      <c r="N625" s="8" t="s">
        <v>38</v>
      </c>
      <c r="O625" s="12"/>
      <c r="P625" s="13"/>
      <c r="Q625" s="14">
        <f>Tabela1[[#This Row],[QTDE/ Fabricação]]-Tabela1[[#This Row],[QTE]]</f>
        <v>-30</v>
      </c>
      <c r="R625" s="18">
        <f>IFERROR(H625*((AA625*0.25)+(AC625*0.25)+(AD625*0.225)+(AE625*0.225)+(AF625*0.05)),"")</f>
        <v>345</v>
      </c>
      <c r="S625" s="18">
        <f>IFERROR(H625*AG625,"")</f>
        <v>345</v>
      </c>
      <c r="T625" s="19">
        <f>IFERROR(S625-H625,"")</f>
        <v>0</v>
      </c>
      <c r="U625" s="16">
        <f>IFERROR(SUMIF('LISTA DE EMBARQUE'!B:B,MICRO!E:E,'LISTA DE EMBARQUE'!G:G),"")</f>
        <v>0</v>
      </c>
      <c r="V625" s="12" t="str">
        <f>IFERROR(VLOOKUP(Tabela1[[#This Row],[COD.MDE]],'LISTA DE EMBARQUE'!B:L,11,0),"")</f>
        <v/>
      </c>
      <c r="W625" s="13" t="str">
        <f>IFERROR(COUNTIF(#REF!,Tabela1[[#This Row],[Colunas5]]),"")</f>
        <v/>
      </c>
      <c r="X625" s="14">
        <f>Tabela1[[#This Row],[QIANTIDADE EXPEDIDA]]*Tabela1[[#This Row],[PESO UNI]]</f>
        <v>0</v>
      </c>
      <c r="Y625" s="14">
        <f>U625-C625</f>
        <v>-30</v>
      </c>
      <c r="Z625" s="20">
        <f>Tabela1[[#This Row],[PESO TOTAL]]-Tabela1[[#This Row],[Peso Expedido]]</f>
        <v>345</v>
      </c>
      <c r="AA625" s="17">
        <v>1</v>
      </c>
      <c r="AB625" s="33">
        <v>1</v>
      </c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/>
      <c r="AI625" s="33"/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4555</v>
      </c>
      <c r="E626" s="7">
        <v>4415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4690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ref="R626:R627" si="109">IFERROR(H626*((AA626*0.25)+(AC626*0.25)+(AD626*0.225)+(AE626*0.225)+(AF626*0.05)),"")</f>
        <v>4.78</v>
      </c>
      <c r="S626" s="18">
        <f t="shared" ref="S626:S627" si="110">IFERROR(H626*AG626,"")</f>
        <v>4.78</v>
      </c>
      <c r="T626" s="19">
        <f t="shared" ref="T626:T627" si="111">IFERROR(S626-H626,"")</f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ref="Y626:Y627" si="112">U626-C626</f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4510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 t="s">
        <v>653</v>
      </c>
      <c r="B627" s="21"/>
      <c r="C627" s="1">
        <v>2</v>
      </c>
      <c r="D627" s="1" t="s">
        <v>4555</v>
      </c>
      <c r="E627" s="7">
        <v>4416</v>
      </c>
      <c r="F627" s="7">
        <v>43</v>
      </c>
      <c r="G627" s="1">
        <v>2.39</v>
      </c>
      <c r="H627" s="34">
        <f>Tabela1[[#This Row],[PESO UNI]]*Tabela1[[#This Row],[QTE]]</f>
        <v>4.78</v>
      </c>
      <c r="I627" s="7">
        <v>0</v>
      </c>
      <c r="J627" s="8" t="s">
        <v>4691</v>
      </c>
      <c r="K627" s="8" t="s">
        <v>23</v>
      </c>
      <c r="L627" s="9" t="s">
        <v>2069</v>
      </c>
      <c r="M627" s="10">
        <v>46199</v>
      </c>
      <c r="N627" s="8" t="s">
        <v>38</v>
      </c>
      <c r="O627" s="12"/>
      <c r="P627" s="13"/>
      <c r="Q627" s="14">
        <f>Tabela1[[#This Row],[QTDE/ Fabricação]]-Tabela1[[#This Row],[QTE]]</f>
        <v>-2</v>
      </c>
      <c r="R627" s="18">
        <f t="shared" si="109"/>
        <v>4.78</v>
      </c>
      <c r="S627" s="18">
        <f t="shared" si="110"/>
        <v>4.78</v>
      </c>
      <c r="T627" s="19">
        <f t="shared" si="111"/>
        <v>0</v>
      </c>
      <c r="U627" s="16">
        <f>IFERROR(SUMIF('LISTA DE EMBARQUE'!B:B,MICRO!E:E,'LISTA DE EMBARQUE'!G:G),"")</f>
        <v>2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4.78</v>
      </c>
      <c r="Y627" s="14">
        <f t="shared" si="112"/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4510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4556</v>
      </c>
      <c r="C628" s="1">
        <v>16</v>
      </c>
      <c r="D628" s="1" t="s">
        <v>4557</v>
      </c>
      <c r="E628" s="7" t="s">
        <v>4693</v>
      </c>
      <c r="F628" s="7" t="s">
        <v>4412</v>
      </c>
      <c r="G628" s="1">
        <v>1.2</v>
      </c>
      <c r="H628" s="34">
        <v>19.2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-16</v>
      </c>
      <c r="R628" s="18">
        <f t="shared" ref="R628:R691" si="113">IFERROR(H628*((AA628*0.25)+(AC628*0.25)+(AD628*0.225)+(AE628*0.225)+(AF628*0.05)),"")</f>
        <v>19.2</v>
      </c>
      <c r="S628" s="18">
        <f t="shared" ref="S628:S691" si="114">IFERROR(H628*AG628,"")</f>
        <v>19.2</v>
      </c>
      <c r="T628" s="19">
        <f t="shared" ref="T628:T691" si="115">IFERROR(S628-H628,"")</f>
        <v>0</v>
      </c>
      <c r="U628" s="16">
        <f>IFERROR(SUMIF('LISTA DE EMBARQUE'!B:B,MICRO!E:E,'LISTA DE EMBARQUE'!G:G),"")</f>
        <v>16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19.2</v>
      </c>
      <c r="Y628" s="14">
        <f t="shared" ref="Y628:Y691" si="116">U628-C628</f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4510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4556</v>
      </c>
      <c r="C629" s="1">
        <v>8</v>
      </c>
      <c r="D629" s="1" t="s">
        <v>4559</v>
      </c>
      <c r="E629" s="7" t="s">
        <v>4694</v>
      </c>
      <c r="F629" s="7" t="s">
        <v>4412</v>
      </c>
      <c r="G629" s="1">
        <v>1.8</v>
      </c>
      <c r="H629" s="34">
        <v>14.4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-8</v>
      </c>
      <c r="R629" s="18">
        <f t="shared" si="113"/>
        <v>14.4</v>
      </c>
      <c r="S629" s="18">
        <f t="shared" si="114"/>
        <v>14.4</v>
      </c>
      <c r="T629" s="19">
        <f t="shared" si="115"/>
        <v>0</v>
      </c>
      <c r="U629" s="16">
        <f>IFERROR(SUMIF('LISTA DE EMBARQUE'!B:B,MICRO!E:E,'LISTA DE EMBARQUE'!G:G),"")</f>
        <v>8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14.4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4510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4556</v>
      </c>
      <c r="C630" s="1">
        <v>7</v>
      </c>
      <c r="D630" s="1" t="s">
        <v>4560</v>
      </c>
      <c r="E630" s="7" t="s">
        <v>4695</v>
      </c>
      <c r="F630" s="7" t="s">
        <v>4412</v>
      </c>
      <c r="G630" s="1">
        <v>2.1</v>
      </c>
      <c r="H630" s="34">
        <v>14.700000000000001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-7</v>
      </c>
      <c r="R630" s="18">
        <f t="shared" si="113"/>
        <v>14.700000000000001</v>
      </c>
      <c r="S630" s="18">
        <f t="shared" si="114"/>
        <v>14.700000000000001</v>
      </c>
      <c r="T630" s="19">
        <f t="shared" si="115"/>
        <v>0</v>
      </c>
      <c r="U630" s="16">
        <f>IFERROR(SUMIF('LISTA DE EMBARQUE'!B:B,MICRO!E:E,'LISTA DE EMBARQUE'!G:G),"")</f>
        <v>7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14.700000000000001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4510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4556</v>
      </c>
      <c r="C631" s="1">
        <v>3</v>
      </c>
      <c r="D631" s="1" t="s">
        <v>4561</v>
      </c>
      <c r="E631" s="7" t="s">
        <v>4696</v>
      </c>
      <c r="F631" s="7" t="s">
        <v>4412</v>
      </c>
      <c r="G631" s="1">
        <v>0.05</v>
      </c>
      <c r="H631" s="34">
        <v>0.15000000000000002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0.15000000000000002</v>
      </c>
      <c r="S631" s="18">
        <f t="shared" si="114"/>
        <v>0.15000000000000002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0.15000000000000002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4510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4556</v>
      </c>
      <c r="C632" s="1">
        <v>3</v>
      </c>
      <c r="D632" s="1" t="s">
        <v>4563</v>
      </c>
      <c r="E632" s="7" t="s">
        <v>4697</v>
      </c>
      <c r="F632" s="7" t="s">
        <v>4412</v>
      </c>
      <c r="G632" s="1">
        <v>0.02</v>
      </c>
      <c r="H632" s="34">
        <v>0.06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-3</v>
      </c>
      <c r="R632" s="18">
        <f t="shared" si="113"/>
        <v>0.06</v>
      </c>
      <c r="S632" s="18">
        <f t="shared" si="114"/>
        <v>0.06</v>
      </c>
      <c r="T632" s="19">
        <f t="shared" si="115"/>
        <v>0</v>
      </c>
      <c r="U632" s="16">
        <f>IFERROR(SUMIF('LISTA DE EMBARQUE'!B:B,MICRO!E:E,'LISTA DE EMBARQUE'!G:G),"")</f>
        <v>3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0.06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4510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4556</v>
      </c>
      <c r="C633" s="1">
        <v>2</v>
      </c>
      <c r="D633" s="1" t="s">
        <v>4564</v>
      </c>
      <c r="E633" s="7" t="s">
        <v>4698</v>
      </c>
      <c r="F633" s="7" t="s">
        <v>4412</v>
      </c>
      <c r="G633" s="1">
        <v>0.8</v>
      </c>
      <c r="H633" s="34">
        <v>1.6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-2</v>
      </c>
      <c r="R633" s="18">
        <f t="shared" si="113"/>
        <v>1.6</v>
      </c>
      <c r="S633" s="18">
        <f t="shared" si="114"/>
        <v>1.6</v>
      </c>
      <c r="T633" s="19">
        <f t="shared" si="115"/>
        <v>0</v>
      </c>
      <c r="U633" s="16">
        <f>IFERROR(SUMIF('LISTA DE EMBARQUE'!B:B,MICRO!E:E,'LISTA DE EMBARQUE'!G:G),"")</f>
        <v>2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1.6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4510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4556</v>
      </c>
      <c r="C634" s="1">
        <v>6</v>
      </c>
      <c r="D634" s="1" t="s">
        <v>4565</v>
      </c>
      <c r="E634" s="7" t="s">
        <v>4699</v>
      </c>
      <c r="F634" s="7" t="s">
        <v>4412</v>
      </c>
      <c r="G634" s="1">
        <v>0.04</v>
      </c>
      <c r="H634" s="34">
        <v>0.24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-6</v>
      </c>
      <c r="R634" s="18">
        <f t="shared" si="113"/>
        <v>0.24</v>
      </c>
      <c r="S634" s="18">
        <f t="shared" si="114"/>
        <v>0.24</v>
      </c>
      <c r="T634" s="19">
        <f t="shared" si="115"/>
        <v>0</v>
      </c>
      <c r="U634" s="16">
        <f>IFERROR(SUMIF('LISTA DE EMBARQUE'!B:B,MICRO!E:E,'LISTA DE EMBARQUE'!G:G),"")</f>
        <v>6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0.24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4510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4556</v>
      </c>
      <c r="C635" s="1">
        <v>2</v>
      </c>
      <c r="D635" s="1" t="s">
        <v>4566</v>
      </c>
      <c r="E635" s="7" t="s">
        <v>4700</v>
      </c>
      <c r="F635" s="7" t="s">
        <v>4412</v>
      </c>
      <c r="G635" s="1">
        <v>0.05</v>
      </c>
      <c r="H635" s="34">
        <v>0.1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-2</v>
      </c>
      <c r="R635" s="18">
        <f t="shared" si="113"/>
        <v>0.1</v>
      </c>
      <c r="S635" s="18">
        <f t="shared" si="114"/>
        <v>0.1</v>
      </c>
      <c r="T635" s="19">
        <f t="shared" si="115"/>
        <v>0</v>
      </c>
      <c r="U635" s="16">
        <f>IFERROR(SUMIF('LISTA DE EMBARQUE'!B:B,MICRO!E:E,'LISTA DE EMBARQUE'!G:G),"")</f>
        <v>2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4510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4556</v>
      </c>
      <c r="C636" s="1">
        <v>6</v>
      </c>
      <c r="D636" s="1" t="s">
        <v>4567</v>
      </c>
      <c r="E636" s="7" t="s">
        <v>4701</v>
      </c>
      <c r="F636" s="7" t="s">
        <v>4412</v>
      </c>
      <c r="G636" s="1">
        <v>0.03</v>
      </c>
      <c r="H636" s="34">
        <v>0.18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-6</v>
      </c>
      <c r="R636" s="18">
        <f t="shared" si="113"/>
        <v>0.18</v>
      </c>
      <c r="S636" s="18">
        <f t="shared" si="114"/>
        <v>0.18</v>
      </c>
      <c r="T636" s="19">
        <f t="shared" si="115"/>
        <v>0</v>
      </c>
      <c r="U636" s="16">
        <f>IFERROR(SUMIF('LISTA DE EMBARQUE'!B:B,MICRO!E:E,'LISTA DE EMBARQUE'!G:G),"")</f>
        <v>6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0.18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4510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4556</v>
      </c>
      <c r="C637" s="1">
        <v>2</v>
      </c>
      <c r="D637" s="1" t="s">
        <v>4568</v>
      </c>
      <c r="E637" s="7" t="s">
        <v>4702</v>
      </c>
      <c r="F637" s="7" t="s">
        <v>4412</v>
      </c>
      <c r="G637" s="1">
        <v>0.05</v>
      </c>
      <c r="H637" s="34">
        <v>0.1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</v>
      </c>
      <c r="S637" s="18">
        <f t="shared" si="114"/>
        <v>0.1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4510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4556</v>
      </c>
      <c r="C638" s="1">
        <v>2</v>
      </c>
      <c r="D638" s="1" t="s">
        <v>4569</v>
      </c>
      <c r="E638" s="7" t="s">
        <v>4703</v>
      </c>
      <c r="F638" s="7" t="s">
        <v>4412</v>
      </c>
      <c r="G638" s="1">
        <v>0.08</v>
      </c>
      <c r="H638" s="34">
        <v>0.16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-2</v>
      </c>
      <c r="R638" s="18">
        <f t="shared" si="113"/>
        <v>0.16</v>
      </c>
      <c r="S638" s="18">
        <f t="shared" si="114"/>
        <v>0.16</v>
      </c>
      <c r="T638" s="19">
        <f t="shared" si="115"/>
        <v>0</v>
      </c>
      <c r="U638" s="16">
        <f>IFERROR(SUMIF('LISTA DE EMBARQUE'!B:B,MICRO!E:E,'LISTA DE EMBARQUE'!G:G),"")</f>
        <v>2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0.16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4510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4556</v>
      </c>
      <c r="C639" s="1">
        <v>4</v>
      </c>
      <c r="D639" s="1" t="s">
        <v>4570</v>
      </c>
      <c r="E639" s="7" t="s">
        <v>4704</v>
      </c>
      <c r="F639" s="7" t="s">
        <v>4412</v>
      </c>
      <c r="G639" s="1">
        <v>0.03</v>
      </c>
      <c r="H639" s="34">
        <v>0.12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-4</v>
      </c>
      <c r="R639" s="18">
        <f t="shared" si="113"/>
        <v>0.12</v>
      </c>
      <c r="S639" s="18">
        <f t="shared" si="114"/>
        <v>0.12</v>
      </c>
      <c r="T639" s="19">
        <f t="shared" si="115"/>
        <v>0</v>
      </c>
      <c r="U639" s="16">
        <f>IFERROR(SUMIF('LISTA DE EMBARQUE'!B:B,MICRO!E:E,'LISTA DE EMBARQUE'!G:G),"")</f>
        <v>4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0.12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4510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4556</v>
      </c>
      <c r="C640" s="1">
        <v>2</v>
      </c>
      <c r="D640" s="1" t="s">
        <v>4571</v>
      </c>
      <c r="E640" s="7" t="s">
        <v>4705</v>
      </c>
      <c r="F640" s="7" t="s">
        <v>4412</v>
      </c>
      <c r="G640" s="1">
        <v>0.05</v>
      </c>
      <c r="H640" s="34">
        <v>0.1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-2</v>
      </c>
      <c r="R640" s="18">
        <f t="shared" si="113"/>
        <v>0.1</v>
      </c>
      <c r="S640" s="18">
        <f t="shared" si="114"/>
        <v>0.1</v>
      </c>
      <c r="T640" s="19">
        <f t="shared" si="115"/>
        <v>0</v>
      </c>
      <c r="U640" s="16">
        <f>IFERROR(SUMIF('LISTA DE EMBARQUE'!B:B,MICRO!E:E,'LISTA DE EMBARQUE'!G:G),"")</f>
        <v>2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0.1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4510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4556</v>
      </c>
      <c r="C641" s="1">
        <v>3</v>
      </c>
      <c r="D641" s="1" t="s">
        <v>4572</v>
      </c>
      <c r="E641" s="7" t="s">
        <v>4706</v>
      </c>
      <c r="F641" s="7" t="s">
        <v>4412</v>
      </c>
      <c r="G641" s="1">
        <v>0.08</v>
      </c>
      <c r="H641" s="34">
        <v>0.24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-3</v>
      </c>
      <c r="R641" s="18">
        <f t="shared" si="113"/>
        <v>0.24</v>
      </c>
      <c r="S641" s="18">
        <f t="shared" si="114"/>
        <v>0.24</v>
      </c>
      <c r="T641" s="19">
        <f t="shared" si="115"/>
        <v>0</v>
      </c>
      <c r="U641" s="16">
        <f>IFERROR(SUMIF('LISTA DE EMBARQUE'!B:B,MICRO!E:E,'LISTA DE EMBARQUE'!G:G),"")</f>
        <v>3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0.24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4510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4556</v>
      </c>
      <c r="C642" s="1">
        <v>5</v>
      </c>
      <c r="D642" s="1" t="s">
        <v>4573</v>
      </c>
      <c r="E642" s="7" t="s">
        <v>4707</v>
      </c>
      <c r="F642" s="7" t="s">
        <v>4412</v>
      </c>
      <c r="G642" s="1">
        <v>0.03</v>
      </c>
      <c r="H642" s="34">
        <v>0.15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-5</v>
      </c>
      <c r="R642" s="18">
        <f t="shared" si="113"/>
        <v>0.15</v>
      </c>
      <c r="S642" s="18">
        <f t="shared" si="114"/>
        <v>0.15</v>
      </c>
      <c r="T642" s="19">
        <f t="shared" si="115"/>
        <v>0</v>
      </c>
      <c r="U642" s="16">
        <f>IFERROR(SUMIF('LISTA DE EMBARQUE'!B:B,MICRO!E:E,'LISTA DE EMBARQUE'!G:G),"")</f>
        <v>5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0.15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4510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4556</v>
      </c>
      <c r="C643" s="1">
        <v>7</v>
      </c>
      <c r="D643" s="1" t="s">
        <v>4574</v>
      </c>
      <c r="E643" s="7" t="s">
        <v>4708</v>
      </c>
      <c r="F643" s="7" t="s">
        <v>4412</v>
      </c>
      <c r="G643" s="1">
        <v>0.02</v>
      </c>
      <c r="H643" s="34">
        <v>0.14000000000000001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-7</v>
      </c>
      <c r="R643" s="18">
        <f t="shared" si="113"/>
        <v>0.14000000000000001</v>
      </c>
      <c r="S643" s="18">
        <f t="shared" si="114"/>
        <v>0.14000000000000001</v>
      </c>
      <c r="T643" s="19">
        <f t="shared" si="115"/>
        <v>0</v>
      </c>
      <c r="U643" s="16">
        <f>IFERROR(SUMIF('LISTA DE EMBARQUE'!B:B,MICRO!E:E,'LISTA DE EMBARQUE'!G:G),"")</f>
        <v>7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0.14000000000000001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4510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4556</v>
      </c>
      <c r="C644" s="1">
        <v>32</v>
      </c>
      <c r="D644" s="1" t="s">
        <v>4575</v>
      </c>
      <c r="E644" s="7" t="s">
        <v>4709</v>
      </c>
      <c r="F644" s="7" t="s">
        <v>4412</v>
      </c>
      <c r="G644" s="1">
        <v>0.02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-32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32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4510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4556</v>
      </c>
      <c r="C645" s="1">
        <v>16</v>
      </c>
      <c r="D645" s="1" t="s">
        <v>4576</v>
      </c>
      <c r="E645" s="7" t="s">
        <v>4710</v>
      </c>
      <c r="F645" s="7" t="s">
        <v>4412</v>
      </c>
      <c r="G645" s="1">
        <v>0.04</v>
      </c>
      <c r="H645" s="34">
        <v>0.64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-16</v>
      </c>
      <c r="R645" s="18">
        <f t="shared" si="113"/>
        <v>0.64</v>
      </c>
      <c r="S645" s="18">
        <f t="shared" si="114"/>
        <v>0.64</v>
      </c>
      <c r="T645" s="19">
        <f t="shared" si="115"/>
        <v>0</v>
      </c>
      <c r="U645" s="16">
        <f>IFERROR(SUMIF('LISTA DE EMBARQUE'!B:B,MICRO!E:E,'LISTA DE EMBARQUE'!G:G),"")</f>
        <v>16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0.64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4510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4556</v>
      </c>
      <c r="C646" s="1">
        <v>14</v>
      </c>
      <c r="D646" s="1" t="s">
        <v>4577</v>
      </c>
      <c r="E646" s="7" t="s">
        <v>4711</v>
      </c>
      <c r="F646" s="7" t="s">
        <v>4412</v>
      </c>
      <c r="G646" s="1">
        <v>0.06</v>
      </c>
      <c r="H646" s="34">
        <v>0.84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-14</v>
      </c>
      <c r="R646" s="18">
        <f t="shared" si="113"/>
        <v>0.84</v>
      </c>
      <c r="S646" s="18">
        <f t="shared" si="114"/>
        <v>0.84</v>
      </c>
      <c r="T646" s="19">
        <f t="shared" si="115"/>
        <v>0</v>
      </c>
      <c r="U646" s="16">
        <f>IFERROR(SUMIF('LISTA DE EMBARQUE'!B:B,MICRO!E:E,'LISTA DE EMBARQUE'!G:G),"")</f>
        <v>14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0.84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4510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4578</v>
      </c>
      <c r="C647" s="1">
        <v>16</v>
      </c>
      <c r="D647" s="1" t="s">
        <v>4579</v>
      </c>
      <c r="E647" s="7" t="s">
        <v>4712</v>
      </c>
      <c r="F647" s="7" t="s">
        <v>4412</v>
      </c>
      <c r="G647" s="1">
        <v>1.2</v>
      </c>
      <c r="H647" s="34">
        <v>19.2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-16</v>
      </c>
      <c r="R647" s="18">
        <f t="shared" si="113"/>
        <v>19.2</v>
      </c>
      <c r="S647" s="18">
        <f t="shared" si="114"/>
        <v>19.2</v>
      </c>
      <c r="T647" s="19">
        <f t="shared" si="115"/>
        <v>0</v>
      </c>
      <c r="U647" s="16">
        <f>IFERROR(SUMIF('LISTA DE EMBARQUE'!B:B,MICRO!E:E,'LISTA DE EMBARQUE'!G:G),"")</f>
        <v>16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19.2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4510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4578</v>
      </c>
      <c r="C648" s="1">
        <v>8</v>
      </c>
      <c r="D648" s="1" t="s">
        <v>4580</v>
      </c>
      <c r="E648" s="7" t="s">
        <v>4713</v>
      </c>
      <c r="F648" s="7" t="s">
        <v>4412</v>
      </c>
      <c r="G648" s="1">
        <v>1.8</v>
      </c>
      <c r="H648" s="34">
        <v>14.4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-8</v>
      </c>
      <c r="R648" s="18">
        <f t="shared" si="113"/>
        <v>14.4</v>
      </c>
      <c r="S648" s="18">
        <f t="shared" si="114"/>
        <v>14.4</v>
      </c>
      <c r="T648" s="19">
        <f t="shared" si="115"/>
        <v>0</v>
      </c>
      <c r="U648" s="16">
        <f>IFERROR(SUMIF('LISTA DE EMBARQUE'!B:B,MICRO!E:E,'LISTA DE EMBARQUE'!G:G),"")</f>
        <v>8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14.4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4510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4578</v>
      </c>
      <c r="C649" s="1">
        <v>7</v>
      </c>
      <c r="D649" s="1" t="s">
        <v>4581</v>
      </c>
      <c r="E649" s="7" t="s">
        <v>4714</v>
      </c>
      <c r="F649" s="7" t="s">
        <v>4412</v>
      </c>
      <c r="G649" s="1">
        <v>2.1</v>
      </c>
      <c r="H649" s="34">
        <v>14.700000000000001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-7</v>
      </c>
      <c r="R649" s="18">
        <f t="shared" si="113"/>
        <v>14.700000000000001</v>
      </c>
      <c r="S649" s="18">
        <f t="shared" si="114"/>
        <v>14.700000000000001</v>
      </c>
      <c r="T649" s="19">
        <f t="shared" si="115"/>
        <v>0</v>
      </c>
      <c r="U649" s="16">
        <f>IFERROR(SUMIF('LISTA DE EMBARQUE'!B:B,MICRO!E:E,'LISTA DE EMBARQUE'!G:G),"")</f>
        <v>7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14.700000000000001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4510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4578</v>
      </c>
      <c r="C650" s="1">
        <v>3</v>
      </c>
      <c r="D650" s="1" t="s">
        <v>4582</v>
      </c>
      <c r="E650" s="7" t="s">
        <v>4715</v>
      </c>
      <c r="F650" s="7" t="s">
        <v>4412</v>
      </c>
      <c r="G650" s="1">
        <v>0.05</v>
      </c>
      <c r="H650" s="34">
        <v>0.15000000000000002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0.15000000000000002</v>
      </c>
      <c r="S650" s="18">
        <f t="shared" si="114"/>
        <v>0.15000000000000002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0.15000000000000002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4510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4578</v>
      </c>
      <c r="C651" s="1">
        <v>3</v>
      </c>
      <c r="D651" s="1" t="s">
        <v>4583</v>
      </c>
      <c r="E651" s="7" t="s">
        <v>4716</v>
      </c>
      <c r="F651" s="7" t="s">
        <v>4412</v>
      </c>
      <c r="G651" s="1">
        <v>0.02</v>
      </c>
      <c r="H651" s="34">
        <v>0.06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-3</v>
      </c>
      <c r="R651" s="18">
        <f t="shared" si="113"/>
        <v>0.06</v>
      </c>
      <c r="S651" s="18">
        <f t="shared" si="114"/>
        <v>0.06</v>
      </c>
      <c r="T651" s="19">
        <f t="shared" si="115"/>
        <v>0</v>
      </c>
      <c r="U651" s="16">
        <f>IFERROR(SUMIF('LISTA DE EMBARQUE'!B:B,MICRO!E:E,'LISTA DE EMBARQUE'!G:G),"")</f>
        <v>3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0.06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4510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4578</v>
      </c>
      <c r="C652" s="1">
        <v>2</v>
      </c>
      <c r="D652" s="1" t="s">
        <v>4584</v>
      </c>
      <c r="E652" s="7" t="s">
        <v>4717</v>
      </c>
      <c r="F652" s="7" t="s">
        <v>4412</v>
      </c>
      <c r="G652" s="1">
        <v>0.8</v>
      </c>
      <c r="H652" s="34">
        <v>1.6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-2</v>
      </c>
      <c r="R652" s="18">
        <f t="shared" si="113"/>
        <v>1.6</v>
      </c>
      <c r="S652" s="18">
        <f t="shared" si="114"/>
        <v>1.6</v>
      </c>
      <c r="T652" s="19">
        <f t="shared" si="115"/>
        <v>0</v>
      </c>
      <c r="U652" s="16">
        <f>IFERROR(SUMIF('LISTA DE EMBARQUE'!B:B,MICRO!E:E,'LISTA DE EMBARQUE'!G:G),"")</f>
        <v>2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1.6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4510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4578</v>
      </c>
      <c r="C653" s="1">
        <v>6</v>
      </c>
      <c r="D653" s="1" t="s">
        <v>4585</v>
      </c>
      <c r="E653" s="7" t="s">
        <v>4718</v>
      </c>
      <c r="F653" s="7" t="s">
        <v>4412</v>
      </c>
      <c r="G653" s="1">
        <v>0.04</v>
      </c>
      <c r="H653" s="34">
        <v>0.24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-6</v>
      </c>
      <c r="R653" s="18">
        <f t="shared" si="113"/>
        <v>0.24</v>
      </c>
      <c r="S653" s="18">
        <f t="shared" si="114"/>
        <v>0.24</v>
      </c>
      <c r="T653" s="19">
        <f t="shared" si="115"/>
        <v>0</v>
      </c>
      <c r="U653" s="16">
        <f>IFERROR(SUMIF('LISTA DE EMBARQUE'!B:B,MICRO!E:E,'LISTA DE EMBARQUE'!G:G),"")</f>
        <v>6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0.24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4510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4578</v>
      </c>
      <c r="C654" s="1">
        <v>2</v>
      </c>
      <c r="D654" s="1" t="s">
        <v>4586</v>
      </c>
      <c r="E654" s="7" t="s">
        <v>4719</v>
      </c>
      <c r="F654" s="7" t="s">
        <v>4412</v>
      </c>
      <c r="G654" s="1">
        <v>0.05</v>
      </c>
      <c r="H654" s="34">
        <v>0.1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-2</v>
      </c>
      <c r="R654" s="18">
        <f t="shared" si="113"/>
        <v>0.1</v>
      </c>
      <c r="S654" s="18">
        <f t="shared" si="114"/>
        <v>0.1</v>
      </c>
      <c r="T654" s="19">
        <f t="shared" si="115"/>
        <v>0</v>
      </c>
      <c r="U654" s="16">
        <f>IFERROR(SUMIF('LISTA DE EMBARQUE'!B:B,MICRO!E:E,'LISTA DE EMBARQUE'!G:G),"")</f>
        <v>2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4510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4578</v>
      </c>
      <c r="C655" s="1">
        <v>6</v>
      </c>
      <c r="D655" s="1" t="s">
        <v>4587</v>
      </c>
      <c r="E655" s="7" t="s">
        <v>4720</v>
      </c>
      <c r="F655" s="7" t="s">
        <v>4412</v>
      </c>
      <c r="G655" s="1">
        <v>0.03</v>
      </c>
      <c r="H655" s="34">
        <v>0.18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-6</v>
      </c>
      <c r="R655" s="18">
        <f t="shared" si="113"/>
        <v>0.18</v>
      </c>
      <c r="S655" s="18">
        <f t="shared" si="114"/>
        <v>0.18</v>
      </c>
      <c r="T655" s="19">
        <f t="shared" si="115"/>
        <v>0</v>
      </c>
      <c r="U655" s="16">
        <f>IFERROR(SUMIF('LISTA DE EMBARQUE'!B:B,MICRO!E:E,'LISTA DE EMBARQUE'!G:G),"")</f>
        <v>6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0.18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4510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4578</v>
      </c>
      <c r="C656" s="1">
        <v>2</v>
      </c>
      <c r="D656" s="1" t="s">
        <v>4588</v>
      </c>
      <c r="E656" s="7" t="s">
        <v>4721</v>
      </c>
      <c r="F656" s="7" t="s">
        <v>4412</v>
      </c>
      <c r="G656" s="1">
        <v>0.05</v>
      </c>
      <c r="H656" s="34">
        <v>0.1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</v>
      </c>
      <c r="S656" s="18">
        <f t="shared" si="114"/>
        <v>0.1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4510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4578</v>
      </c>
      <c r="C657" s="1">
        <v>2</v>
      </c>
      <c r="D657" s="1" t="s">
        <v>4589</v>
      </c>
      <c r="E657" s="7" t="s">
        <v>4722</v>
      </c>
      <c r="F657" s="7" t="s">
        <v>4412</v>
      </c>
      <c r="G657" s="1">
        <v>0.08</v>
      </c>
      <c r="H657" s="34">
        <v>0.16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-2</v>
      </c>
      <c r="R657" s="18">
        <f t="shared" si="113"/>
        <v>0.16</v>
      </c>
      <c r="S657" s="18">
        <f t="shared" si="114"/>
        <v>0.16</v>
      </c>
      <c r="T657" s="19">
        <f t="shared" si="115"/>
        <v>0</v>
      </c>
      <c r="U657" s="16">
        <f>IFERROR(SUMIF('LISTA DE EMBARQUE'!B:B,MICRO!E:E,'LISTA DE EMBARQUE'!G:G),"")</f>
        <v>2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0.16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4510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4578</v>
      </c>
      <c r="C658" s="1">
        <v>4</v>
      </c>
      <c r="D658" s="1" t="s">
        <v>4590</v>
      </c>
      <c r="E658" s="7" t="s">
        <v>4723</v>
      </c>
      <c r="F658" s="7" t="s">
        <v>4412</v>
      </c>
      <c r="G658" s="1">
        <v>0.03</v>
      </c>
      <c r="H658" s="34">
        <v>0.12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-4</v>
      </c>
      <c r="R658" s="18">
        <f t="shared" si="113"/>
        <v>0.12</v>
      </c>
      <c r="S658" s="18">
        <f t="shared" si="114"/>
        <v>0.12</v>
      </c>
      <c r="T658" s="19">
        <f t="shared" si="115"/>
        <v>0</v>
      </c>
      <c r="U658" s="16">
        <f>IFERROR(SUMIF('LISTA DE EMBARQUE'!B:B,MICRO!E:E,'LISTA DE EMBARQUE'!G:G),"")</f>
        <v>4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0.12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4510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4578</v>
      </c>
      <c r="C659" s="1">
        <v>2</v>
      </c>
      <c r="D659" s="1" t="s">
        <v>4591</v>
      </c>
      <c r="E659" s="7" t="s">
        <v>4724</v>
      </c>
      <c r="F659" s="7" t="s">
        <v>4412</v>
      </c>
      <c r="G659" s="1">
        <v>0.05</v>
      </c>
      <c r="H659" s="34">
        <v>0.1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-2</v>
      </c>
      <c r="R659" s="18">
        <f t="shared" si="113"/>
        <v>0.1</v>
      </c>
      <c r="S659" s="18">
        <f t="shared" si="114"/>
        <v>0.1</v>
      </c>
      <c r="T659" s="19">
        <f t="shared" si="115"/>
        <v>0</v>
      </c>
      <c r="U659" s="16">
        <f>IFERROR(SUMIF('LISTA DE EMBARQUE'!B:B,MICRO!E:E,'LISTA DE EMBARQUE'!G:G),"")</f>
        <v>2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0.1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4510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4578</v>
      </c>
      <c r="C660" s="1">
        <v>3</v>
      </c>
      <c r="D660" s="1" t="s">
        <v>4592</v>
      </c>
      <c r="E660" s="7" t="s">
        <v>4725</v>
      </c>
      <c r="F660" s="7" t="s">
        <v>4412</v>
      </c>
      <c r="G660" s="1">
        <v>0.08</v>
      </c>
      <c r="H660" s="34">
        <v>0.24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-3</v>
      </c>
      <c r="R660" s="18">
        <f t="shared" si="113"/>
        <v>0.24</v>
      </c>
      <c r="S660" s="18">
        <f t="shared" si="114"/>
        <v>0.24</v>
      </c>
      <c r="T660" s="19">
        <f t="shared" si="115"/>
        <v>0</v>
      </c>
      <c r="U660" s="16">
        <f>IFERROR(SUMIF('LISTA DE EMBARQUE'!B:B,MICRO!E:E,'LISTA DE EMBARQUE'!G:G),"")</f>
        <v>3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0.24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4510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4578</v>
      </c>
      <c r="C661" s="1">
        <v>5</v>
      </c>
      <c r="D661" s="1" t="s">
        <v>4593</v>
      </c>
      <c r="E661" s="7" t="s">
        <v>4726</v>
      </c>
      <c r="F661" s="7" t="s">
        <v>4412</v>
      </c>
      <c r="G661" s="1">
        <v>0.03</v>
      </c>
      <c r="H661" s="34">
        <v>0.15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-5</v>
      </c>
      <c r="R661" s="18">
        <f t="shared" si="113"/>
        <v>0.15</v>
      </c>
      <c r="S661" s="18">
        <f t="shared" si="114"/>
        <v>0.15</v>
      </c>
      <c r="T661" s="19">
        <f t="shared" si="115"/>
        <v>0</v>
      </c>
      <c r="U661" s="16">
        <f>IFERROR(SUMIF('LISTA DE EMBARQUE'!B:B,MICRO!E:E,'LISTA DE EMBARQUE'!G:G),"")</f>
        <v>5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0.15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4510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4578</v>
      </c>
      <c r="C662" s="1">
        <v>7</v>
      </c>
      <c r="D662" s="1" t="s">
        <v>4594</v>
      </c>
      <c r="E662" s="7" t="s">
        <v>4727</v>
      </c>
      <c r="F662" s="7" t="s">
        <v>4412</v>
      </c>
      <c r="G662" s="1">
        <v>0.02</v>
      </c>
      <c r="H662" s="34">
        <v>0.14000000000000001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-7</v>
      </c>
      <c r="R662" s="18">
        <f t="shared" si="113"/>
        <v>0.14000000000000001</v>
      </c>
      <c r="S662" s="18">
        <f t="shared" si="114"/>
        <v>0.14000000000000001</v>
      </c>
      <c r="T662" s="19">
        <f t="shared" si="115"/>
        <v>0</v>
      </c>
      <c r="U662" s="16">
        <f>IFERROR(SUMIF('LISTA DE EMBARQUE'!B:B,MICRO!E:E,'LISTA DE EMBARQUE'!G:G),"")</f>
        <v>7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0.14000000000000001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4510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4578</v>
      </c>
      <c r="C663" s="1">
        <v>32</v>
      </c>
      <c r="D663" s="1" t="s">
        <v>4595</v>
      </c>
      <c r="E663" s="7" t="s">
        <v>4728</v>
      </c>
      <c r="F663" s="7" t="s">
        <v>4412</v>
      </c>
      <c r="G663" s="1">
        <v>0.02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-32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32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4510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4578</v>
      </c>
      <c r="C664" s="1">
        <v>16</v>
      </c>
      <c r="D664" s="1" t="s">
        <v>4596</v>
      </c>
      <c r="E664" s="7" t="s">
        <v>4729</v>
      </c>
      <c r="F664" s="7" t="s">
        <v>4412</v>
      </c>
      <c r="G664" s="1">
        <v>0.04</v>
      </c>
      <c r="H664" s="34">
        <v>0.64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-16</v>
      </c>
      <c r="R664" s="18">
        <f t="shared" si="113"/>
        <v>0.64</v>
      </c>
      <c r="S664" s="18">
        <f t="shared" si="114"/>
        <v>0.64</v>
      </c>
      <c r="T664" s="19">
        <f t="shared" si="115"/>
        <v>0</v>
      </c>
      <c r="U664" s="16">
        <f>IFERROR(SUMIF('LISTA DE EMBARQUE'!B:B,MICRO!E:E,'LISTA DE EMBARQUE'!G:G),"")</f>
        <v>16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0.64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4510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4578</v>
      </c>
      <c r="C665" s="1">
        <v>14</v>
      </c>
      <c r="D665" s="1" t="s">
        <v>4597</v>
      </c>
      <c r="E665" s="7" t="s">
        <v>4730</v>
      </c>
      <c r="F665" s="7" t="s">
        <v>4412</v>
      </c>
      <c r="G665" s="1">
        <v>0.06</v>
      </c>
      <c r="H665" s="34">
        <v>0.84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-14</v>
      </c>
      <c r="R665" s="18">
        <f t="shared" si="113"/>
        <v>0.84</v>
      </c>
      <c r="S665" s="18">
        <f t="shared" si="114"/>
        <v>0.84</v>
      </c>
      <c r="T665" s="19">
        <f t="shared" si="115"/>
        <v>0</v>
      </c>
      <c r="U665" s="16">
        <f>IFERROR(SUMIF('LISTA DE EMBARQUE'!B:B,MICRO!E:E,'LISTA DE EMBARQUE'!G:G),"")</f>
        <v>14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0.84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4510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4578</v>
      </c>
      <c r="C666" s="1">
        <v>130</v>
      </c>
      <c r="D666" s="1" t="s">
        <v>4598</v>
      </c>
      <c r="E666" s="7" t="s">
        <v>4731</v>
      </c>
      <c r="F666" s="7" t="s">
        <v>4412</v>
      </c>
      <c r="G666" s="1">
        <v>0.35</v>
      </c>
      <c r="H666" s="34">
        <v>45.5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-130</v>
      </c>
      <c r="R666" s="18">
        <f t="shared" si="113"/>
        <v>45.5</v>
      </c>
      <c r="S666" s="18">
        <f t="shared" si="114"/>
        <v>45.5</v>
      </c>
      <c r="T666" s="19">
        <f t="shared" si="115"/>
        <v>0</v>
      </c>
      <c r="U666" s="16">
        <f>IFERROR(SUMIF('LISTA DE EMBARQUE'!B:B,MICRO!E:E,'LISTA DE EMBARQUE'!G:G),"")</f>
        <v>130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45.5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4510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4578</v>
      </c>
      <c r="C667" s="1">
        <v>250</v>
      </c>
      <c r="D667" s="1" t="s">
        <v>4599</v>
      </c>
      <c r="E667" s="7" t="s">
        <v>4732</v>
      </c>
      <c r="F667" s="7" t="s">
        <v>4412</v>
      </c>
      <c r="G667" s="1"/>
      <c r="H667" s="34">
        <v>0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-250</v>
      </c>
      <c r="R667" s="18">
        <f t="shared" si="113"/>
        <v>0</v>
      </c>
      <c r="S667" s="18">
        <f t="shared" si="114"/>
        <v>0</v>
      </c>
      <c r="T667" s="19">
        <f t="shared" si="115"/>
        <v>0</v>
      </c>
      <c r="U667" s="16">
        <f>IFERROR(SUMIF('LISTA DE EMBARQUE'!B:B,MICRO!E:E,'LISTA DE EMBARQUE'!G:G),"")</f>
        <v>250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0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4510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4578</v>
      </c>
      <c r="C668" s="1">
        <v>5</v>
      </c>
      <c r="D668" s="1" t="s">
        <v>4600</v>
      </c>
      <c r="E668" s="7" t="s">
        <v>4733</v>
      </c>
      <c r="F668" s="7" t="s">
        <v>4412</v>
      </c>
      <c r="G668" s="1">
        <v>0.3</v>
      </c>
      <c r="H668" s="34">
        <v>1.5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-5</v>
      </c>
      <c r="R668" s="18">
        <f t="shared" si="113"/>
        <v>1.5</v>
      </c>
      <c r="S668" s="18">
        <f t="shared" si="114"/>
        <v>1.5</v>
      </c>
      <c r="T668" s="19">
        <f t="shared" si="115"/>
        <v>0</v>
      </c>
      <c r="U668" s="16">
        <f>IFERROR(SUMIF('LISTA DE EMBARQUE'!B:B,MICRO!E:E,'LISTA DE EMBARQUE'!G:G),"")</f>
        <v>5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1.5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4510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4578</v>
      </c>
      <c r="C669" s="1">
        <v>6</v>
      </c>
      <c r="D669" s="1" t="s">
        <v>4601</v>
      </c>
      <c r="E669" s="7" t="s">
        <v>4734</v>
      </c>
      <c r="F669" s="7" t="s">
        <v>4412</v>
      </c>
      <c r="G669" s="1">
        <v>0.02</v>
      </c>
      <c r="H669" s="34">
        <v>0.12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0.12</v>
      </c>
      <c r="S669" s="18">
        <f t="shared" si="114"/>
        <v>0.12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0.12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4510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4578</v>
      </c>
      <c r="C670" s="1">
        <v>6</v>
      </c>
      <c r="D670" s="1" t="s">
        <v>4602</v>
      </c>
      <c r="E670" s="7" t="s">
        <v>4735</v>
      </c>
      <c r="F670" s="7" t="s">
        <v>4412</v>
      </c>
      <c r="G670" s="1">
        <v>0.03</v>
      </c>
      <c r="H670" s="34">
        <v>0.18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-6</v>
      </c>
      <c r="R670" s="18">
        <f t="shared" si="113"/>
        <v>0.18</v>
      </c>
      <c r="S670" s="18">
        <f t="shared" si="114"/>
        <v>0.18</v>
      </c>
      <c r="T670" s="19">
        <f t="shared" si="115"/>
        <v>0</v>
      </c>
      <c r="U670" s="16">
        <f>IFERROR(SUMIF('LISTA DE EMBARQUE'!B:B,MICRO!E:E,'LISTA DE EMBARQUE'!G:G),"")</f>
        <v>6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0.18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4510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4578</v>
      </c>
      <c r="C671" s="1">
        <v>4</v>
      </c>
      <c r="D671" s="1" t="s">
        <v>4603</v>
      </c>
      <c r="E671" s="7" t="s">
        <v>4736</v>
      </c>
      <c r="F671" s="7" t="s">
        <v>4412</v>
      </c>
      <c r="G671" s="1">
        <v>0.01</v>
      </c>
      <c r="H671" s="34">
        <v>0.04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-4</v>
      </c>
      <c r="R671" s="18">
        <f t="shared" si="113"/>
        <v>0.04</v>
      </c>
      <c r="S671" s="18">
        <f t="shared" si="114"/>
        <v>0.04</v>
      </c>
      <c r="T671" s="19">
        <f t="shared" si="115"/>
        <v>0</v>
      </c>
      <c r="U671" s="16">
        <f>IFERROR(SUMIF('LISTA DE EMBARQUE'!B:B,MICRO!E:E,'LISTA DE EMBARQUE'!G:G),"")</f>
        <v>4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0.04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4510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4578</v>
      </c>
      <c r="C672" s="1">
        <v>3</v>
      </c>
      <c r="D672" s="1" t="s">
        <v>4604</v>
      </c>
      <c r="E672" s="7" t="s">
        <v>4737</v>
      </c>
      <c r="F672" s="7" t="s">
        <v>4412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4510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4578</v>
      </c>
      <c r="C673" s="1">
        <v>3</v>
      </c>
      <c r="D673" s="1" t="s">
        <v>4605</v>
      </c>
      <c r="E673" s="7" t="s">
        <v>4738</v>
      </c>
      <c r="F673" s="7" t="s">
        <v>4412</v>
      </c>
      <c r="G673" s="1">
        <v>0.05</v>
      </c>
      <c r="H673" s="34">
        <v>0.15000000000000002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-3</v>
      </c>
      <c r="R673" s="18">
        <f t="shared" si="113"/>
        <v>0.15000000000000002</v>
      </c>
      <c r="S673" s="18">
        <f t="shared" si="114"/>
        <v>0.15000000000000002</v>
      </c>
      <c r="T673" s="19">
        <f t="shared" si="115"/>
        <v>0</v>
      </c>
      <c r="U673" s="16">
        <f>IFERROR(SUMIF('LISTA DE EMBARQUE'!B:B,MICRO!E:E,'LISTA DE EMBARQUE'!G:G),"")</f>
        <v>3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0.15000000000000002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4510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4578</v>
      </c>
      <c r="C674" s="1">
        <v>5</v>
      </c>
      <c r="D674" s="1" t="s">
        <v>4606</v>
      </c>
      <c r="E674" s="7" t="s">
        <v>4739</v>
      </c>
      <c r="F674" s="7" t="s">
        <v>4412</v>
      </c>
      <c r="G674" s="1">
        <v>0.02</v>
      </c>
      <c r="H674" s="34">
        <v>0.1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-5</v>
      </c>
      <c r="R674" s="18">
        <f t="shared" si="113"/>
        <v>0.1</v>
      </c>
      <c r="S674" s="18">
        <f t="shared" si="114"/>
        <v>0.1</v>
      </c>
      <c r="T674" s="19">
        <f t="shared" si="115"/>
        <v>0</v>
      </c>
      <c r="U674" s="16">
        <f>IFERROR(SUMIF('LISTA DE EMBARQUE'!B:B,MICRO!E:E,'LISTA DE EMBARQUE'!G:G),"")</f>
        <v>5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0.1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4510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4578</v>
      </c>
      <c r="C675" s="1">
        <v>2</v>
      </c>
      <c r="D675" s="1" t="s">
        <v>4607</v>
      </c>
      <c r="E675" s="7" t="s">
        <v>4740</v>
      </c>
      <c r="F675" s="7" t="s">
        <v>4412</v>
      </c>
      <c r="G675" s="1">
        <v>0.04</v>
      </c>
      <c r="H675" s="34">
        <v>0.08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-2</v>
      </c>
      <c r="R675" s="18">
        <f t="shared" si="113"/>
        <v>0.08</v>
      </c>
      <c r="S675" s="18">
        <f t="shared" si="114"/>
        <v>0.08</v>
      </c>
      <c r="T675" s="19">
        <f t="shared" si="115"/>
        <v>0</v>
      </c>
      <c r="U675" s="16">
        <f>IFERROR(SUMIF('LISTA DE EMBARQUE'!B:B,MICRO!E:E,'LISTA DE EMBARQUE'!G:G),"")</f>
        <v>2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0.08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4510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4578</v>
      </c>
      <c r="C676" s="1">
        <v>1</v>
      </c>
      <c r="D676" s="1" t="s">
        <v>4608</v>
      </c>
      <c r="E676" s="7" t="s">
        <v>4741</v>
      </c>
      <c r="F676" s="7" t="s">
        <v>4412</v>
      </c>
      <c r="G676" s="1">
        <v>1.2</v>
      </c>
      <c r="H676" s="34">
        <v>1.2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</v>
      </c>
      <c r="R676" s="18">
        <f t="shared" si="113"/>
        <v>1.2</v>
      </c>
      <c r="S676" s="18">
        <f t="shared" si="114"/>
        <v>1.2</v>
      </c>
      <c r="T676" s="19">
        <f t="shared" si="115"/>
        <v>0</v>
      </c>
      <c r="U676" s="16">
        <f>IFERROR(SUMIF('LISTA DE EMBARQUE'!B:B,MICRO!E:E,'LISTA DE EMBARQUE'!G:G),"")</f>
        <v>1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1.2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4510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4556</v>
      </c>
      <c r="C677" s="1">
        <v>130</v>
      </c>
      <c r="D677" s="1" t="s">
        <v>4609</v>
      </c>
      <c r="E677" s="7" t="s">
        <v>4742</v>
      </c>
      <c r="F677" s="7" t="s">
        <v>4412</v>
      </c>
      <c r="G677" s="1">
        <v>1.8</v>
      </c>
      <c r="H677" s="34">
        <v>234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-130</v>
      </c>
      <c r="R677" s="18">
        <f t="shared" si="113"/>
        <v>234</v>
      </c>
      <c r="S677" s="18">
        <f t="shared" si="114"/>
        <v>234</v>
      </c>
      <c r="T677" s="19">
        <f t="shared" si="115"/>
        <v>0</v>
      </c>
      <c r="U677" s="16">
        <f>IFERROR(SUMIF('LISTA DE EMBARQUE'!B:B,MICRO!E:E,'LISTA DE EMBARQUE'!G:G),"")</f>
        <v>130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234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4510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4556</v>
      </c>
      <c r="C678" s="1">
        <v>250</v>
      </c>
      <c r="D678" s="1" t="s">
        <v>4610</v>
      </c>
      <c r="E678" s="7" t="s">
        <v>4743</v>
      </c>
      <c r="F678" s="7" t="s">
        <v>4412</v>
      </c>
      <c r="G678" s="1">
        <v>1.8</v>
      </c>
      <c r="H678" s="34">
        <v>450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-250</v>
      </c>
      <c r="R678" s="18">
        <f t="shared" si="113"/>
        <v>450</v>
      </c>
      <c r="S678" s="18">
        <f t="shared" si="114"/>
        <v>450</v>
      </c>
      <c r="T678" s="19">
        <f t="shared" si="115"/>
        <v>0</v>
      </c>
      <c r="U678" s="16">
        <f>IFERROR(SUMIF('LISTA DE EMBARQUE'!B:B,MICRO!E:E,'LISTA DE EMBARQUE'!G:G),"")</f>
        <v>250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450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4510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4556</v>
      </c>
      <c r="C679" s="1">
        <v>5</v>
      </c>
      <c r="D679" s="1" t="s">
        <v>4611</v>
      </c>
      <c r="E679" s="7" t="s">
        <v>4744</v>
      </c>
      <c r="F679" s="7" t="s">
        <v>4412</v>
      </c>
      <c r="G679" s="1">
        <v>0.3</v>
      </c>
      <c r="H679" s="34">
        <v>1.5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-5</v>
      </c>
      <c r="R679" s="18">
        <f t="shared" si="113"/>
        <v>1.5</v>
      </c>
      <c r="S679" s="18">
        <f t="shared" si="114"/>
        <v>1.5</v>
      </c>
      <c r="T679" s="19">
        <f t="shared" si="115"/>
        <v>0</v>
      </c>
      <c r="U679" s="16">
        <f>IFERROR(SUMIF('LISTA DE EMBARQUE'!B:B,MICRO!E:E,'LISTA DE EMBARQUE'!G:G),"")</f>
        <v>5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1.5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4510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4556</v>
      </c>
      <c r="C680" s="1">
        <v>6</v>
      </c>
      <c r="D680" s="1" t="s">
        <v>4612</v>
      </c>
      <c r="E680" s="7" t="s">
        <v>4745</v>
      </c>
      <c r="F680" s="7" t="s">
        <v>4412</v>
      </c>
      <c r="G680" s="1">
        <v>0.02</v>
      </c>
      <c r="H680" s="34">
        <v>0.12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0.12</v>
      </c>
      <c r="S680" s="18">
        <f t="shared" si="114"/>
        <v>0.12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0.12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4510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4556</v>
      </c>
      <c r="C681" s="1">
        <v>6</v>
      </c>
      <c r="D681" s="1" t="s">
        <v>4613</v>
      </c>
      <c r="E681" s="7" t="s">
        <v>4746</v>
      </c>
      <c r="F681" s="7" t="s">
        <v>4412</v>
      </c>
      <c r="G681" s="1">
        <v>0.03</v>
      </c>
      <c r="H681" s="34">
        <v>0.18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-6</v>
      </c>
      <c r="R681" s="18">
        <f t="shared" si="113"/>
        <v>0.18</v>
      </c>
      <c r="S681" s="18">
        <f t="shared" si="114"/>
        <v>0.18</v>
      </c>
      <c r="T681" s="19">
        <f t="shared" si="115"/>
        <v>0</v>
      </c>
      <c r="U681" s="16">
        <f>IFERROR(SUMIF('LISTA DE EMBARQUE'!B:B,MICRO!E:E,'LISTA DE EMBARQUE'!G:G),"")</f>
        <v>6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0.18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4510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4556</v>
      </c>
      <c r="C682" s="1">
        <v>4</v>
      </c>
      <c r="D682" s="1" t="s">
        <v>4614</v>
      </c>
      <c r="E682" s="7" t="s">
        <v>4747</v>
      </c>
      <c r="F682" s="7" t="s">
        <v>4412</v>
      </c>
      <c r="G682" s="1">
        <v>0.01</v>
      </c>
      <c r="H682" s="34">
        <v>0.04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-4</v>
      </c>
      <c r="R682" s="18">
        <f t="shared" si="113"/>
        <v>0.04</v>
      </c>
      <c r="S682" s="18">
        <f t="shared" si="114"/>
        <v>0.04</v>
      </c>
      <c r="T682" s="19">
        <f t="shared" si="115"/>
        <v>0</v>
      </c>
      <c r="U682" s="16">
        <f>IFERROR(SUMIF('LISTA DE EMBARQUE'!B:B,MICRO!E:E,'LISTA DE EMBARQUE'!G:G),"")</f>
        <v>4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0.04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4510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4556</v>
      </c>
      <c r="C683" s="1">
        <v>3</v>
      </c>
      <c r="D683" s="1" t="s">
        <v>4615</v>
      </c>
      <c r="E683" s="7" t="s">
        <v>4748</v>
      </c>
      <c r="F683" s="7" t="s">
        <v>4412</v>
      </c>
      <c r="G683" s="1">
        <v>2</v>
      </c>
      <c r="H683" s="34">
        <v>6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6</v>
      </c>
      <c r="S683" s="18">
        <f t="shared" si="114"/>
        <v>6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6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4510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4556</v>
      </c>
      <c r="C684" s="1">
        <v>3</v>
      </c>
      <c r="D684" s="1" t="s">
        <v>4616</v>
      </c>
      <c r="E684" s="7" t="s">
        <v>4749</v>
      </c>
      <c r="F684" s="7" t="s">
        <v>4412</v>
      </c>
      <c r="G684" s="1">
        <v>1.5</v>
      </c>
      <c r="H684" s="34">
        <v>4.5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-3</v>
      </c>
      <c r="R684" s="18">
        <f t="shared" si="113"/>
        <v>4.5</v>
      </c>
      <c r="S684" s="18">
        <f t="shared" si="114"/>
        <v>4.5</v>
      </c>
      <c r="T684" s="19">
        <f t="shared" si="115"/>
        <v>0</v>
      </c>
      <c r="U684" s="16">
        <f>IFERROR(SUMIF('LISTA DE EMBARQUE'!B:B,MICRO!E:E,'LISTA DE EMBARQUE'!G:G),"")</f>
        <v>3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4.5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4510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4556</v>
      </c>
      <c r="C685" s="1">
        <v>5</v>
      </c>
      <c r="D685" s="1" t="s">
        <v>4617</v>
      </c>
      <c r="E685" s="7" t="s">
        <v>4750</v>
      </c>
      <c r="F685" s="7" t="s">
        <v>4412</v>
      </c>
      <c r="G685" s="1">
        <v>0.02</v>
      </c>
      <c r="H685" s="34">
        <v>0.1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-5</v>
      </c>
      <c r="R685" s="18">
        <f t="shared" si="113"/>
        <v>0.1</v>
      </c>
      <c r="S685" s="18">
        <f t="shared" si="114"/>
        <v>0.1</v>
      </c>
      <c r="T685" s="19">
        <f t="shared" si="115"/>
        <v>0</v>
      </c>
      <c r="U685" s="16">
        <f>IFERROR(SUMIF('LISTA DE EMBARQUE'!B:B,MICRO!E:E,'LISTA DE EMBARQUE'!G:G),"")</f>
        <v>5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0.1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4510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4556</v>
      </c>
      <c r="C686" s="1">
        <v>2</v>
      </c>
      <c r="D686" s="1" t="s">
        <v>4618</v>
      </c>
      <c r="E686" s="7" t="s">
        <v>4751</v>
      </c>
      <c r="F686" s="7" t="s">
        <v>4412</v>
      </c>
      <c r="G686" s="1">
        <v>0.04</v>
      </c>
      <c r="H686" s="34">
        <v>0.08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-2</v>
      </c>
      <c r="R686" s="18">
        <f t="shared" si="113"/>
        <v>0.08</v>
      </c>
      <c r="S686" s="18">
        <f t="shared" si="114"/>
        <v>0.08</v>
      </c>
      <c r="T686" s="19">
        <f t="shared" si="115"/>
        <v>0</v>
      </c>
      <c r="U686" s="16">
        <f>IFERROR(SUMIF('LISTA DE EMBARQUE'!B:B,MICRO!E:E,'LISTA DE EMBARQUE'!G:G),"")</f>
        <v>2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0.08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4510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4556</v>
      </c>
      <c r="C687" s="1">
        <v>1</v>
      </c>
      <c r="D687" s="1" t="s">
        <v>4619</v>
      </c>
      <c r="E687" s="7" t="s">
        <v>4752</v>
      </c>
      <c r="F687" s="7" t="s">
        <v>4412</v>
      </c>
      <c r="G687" s="1">
        <v>1.2</v>
      </c>
      <c r="H687" s="34">
        <v>1.2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1.2</v>
      </c>
      <c r="S687" s="18">
        <f t="shared" si="114"/>
        <v>1.2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1.2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4510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4578</v>
      </c>
      <c r="C688" s="1">
        <v>1</v>
      </c>
      <c r="D688" s="1" t="s">
        <v>4620</v>
      </c>
      <c r="E688" s="7" t="s">
        <v>4753</v>
      </c>
      <c r="F688" s="7" t="s">
        <v>4412</v>
      </c>
      <c r="G688" s="1">
        <v>1.8</v>
      </c>
      <c r="H688" s="34">
        <v>1.8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-1</v>
      </c>
      <c r="R688" s="18">
        <f t="shared" si="113"/>
        <v>1.8</v>
      </c>
      <c r="S688" s="18">
        <f t="shared" si="114"/>
        <v>1.8</v>
      </c>
      <c r="T688" s="19">
        <f t="shared" si="115"/>
        <v>0</v>
      </c>
      <c r="U688" s="16">
        <f>IFERROR(SUMIF('LISTA DE EMBARQUE'!B:B,MICRO!E:E,'LISTA DE EMBARQUE'!G:G),"")</f>
        <v>1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1.8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4510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4578</v>
      </c>
      <c r="C689" s="1">
        <v>2</v>
      </c>
      <c r="D689" s="1" t="s">
        <v>4621</v>
      </c>
      <c r="E689" s="7" t="s">
        <v>4754</v>
      </c>
      <c r="F689" s="7" t="s">
        <v>4412</v>
      </c>
      <c r="G689" s="1">
        <v>1.8</v>
      </c>
      <c r="H689" s="34">
        <v>3.6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-2</v>
      </c>
      <c r="R689" s="18">
        <f t="shared" si="113"/>
        <v>3.6</v>
      </c>
      <c r="S689" s="18">
        <f t="shared" si="114"/>
        <v>3.6</v>
      </c>
      <c r="T689" s="19">
        <f t="shared" si="115"/>
        <v>0</v>
      </c>
      <c r="U689" s="16">
        <f>IFERROR(SUMIF('LISTA DE EMBARQUE'!B:B,MICRO!E:E,'LISTA DE EMBARQUE'!G:G),"")</f>
        <v>2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3.6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4510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4578</v>
      </c>
      <c r="C690" s="1">
        <v>4</v>
      </c>
      <c r="D690" s="1" t="s">
        <v>4622</v>
      </c>
      <c r="E690" s="7" t="s">
        <v>4755</v>
      </c>
      <c r="F690" s="7" t="s">
        <v>4412</v>
      </c>
      <c r="G690" s="1">
        <v>2</v>
      </c>
      <c r="H690" s="34">
        <v>8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-4</v>
      </c>
      <c r="R690" s="18">
        <f t="shared" si="113"/>
        <v>8</v>
      </c>
      <c r="S690" s="18">
        <f t="shared" si="114"/>
        <v>8</v>
      </c>
      <c r="T690" s="19">
        <f t="shared" si="115"/>
        <v>0</v>
      </c>
      <c r="U690" s="16">
        <f>IFERROR(SUMIF('LISTA DE EMBARQUE'!B:B,MICRO!E:E,'LISTA DE EMBARQUE'!G:G),"")</f>
        <v>4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8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4510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4578</v>
      </c>
      <c r="C691" s="1">
        <v>1</v>
      </c>
      <c r="D691" s="1" t="s">
        <v>4623</v>
      </c>
      <c r="E691" s="7" t="s">
        <v>4756</v>
      </c>
      <c r="F691" s="7" t="s">
        <v>4412</v>
      </c>
      <c r="G691" s="1">
        <v>1.5</v>
      </c>
      <c r="H691" s="34">
        <v>1.5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si="113"/>
        <v>1.5</v>
      </c>
      <c r="S691" s="18">
        <f t="shared" si="114"/>
        <v>1.5</v>
      </c>
      <c r="T691" s="19">
        <f t="shared" si="115"/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1.5</v>
      </c>
      <c r="Y691" s="14">
        <f t="shared" si="116"/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4510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4578</v>
      </c>
      <c r="C692" s="1">
        <v>1</v>
      </c>
      <c r="D692" s="1" t="s">
        <v>4624</v>
      </c>
      <c r="E692" s="7" t="s">
        <v>4757</v>
      </c>
      <c r="F692" s="7" t="s">
        <v>4412</v>
      </c>
      <c r="G692" s="1">
        <v>2</v>
      </c>
      <c r="H692" s="34">
        <v>2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-1</v>
      </c>
      <c r="R692" s="18">
        <f t="shared" ref="R692:R755" si="117">IFERROR(H692*((AA692*0.25)+(AC692*0.25)+(AD692*0.225)+(AE692*0.225)+(AF692*0.05)),"")</f>
        <v>2</v>
      </c>
      <c r="S692" s="18">
        <f t="shared" ref="S692:S755" si="118">IFERROR(H692*AG692,"")</f>
        <v>2</v>
      </c>
      <c r="T692" s="19">
        <f t="shared" ref="T692:T755" si="119">IFERROR(S692-H692,"")</f>
        <v>0</v>
      </c>
      <c r="U692" s="16">
        <f>IFERROR(SUMIF('LISTA DE EMBARQUE'!B:B,MICRO!E:E,'LISTA DE EMBARQUE'!G:G),"")</f>
        <v>1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2</v>
      </c>
      <c r="Y692" s="14">
        <f t="shared" ref="Y692:Y755" si="120">U692-C692</f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4510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4578</v>
      </c>
      <c r="C693" s="1">
        <v>2</v>
      </c>
      <c r="D693" s="1" t="s">
        <v>4625</v>
      </c>
      <c r="E693" s="7" t="s">
        <v>4758</v>
      </c>
      <c r="F693" s="7" t="s">
        <v>4412</v>
      </c>
      <c r="G693" s="1">
        <v>1.8</v>
      </c>
      <c r="H693" s="34">
        <v>3.6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-2</v>
      </c>
      <c r="R693" s="18">
        <f t="shared" si="117"/>
        <v>3.6</v>
      </c>
      <c r="S693" s="18">
        <f t="shared" si="118"/>
        <v>3.6</v>
      </c>
      <c r="T693" s="19">
        <f t="shared" si="119"/>
        <v>0</v>
      </c>
      <c r="U693" s="16">
        <f>IFERROR(SUMIF('LISTA DE EMBARQUE'!B:B,MICRO!E:E,'LISTA DE EMBARQUE'!G:G),"")</f>
        <v>2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3.6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4510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4578</v>
      </c>
      <c r="C694" s="1">
        <v>4</v>
      </c>
      <c r="D694" s="1" t="s">
        <v>4626</v>
      </c>
      <c r="E694" s="7" t="s">
        <v>4759</v>
      </c>
      <c r="F694" s="7" t="s">
        <v>4412</v>
      </c>
      <c r="G694" s="1">
        <v>2</v>
      </c>
      <c r="H694" s="34">
        <v>8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-4</v>
      </c>
      <c r="R694" s="18">
        <f t="shared" si="117"/>
        <v>8</v>
      </c>
      <c r="S694" s="18">
        <f t="shared" si="118"/>
        <v>8</v>
      </c>
      <c r="T694" s="19">
        <f t="shared" si="119"/>
        <v>0</v>
      </c>
      <c r="U694" s="16">
        <f>IFERROR(SUMIF('LISTA DE EMBARQUE'!B:B,MICRO!E:E,'LISTA DE EMBARQUE'!G:G),"")</f>
        <v>4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8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4510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4578</v>
      </c>
      <c r="C695" s="1">
        <v>1</v>
      </c>
      <c r="D695" s="1" t="s">
        <v>4627</v>
      </c>
      <c r="E695" s="7" t="s">
        <v>4760</v>
      </c>
      <c r="F695" s="7" t="s">
        <v>4412</v>
      </c>
      <c r="G695" s="1">
        <v>1.5</v>
      </c>
      <c r="H695" s="34">
        <v>1.5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-1</v>
      </c>
      <c r="R695" s="18">
        <f t="shared" si="117"/>
        <v>1.5</v>
      </c>
      <c r="S695" s="18">
        <f t="shared" si="118"/>
        <v>1.5</v>
      </c>
      <c r="T695" s="19">
        <f t="shared" si="119"/>
        <v>0</v>
      </c>
      <c r="U695" s="16">
        <f>IFERROR(SUMIF('LISTA DE EMBARQUE'!B:B,MICRO!E:E,'LISTA DE EMBARQUE'!G:G),"")</f>
        <v>1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1.5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4510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4578</v>
      </c>
      <c r="C696" s="1">
        <v>2</v>
      </c>
      <c r="D696" s="1" t="s">
        <v>4628</v>
      </c>
      <c r="E696" s="7" t="s">
        <v>4761</v>
      </c>
      <c r="F696" s="7" t="s">
        <v>4412</v>
      </c>
      <c r="G696" s="1">
        <v>1.8</v>
      </c>
      <c r="H696" s="34">
        <v>3.6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-2</v>
      </c>
      <c r="R696" s="18">
        <f t="shared" si="117"/>
        <v>3.6</v>
      </c>
      <c r="S696" s="18">
        <f t="shared" si="118"/>
        <v>3.6</v>
      </c>
      <c r="T696" s="19">
        <f t="shared" si="119"/>
        <v>0</v>
      </c>
      <c r="U696" s="16">
        <f>IFERROR(SUMIF('LISTA DE EMBARQUE'!B:B,MICRO!E:E,'LISTA DE EMBARQUE'!G:G),"")</f>
        <v>2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3.6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4510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4578</v>
      </c>
      <c r="C697" s="1">
        <v>1</v>
      </c>
      <c r="D697" s="1" t="s">
        <v>4629</v>
      </c>
      <c r="E697" s="7" t="s">
        <v>4762</v>
      </c>
      <c r="F697" s="7" t="s">
        <v>4412</v>
      </c>
      <c r="G697" s="1">
        <v>0.01</v>
      </c>
      <c r="H697" s="34">
        <v>0.01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-1</v>
      </c>
      <c r="R697" s="18">
        <f t="shared" si="117"/>
        <v>0.01</v>
      </c>
      <c r="S697" s="18">
        <f t="shared" si="118"/>
        <v>0.01</v>
      </c>
      <c r="T697" s="19">
        <f t="shared" si="119"/>
        <v>0</v>
      </c>
      <c r="U697" s="16">
        <f>IFERROR(SUMIF('LISTA DE EMBARQUE'!B:B,MICRO!E:E,'LISTA DE EMBARQUE'!G:G),"")</f>
        <v>1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0.01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4510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4578</v>
      </c>
      <c r="C698" s="1">
        <v>2</v>
      </c>
      <c r="D698" s="1" t="s">
        <v>4628</v>
      </c>
      <c r="E698" s="7" t="s">
        <v>4763</v>
      </c>
      <c r="F698" s="7" t="s">
        <v>4412</v>
      </c>
      <c r="G698" s="1">
        <v>1.8</v>
      </c>
      <c r="H698" s="34">
        <v>3.6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-2</v>
      </c>
      <c r="R698" s="18">
        <f t="shared" si="117"/>
        <v>3.6</v>
      </c>
      <c r="S698" s="18">
        <f t="shared" si="118"/>
        <v>3.6</v>
      </c>
      <c r="T698" s="19">
        <f t="shared" si="119"/>
        <v>0</v>
      </c>
      <c r="U698" s="16">
        <f>IFERROR(SUMIF('LISTA DE EMBARQUE'!B:B,MICRO!E:E,'LISTA DE EMBARQUE'!G:G),"")</f>
        <v>2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3.6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4510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4578</v>
      </c>
      <c r="C699" s="1">
        <v>1</v>
      </c>
      <c r="D699" s="1" t="s">
        <v>4629</v>
      </c>
      <c r="E699" s="7" t="s">
        <v>4764</v>
      </c>
      <c r="F699" s="7" t="s">
        <v>4412</v>
      </c>
      <c r="G699" s="1">
        <v>0.01</v>
      </c>
      <c r="H699" s="34">
        <v>0.01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-1</v>
      </c>
      <c r="R699" s="18">
        <f t="shared" si="117"/>
        <v>0.01</v>
      </c>
      <c r="S699" s="18">
        <f t="shared" si="118"/>
        <v>0.01</v>
      </c>
      <c r="T699" s="19">
        <f t="shared" si="119"/>
        <v>0</v>
      </c>
      <c r="U699" s="16">
        <f>IFERROR(SUMIF('LISTA DE EMBARQUE'!B:B,MICRO!E:E,'LISTA DE EMBARQUE'!G:G),"")</f>
        <v>1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0.01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4510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3773</v>
      </c>
      <c r="C700" s="1">
        <v>32</v>
      </c>
      <c r="D700" s="1" t="s">
        <v>4630</v>
      </c>
      <c r="E700" s="7" t="s">
        <v>4765</v>
      </c>
      <c r="F700" s="7" t="s">
        <v>4412</v>
      </c>
      <c r="G700" s="1">
        <v>0.02</v>
      </c>
      <c r="H700" s="34">
        <v>0.64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-32</v>
      </c>
      <c r="R700" s="18">
        <f t="shared" si="117"/>
        <v>0.64</v>
      </c>
      <c r="S700" s="18">
        <f t="shared" si="118"/>
        <v>0.64</v>
      </c>
      <c r="T700" s="19">
        <f t="shared" si="119"/>
        <v>0</v>
      </c>
      <c r="U700" s="16">
        <f>IFERROR(SUMIF('LISTA DE EMBARQUE'!B:B,MICRO!E:E,'LISTA DE EMBARQUE'!G:G),"")</f>
        <v>32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0.64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4510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4166</v>
      </c>
      <c r="C701" s="1">
        <v>216</v>
      </c>
      <c r="D701" s="1" t="s">
        <v>4631</v>
      </c>
      <c r="E701" s="7" t="s">
        <v>4766</v>
      </c>
      <c r="F701" s="7" t="s">
        <v>4412</v>
      </c>
      <c r="G701" s="1">
        <v>0.05</v>
      </c>
      <c r="H701" s="34">
        <v>10.8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-216</v>
      </c>
      <c r="R701" s="18">
        <f t="shared" si="117"/>
        <v>10.8</v>
      </c>
      <c r="S701" s="18">
        <f t="shared" si="118"/>
        <v>10.8</v>
      </c>
      <c r="T701" s="19">
        <f t="shared" si="119"/>
        <v>0</v>
      </c>
      <c r="U701" s="16">
        <f>IFERROR(SUMIF('LISTA DE EMBARQUE'!B:B,MICRO!E:E,'LISTA DE EMBARQUE'!G:G),"")</f>
        <v>216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10.8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4510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4204</v>
      </c>
      <c r="C702" s="1">
        <v>208</v>
      </c>
      <c r="D702" s="1" t="s">
        <v>4631</v>
      </c>
      <c r="E702" s="7" t="s">
        <v>4767</v>
      </c>
      <c r="F702" s="7" t="s">
        <v>4412</v>
      </c>
      <c r="G702" s="1">
        <v>0.05</v>
      </c>
      <c r="H702" s="34">
        <v>10.4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-208</v>
      </c>
      <c r="R702" s="18">
        <f t="shared" si="117"/>
        <v>10.4</v>
      </c>
      <c r="S702" s="18">
        <f t="shared" si="118"/>
        <v>10.4</v>
      </c>
      <c r="T702" s="19">
        <f t="shared" si="119"/>
        <v>0</v>
      </c>
      <c r="U702" s="16">
        <f>IFERROR(SUMIF('LISTA DE EMBARQUE'!B:B,MICRO!E:E,'LISTA DE EMBARQUE'!G:G),"")</f>
        <v>208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10.4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4510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4632</v>
      </c>
      <c r="C703" s="1">
        <v>1</v>
      </c>
      <c r="D703" s="1" t="s">
        <v>4633</v>
      </c>
      <c r="E703" s="7" t="s">
        <v>4768</v>
      </c>
      <c r="F703" s="7" t="s">
        <v>4412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4510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4632</v>
      </c>
      <c r="C704" s="1">
        <v>1</v>
      </c>
      <c r="D704" s="1" t="s">
        <v>4633</v>
      </c>
      <c r="E704" s="7" t="s">
        <v>4769</v>
      </c>
      <c r="F704" s="7" t="s">
        <v>4412</v>
      </c>
      <c r="G704" s="1"/>
      <c r="H704" s="34">
        <v>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0</v>
      </c>
      <c r="S704" s="18">
        <f t="shared" si="118"/>
        <v>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4510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4632</v>
      </c>
      <c r="C705" s="1">
        <v>1</v>
      </c>
      <c r="D705" s="1" t="s">
        <v>4634</v>
      </c>
      <c r="E705" s="7" t="s">
        <v>4770</v>
      </c>
      <c r="F705" s="7" t="s">
        <v>4412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4510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4632</v>
      </c>
      <c r="C706" s="1">
        <v>1</v>
      </c>
      <c r="D706" s="1" t="s">
        <v>4634</v>
      </c>
      <c r="E706" s="7" t="s">
        <v>4771</v>
      </c>
      <c r="F706" s="7" t="s">
        <v>4412</v>
      </c>
      <c r="G706" s="1">
        <v>1800</v>
      </c>
      <c r="H706" s="34">
        <v>1800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-1</v>
      </c>
      <c r="R706" s="18">
        <f t="shared" si="117"/>
        <v>1800</v>
      </c>
      <c r="S706" s="18">
        <f t="shared" si="118"/>
        <v>1800</v>
      </c>
      <c r="T706" s="19">
        <f t="shared" si="119"/>
        <v>0</v>
      </c>
      <c r="U706" s="16">
        <f>IFERROR(SUMIF('LISTA DE EMBARQUE'!B:B,MICRO!E:E,'LISTA DE EMBARQUE'!G:G),"")</f>
        <v>1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1800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4510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3802</v>
      </c>
      <c r="C707" s="1">
        <v>232</v>
      </c>
      <c r="D707" s="1" t="s">
        <v>4635</v>
      </c>
      <c r="E707" s="7" t="s">
        <v>4772</v>
      </c>
      <c r="F707" s="7" t="s">
        <v>4412</v>
      </c>
      <c r="G707" s="1">
        <v>0.188</v>
      </c>
      <c r="H707" s="34">
        <v>43.616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-232</v>
      </c>
      <c r="R707" s="18">
        <f t="shared" si="117"/>
        <v>43.616</v>
      </c>
      <c r="S707" s="18">
        <f t="shared" si="118"/>
        <v>43.616</v>
      </c>
      <c r="T707" s="19">
        <f t="shared" si="119"/>
        <v>0</v>
      </c>
      <c r="U707" s="16">
        <f>IFERROR(SUMIF('LISTA DE EMBARQUE'!B:B,MICRO!E:E,'LISTA DE EMBARQUE'!G:G),"")</f>
        <v>232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43.616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4510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3821</v>
      </c>
      <c r="C708" s="1">
        <v>96</v>
      </c>
      <c r="D708" s="1" t="s">
        <v>4636</v>
      </c>
      <c r="E708" s="7" t="s">
        <v>4773</v>
      </c>
      <c r="F708" s="7" t="s">
        <v>4412</v>
      </c>
      <c r="G708" s="1">
        <v>0.188</v>
      </c>
      <c r="H708" s="34">
        <v>18.048000000000002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-96</v>
      </c>
      <c r="R708" s="18">
        <f t="shared" si="117"/>
        <v>18.048000000000002</v>
      </c>
      <c r="S708" s="18">
        <f t="shared" si="118"/>
        <v>18.048000000000002</v>
      </c>
      <c r="T708" s="19">
        <f t="shared" si="119"/>
        <v>0</v>
      </c>
      <c r="U708" s="16">
        <f>IFERROR(SUMIF('LISTA DE EMBARQUE'!B:B,MICRO!E:E,'LISTA DE EMBARQUE'!G:G),"")</f>
        <v>96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18.048000000000002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4510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3858</v>
      </c>
      <c r="C709" s="1">
        <v>218</v>
      </c>
      <c r="D709" s="1" t="s">
        <v>4637</v>
      </c>
      <c r="E709" s="7" t="s">
        <v>4774</v>
      </c>
      <c r="F709" s="7" t="s">
        <v>4412</v>
      </c>
      <c r="G709" s="1">
        <v>0.188</v>
      </c>
      <c r="H709" s="34">
        <v>40.984000000000002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-218</v>
      </c>
      <c r="R709" s="18">
        <f t="shared" si="117"/>
        <v>40.984000000000002</v>
      </c>
      <c r="S709" s="18">
        <f t="shared" si="118"/>
        <v>40.984000000000002</v>
      </c>
      <c r="T709" s="19">
        <f t="shared" si="119"/>
        <v>0</v>
      </c>
      <c r="U709" s="16">
        <f>IFERROR(SUMIF('LISTA DE EMBARQUE'!B:B,MICRO!E:E,'LISTA DE EMBARQUE'!G:G),"")</f>
        <v>218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40.984000000000002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4510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4638</v>
      </c>
      <c r="C710" s="1">
        <v>58</v>
      </c>
      <c r="D710" s="1" t="s">
        <v>4639</v>
      </c>
      <c r="E710" s="7" t="s">
        <v>4775</v>
      </c>
      <c r="F710" s="7" t="s">
        <v>4412</v>
      </c>
      <c r="G710" s="1">
        <v>0.188</v>
      </c>
      <c r="H710" s="34">
        <v>10.904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-58</v>
      </c>
      <c r="R710" s="18">
        <f t="shared" si="117"/>
        <v>10.904</v>
      </c>
      <c r="S710" s="18">
        <f t="shared" si="118"/>
        <v>10.904</v>
      </c>
      <c r="T710" s="19">
        <f t="shared" si="119"/>
        <v>0</v>
      </c>
      <c r="U710" s="16">
        <f>IFERROR(SUMIF('LISTA DE EMBARQUE'!B:B,MICRO!E:E,'LISTA DE EMBARQUE'!G:G),"")</f>
        <v>58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10.904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4510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4638</v>
      </c>
      <c r="C711" s="1">
        <v>2</v>
      </c>
      <c r="D711" s="1" t="s">
        <v>4640</v>
      </c>
      <c r="E711" s="7" t="s">
        <v>4776</v>
      </c>
      <c r="F711" s="7" t="s">
        <v>4412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4510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4638</v>
      </c>
      <c r="C712" s="1">
        <v>2</v>
      </c>
      <c r="D712" s="1" t="s">
        <v>4641</v>
      </c>
      <c r="E712" s="7" t="s">
        <v>4777</v>
      </c>
      <c r="F712" s="7" t="s">
        <v>4412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4510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4638</v>
      </c>
      <c r="C713" s="1">
        <v>2</v>
      </c>
      <c r="D713" s="1" t="s">
        <v>4642</v>
      </c>
      <c r="E713" s="7" t="s">
        <v>4778</v>
      </c>
      <c r="F713" s="7" t="s">
        <v>4412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4510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4638</v>
      </c>
      <c r="C714" s="1">
        <v>2</v>
      </c>
      <c r="D714" s="1" t="s">
        <v>4643</v>
      </c>
      <c r="E714" s="7" t="s">
        <v>4779</v>
      </c>
      <c r="F714" s="7" t="s">
        <v>4412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4510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4638</v>
      </c>
      <c r="C715" s="1">
        <v>2</v>
      </c>
      <c r="D715" s="1" t="s">
        <v>4644</v>
      </c>
      <c r="E715" s="7" t="s">
        <v>4780</v>
      </c>
      <c r="F715" s="7" t="s">
        <v>4412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4510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4638</v>
      </c>
      <c r="C716" s="1">
        <v>2</v>
      </c>
      <c r="D716" s="1" t="s">
        <v>4645</v>
      </c>
      <c r="E716" s="7" t="s">
        <v>4781</v>
      </c>
      <c r="F716" s="7" t="s">
        <v>4412</v>
      </c>
      <c r="G716" s="1">
        <v>14.361000000000001</v>
      </c>
      <c r="H716" s="34">
        <v>28.722000000000001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-2</v>
      </c>
      <c r="R716" s="18">
        <f t="shared" si="117"/>
        <v>28.722000000000001</v>
      </c>
      <c r="S716" s="18">
        <f t="shared" si="118"/>
        <v>28.722000000000001</v>
      </c>
      <c r="T716" s="19">
        <f t="shared" si="119"/>
        <v>0</v>
      </c>
      <c r="U716" s="16">
        <f>IFERROR(SUMIF('LISTA DE EMBARQUE'!B:B,MICRO!E:E,'LISTA DE EMBARQUE'!G:G),"")</f>
        <v>2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28.722000000000001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4510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3802</v>
      </c>
      <c r="C717" s="1">
        <v>4</v>
      </c>
      <c r="D717" s="1" t="s">
        <v>4646</v>
      </c>
      <c r="E717" s="7" t="s">
        <v>4782</v>
      </c>
      <c r="F717" s="7" t="s">
        <v>4412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4510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3802</v>
      </c>
      <c r="C718" s="1">
        <v>4</v>
      </c>
      <c r="D718" s="1" t="s">
        <v>4647</v>
      </c>
      <c r="E718" s="7" t="s">
        <v>4783</v>
      </c>
      <c r="F718" s="7" t="s">
        <v>4412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4510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3802</v>
      </c>
      <c r="C719" s="1">
        <v>4</v>
      </c>
      <c r="D719" s="1" t="s">
        <v>4648</v>
      </c>
      <c r="E719" s="7" t="s">
        <v>4784</v>
      </c>
      <c r="F719" s="7" t="s">
        <v>4412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4510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3802</v>
      </c>
      <c r="C720" s="1">
        <v>4</v>
      </c>
      <c r="D720" s="1" t="s">
        <v>4649</v>
      </c>
      <c r="E720" s="7" t="s">
        <v>4785</v>
      </c>
      <c r="F720" s="7" t="s">
        <v>4412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4510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3802</v>
      </c>
      <c r="C721" s="1">
        <v>4</v>
      </c>
      <c r="D721" s="1" t="s">
        <v>4650</v>
      </c>
      <c r="E721" s="7" t="s">
        <v>4786</v>
      </c>
      <c r="F721" s="7" t="s">
        <v>4412</v>
      </c>
      <c r="G721" s="1">
        <v>14.361000000000001</v>
      </c>
      <c r="H721" s="34">
        <v>57.444000000000003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-4</v>
      </c>
      <c r="R721" s="18">
        <f t="shared" si="117"/>
        <v>57.444000000000003</v>
      </c>
      <c r="S721" s="18">
        <f t="shared" si="118"/>
        <v>57.444000000000003</v>
      </c>
      <c r="T721" s="19">
        <f t="shared" si="119"/>
        <v>0</v>
      </c>
      <c r="U721" s="16">
        <f>IFERROR(SUMIF('LISTA DE EMBARQUE'!B:B,MICRO!E:E,'LISTA DE EMBARQUE'!G:G),"")</f>
        <v>4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57.444000000000003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4510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3802</v>
      </c>
      <c r="C722" s="1">
        <v>8</v>
      </c>
      <c r="D722" s="1" t="s">
        <v>4651</v>
      </c>
      <c r="E722" s="7" t="s">
        <v>4787</v>
      </c>
      <c r="F722" s="7" t="s">
        <v>4412</v>
      </c>
      <c r="G722" s="1">
        <v>14.361000000000001</v>
      </c>
      <c r="H722" s="34">
        <v>114.88800000000001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-8</v>
      </c>
      <c r="R722" s="18">
        <f t="shared" si="117"/>
        <v>114.88800000000001</v>
      </c>
      <c r="S722" s="18">
        <f t="shared" si="118"/>
        <v>114.88800000000001</v>
      </c>
      <c r="T722" s="19">
        <f t="shared" si="119"/>
        <v>0</v>
      </c>
      <c r="U722" s="16">
        <f>IFERROR(SUMIF('LISTA DE EMBARQUE'!B:B,MICRO!E:E,'LISTA DE EMBARQUE'!G:G),"")</f>
        <v>8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114.88800000000001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4510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3821</v>
      </c>
      <c r="C723" s="1">
        <v>4</v>
      </c>
      <c r="D723" s="1" t="s">
        <v>4652</v>
      </c>
      <c r="E723" s="7" t="s">
        <v>4788</v>
      </c>
      <c r="F723" s="7" t="s">
        <v>4412</v>
      </c>
      <c r="G723" s="1">
        <v>14.361000000000001</v>
      </c>
      <c r="H723" s="34">
        <v>57.444000000000003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-4</v>
      </c>
      <c r="R723" s="18">
        <f t="shared" si="117"/>
        <v>57.444000000000003</v>
      </c>
      <c r="S723" s="18">
        <f t="shared" si="118"/>
        <v>57.444000000000003</v>
      </c>
      <c r="T723" s="19">
        <f t="shared" si="119"/>
        <v>0</v>
      </c>
      <c r="U723" s="16">
        <f>IFERROR(SUMIF('LISTA DE EMBARQUE'!B:B,MICRO!E:E,'LISTA DE EMBARQUE'!G:G),"")</f>
        <v>4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57.444000000000003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4510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3821</v>
      </c>
      <c r="C724" s="1">
        <v>12</v>
      </c>
      <c r="D724" s="1" t="s">
        <v>4653</v>
      </c>
      <c r="E724" s="7" t="s">
        <v>4789</v>
      </c>
      <c r="F724" s="7" t="s">
        <v>4412</v>
      </c>
      <c r="G724" s="1">
        <v>14.361000000000001</v>
      </c>
      <c r="H724" s="34">
        <v>172.33199999999999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-12</v>
      </c>
      <c r="R724" s="18">
        <f t="shared" si="117"/>
        <v>172.33199999999999</v>
      </c>
      <c r="S724" s="18">
        <f t="shared" si="118"/>
        <v>172.33199999999999</v>
      </c>
      <c r="T724" s="19">
        <f t="shared" si="119"/>
        <v>0</v>
      </c>
      <c r="U724" s="16">
        <f>IFERROR(SUMIF('LISTA DE EMBARQUE'!B:B,MICRO!E:E,'LISTA DE EMBARQUE'!G:G),"")</f>
        <v>12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172.33199999999999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4510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3821</v>
      </c>
      <c r="C725" s="1">
        <v>4</v>
      </c>
      <c r="D725" s="1" t="s">
        <v>4654</v>
      </c>
      <c r="E725" s="7" t="s">
        <v>4790</v>
      </c>
      <c r="F725" s="7" t="s">
        <v>4412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4510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3821</v>
      </c>
      <c r="C726" s="1">
        <v>4</v>
      </c>
      <c r="D726" s="1" t="s">
        <v>4654</v>
      </c>
      <c r="E726" s="7" t="s">
        <v>4791</v>
      </c>
      <c r="F726" s="7" t="s">
        <v>4412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4510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3875</v>
      </c>
      <c r="C727" s="1">
        <v>4</v>
      </c>
      <c r="D727" s="1" t="s">
        <v>4655</v>
      </c>
      <c r="E727" s="7" t="s">
        <v>4792</v>
      </c>
      <c r="F727" s="7" t="s">
        <v>4412</v>
      </c>
      <c r="G727" s="1">
        <v>14.361000000000001</v>
      </c>
      <c r="H727" s="34">
        <v>57.444000000000003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-4</v>
      </c>
      <c r="R727" s="18">
        <f t="shared" si="117"/>
        <v>57.444000000000003</v>
      </c>
      <c r="S727" s="18">
        <f t="shared" si="118"/>
        <v>57.444000000000003</v>
      </c>
      <c r="T727" s="19">
        <f t="shared" si="119"/>
        <v>0</v>
      </c>
      <c r="U727" s="16">
        <f>IFERROR(SUMIF('LISTA DE EMBARQUE'!B:B,MICRO!E:E,'LISTA DE EMBARQUE'!G:G),"")</f>
        <v>4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57.444000000000003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4510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3875</v>
      </c>
      <c r="C728" s="1">
        <v>20</v>
      </c>
      <c r="D728" s="1" t="s">
        <v>4656</v>
      </c>
      <c r="E728" s="7" t="s">
        <v>4793</v>
      </c>
      <c r="F728" s="7" t="s">
        <v>4412</v>
      </c>
      <c r="G728" s="1">
        <v>14.361000000000001</v>
      </c>
      <c r="H728" s="34">
        <v>287.22000000000003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-20</v>
      </c>
      <c r="R728" s="18">
        <f t="shared" si="117"/>
        <v>287.22000000000003</v>
      </c>
      <c r="S728" s="18">
        <f t="shared" si="118"/>
        <v>287.22000000000003</v>
      </c>
      <c r="T728" s="19">
        <f t="shared" si="119"/>
        <v>0</v>
      </c>
      <c r="U728" s="16">
        <f>IFERROR(SUMIF('LISTA DE EMBARQUE'!B:B,MICRO!E:E,'LISTA DE EMBARQUE'!G:G),"")</f>
        <v>20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287.22000000000003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4510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3858</v>
      </c>
      <c r="C729" s="1">
        <v>2</v>
      </c>
      <c r="D729" s="1" t="s">
        <v>4657</v>
      </c>
      <c r="E729" s="7" t="s">
        <v>4794</v>
      </c>
      <c r="F729" s="7" t="s">
        <v>4412</v>
      </c>
      <c r="G729" s="1">
        <v>14.361000000000001</v>
      </c>
      <c r="H729" s="34">
        <v>28.722000000000001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</v>
      </c>
      <c r="R729" s="18">
        <f t="shared" si="117"/>
        <v>28.722000000000001</v>
      </c>
      <c r="S729" s="18">
        <f t="shared" si="118"/>
        <v>28.722000000000001</v>
      </c>
      <c r="T729" s="19">
        <f t="shared" si="119"/>
        <v>0</v>
      </c>
      <c r="U729" s="16">
        <f>IFERROR(SUMIF('LISTA DE EMBARQUE'!B:B,MICRO!E:E,'LISTA DE EMBARQUE'!G:G),"")</f>
        <v>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28.722000000000001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4510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3858</v>
      </c>
      <c r="C730" s="1">
        <v>22</v>
      </c>
      <c r="D730" s="1" t="s">
        <v>4657</v>
      </c>
      <c r="E730" s="7" t="s">
        <v>4795</v>
      </c>
      <c r="F730" s="7" t="s">
        <v>4412</v>
      </c>
      <c r="G730" s="1">
        <v>14.361000000000001</v>
      </c>
      <c r="H730" s="34">
        <v>315.94200000000001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-22</v>
      </c>
      <c r="R730" s="18">
        <f t="shared" si="117"/>
        <v>315.94200000000001</v>
      </c>
      <c r="S730" s="18">
        <f t="shared" si="118"/>
        <v>315.94200000000001</v>
      </c>
      <c r="T730" s="19">
        <f t="shared" si="119"/>
        <v>0</v>
      </c>
      <c r="U730" s="16">
        <f>IFERROR(SUMIF('LISTA DE EMBARQUE'!B:B,MICRO!E:E,'LISTA DE EMBARQUE'!G:G),"")</f>
        <v>22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315.94200000000001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4510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3858</v>
      </c>
      <c r="C731" s="1">
        <v>2</v>
      </c>
      <c r="D731" s="1" t="s">
        <v>4658</v>
      </c>
      <c r="E731" s="7" t="s">
        <v>4796</v>
      </c>
      <c r="F731" s="7" t="s">
        <v>4412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4510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3858</v>
      </c>
      <c r="C732" s="1">
        <v>2</v>
      </c>
      <c r="D732" s="1" t="s">
        <v>4658</v>
      </c>
      <c r="E732" s="7" t="s">
        <v>4797</v>
      </c>
      <c r="F732" s="7" t="s">
        <v>4412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4510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3864</v>
      </c>
      <c r="C733" s="1">
        <v>2</v>
      </c>
      <c r="D733" s="1" t="s">
        <v>4659</v>
      </c>
      <c r="E733" s="7" t="s">
        <v>4798</v>
      </c>
      <c r="F733" s="7" t="s">
        <v>4412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4510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3864</v>
      </c>
      <c r="C734" s="1">
        <v>2</v>
      </c>
      <c r="D734" s="1" t="s">
        <v>4660</v>
      </c>
      <c r="E734" s="7" t="s">
        <v>4799</v>
      </c>
      <c r="F734" s="7" t="s">
        <v>4412</v>
      </c>
      <c r="G734" s="1">
        <v>14.361000000000001</v>
      </c>
      <c r="H734" s="34">
        <v>28.722000000000001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-2</v>
      </c>
      <c r="R734" s="18">
        <f t="shared" si="117"/>
        <v>28.722000000000001</v>
      </c>
      <c r="S734" s="18">
        <f t="shared" si="118"/>
        <v>28.722000000000001</v>
      </c>
      <c r="T734" s="19">
        <f t="shared" si="119"/>
        <v>0</v>
      </c>
      <c r="U734" s="16">
        <f>IFERROR(SUMIF('LISTA DE EMBARQUE'!B:B,MICRO!E:E,'LISTA DE EMBARQUE'!G:G),"")</f>
        <v>2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28.722000000000001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4510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3864</v>
      </c>
      <c r="C735" s="1">
        <v>4</v>
      </c>
      <c r="D735" s="1" t="s">
        <v>4661</v>
      </c>
      <c r="E735" s="7" t="s">
        <v>4800</v>
      </c>
      <c r="F735" s="7" t="s">
        <v>4412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4510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3864</v>
      </c>
      <c r="C736" s="1">
        <v>4</v>
      </c>
      <c r="D736" s="1" t="s">
        <v>4662</v>
      </c>
      <c r="E736" s="7" t="s">
        <v>4801</v>
      </c>
      <c r="F736" s="7" t="s">
        <v>4412</v>
      </c>
      <c r="G736" s="1">
        <v>14.361000000000001</v>
      </c>
      <c r="H736" s="34">
        <v>57.444000000000003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-4</v>
      </c>
      <c r="R736" s="18">
        <f t="shared" si="117"/>
        <v>57.444000000000003</v>
      </c>
      <c r="S736" s="18">
        <f t="shared" si="118"/>
        <v>57.444000000000003</v>
      </c>
      <c r="T736" s="19">
        <f t="shared" si="119"/>
        <v>0</v>
      </c>
      <c r="U736" s="16">
        <f>IFERROR(SUMIF('LISTA DE EMBARQUE'!B:B,MICRO!E:E,'LISTA DE EMBARQUE'!G:G),"")</f>
        <v>4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57.444000000000003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4510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3864</v>
      </c>
      <c r="C737" s="1">
        <v>6</v>
      </c>
      <c r="D737" s="1" t="s">
        <v>4663</v>
      </c>
      <c r="E737" s="7" t="s">
        <v>4802</v>
      </c>
      <c r="F737" s="7" t="s">
        <v>4412</v>
      </c>
      <c r="G737" s="1">
        <v>14.361000000000001</v>
      </c>
      <c r="H737" s="34">
        <v>86.165999999999997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-6</v>
      </c>
      <c r="R737" s="18">
        <f t="shared" si="117"/>
        <v>86.165999999999997</v>
      </c>
      <c r="S737" s="18">
        <f t="shared" si="118"/>
        <v>86.165999999999997</v>
      </c>
      <c r="T737" s="19">
        <f t="shared" si="119"/>
        <v>0</v>
      </c>
      <c r="U737" s="16">
        <f>IFERROR(SUMIF('LISTA DE EMBARQUE'!B:B,MICRO!E:E,'LISTA DE EMBARQUE'!G:G),"")</f>
        <v>6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86.165999999999997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4510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3864</v>
      </c>
      <c r="C738" s="1">
        <v>2</v>
      </c>
      <c r="D738" s="1" t="s">
        <v>4664</v>
      </c>
      <c r="E738" s="7" t="s">
        <v>4803</v>
      </c>
      <c r="F738" s="7" t="s">
        <v>4412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4510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3855</v>
      </c>
      <c r="C739" s="1">
        <v>2</v>
      </c>
      <c r="D739" s="1" t="s">
        <v>4665</v>
      </c>
      <c r="E739" s="7" t="s">
        <v>4804</v>
      </c>
      <c r="F739" s="7" t="s">
        <v>4412</v>
      </c>
      <c r="G739" s="1">
        <v>14.361000000000001</v>
      </c>
      <c r="H739" s="34">
        <v>28.722000000000001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</v>
      </c>
      <c r="R739" s="18">
        <f t="shared" si="117"/>
        <v>28.722000000000001</v>
      </c>
      <c r="S739" s="18">
        <f t="shared" si="118"/>
        <v>28.722000000000001</v>
      </c>
      <c r="T739" s="19">
        <f t="shared" si="119"/>
        <v>0</v>
      </c>
      <c r="U739" s="16">
        <f>IFERROR(SUMIF('LISTA DE EMBARQUE'!B:B,MICRO!E:E,'LISTA DE EMBARQUE'!G:G),"")</f>
        <v>2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28.722000000000001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4510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3855</v>
      </c>
      <c r="C740" s="1">
        <v>26</v>
      </c>
      <c r="D740" s="1" t="s">
        <v>4666</v>
      </c>
      <c r="E740" s="7" t="s">
        <v>4805</v>
      </c>
      <c r="F740" s="7" t="s">
        <v>4412</v>
      </c>
      <c r="G740" s="1">
        <v>14.361000000000001</v>
      </c>
      <c r="H740" s="34">
        <v>373.38600000000002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-26</v>
      </c>
      <c r="R740" s="18">
        <f t="shared" si="117"/>
        <v>373.38600000000002</v>
      </c>
      <c r="S740" s="18">
        <f t="shared" si="118"/>
        <v>373.38600000000002</v>
      </c>
      <c r="T740" s="19">
        <f t="shared" si="119"/>
        <v>0</v>
      </c>
      <c r="U740" s="16">
        <f>IFERROR(SUMIF('LISTA DE EMBARQUE'!B:B,MICRO!E:E,'LISTA DE EMBARQUE'!G:G),"")</f>
        <v>26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373.38600000000002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4510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3873</v>
      </c>
      <c r="C741" s="1">
        <v>4</v>
      </c>
      <c r="D741" s="1" t="s">
        <v>4667</v>
      </c>
      <c r="E741" s="7" t="s">
        <v>4806</v>
      </c>
      <c r="F741" s="7" t="s">
        <v>4412</v>
      </c>
      <c r="G741" s="1">
        <v>14.361000000000001</v>
      </c>
      <c r="H741" s="34">
        <v>57.444000000000003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-4</v>
      </c>
      <c r="R741" s="18">
        <f t="shared" si="117"/>
        <v>57.444000000000003</v>
      </c>
      <c r="S741" s="18">
        <f t="shared" si="118"/>
        <v>57.444000000000003</v>
      </c>
      <c r="T741" s="19">
        <f t="shared" si="119"/>
        <v>0</v>
      </c>
      <c r="U741" s="16">
        <f>IFERROR(SUMIF('LISTA DE EMBARQUE'!B:B,MICRO!E:E,'LISTA DE EMBARQUE'!G:G),"")</f>
        <v>4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57.444000000000003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4510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3873</v>
      </c>
      <c r="C742" s="1">
        <v>20</v>
      </c>
      <c r="D742" s="1" t="s">
        <v>4668</v>
      </c>
      <c r="E742" s="7" t="s">
        <v>4807</v>
      </c>
      <c r="F742" s="7" t="s">
        <v>4412</v>
      </c>
      <c r="G742" s="1">
        <v>14.361000000000001</v>
      </c>
      <c r="H742" s="34">
        <v>287.22000000000003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-20</v>
      </c>
      <c r="R742" s="18">
        <f t="shared" si="117"/>
        <v>287.22000000000003</v>
      </c>
      <c r="S742" s="18">
        <f t="shared" si="118"/>
        <v>287.22000000000003</v>
      </c>
      <c r="T742" s="19">
        <f t="shared" si="119"/>
        <v>0</v>
      </c>
      <c r="U742" s="16">
        <f>IFERROR(SUMIF('LISTA DE EMBARQUE'!B:B,MICRO!E:E,'LISTA DE EMBARQUE'!G:G),"")</f>
        <v>20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287.22000000000003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4510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4669</v>
      </c>
      <c r="C743" s="1">
        <v>1</v>
      </c>
      <c r="D743" s="1" t="s">
        <v>4670</v>
      </c>
      <c r="E743" s="7" t="s">
        <v>4808</v>
      </c>
      <c r="F743" s="7" t="s">
        <v>4412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4510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4669</v>
      </c>
      <c r="C744" s="1">
        <v>1</v>
      </c>
      <c r="D744" s="1" t="s">
        <v>4672</v>
      </c>
      <c r="E744" s="7" t="s">
        <v>4809</v>
      </c>
      <c r="F744" s="7" t="s">
        <v>4412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4510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4669</v>
      </c>
      <c r="C745" s="1">
        <v>1</v>
      </c>
      <c r="D745" s="1" t="s">
        <v>4673</v>
      </c>
      <c r="E745" s="7" t="s">
        <v>4810</v>
      </c>
      <c r="F745" s="7" t="s">
        <v>4412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4510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4669</v>
      </c>
      <c r="C746" s="1">
        <v>1</v>
      </c>
      <c r="D746" s="1" t="s">
        <v>4674</v>
      </c>
      <c r="E746" s="7" t="s">
        <v>4811</v>
      </c>
      <c r="F746" s="7" t="s">
        <v>4412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4510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4669</v>
      </c>
      <c r="C747" s="1">
        <v>1</v>
      </c>
      <c r="D747" s="1" t="s">
        <v>4675</v>
      </c>
      <c r="E747" s="7" t="s">
        <v>4812</v>
      </c>
      <c r="F747" s="7" t="s">
        <v>4412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4510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4669</v>
      </c>
      <c r="C748" s="1">
        <v>1</v>
      </c>
      <c r="D748" s="1" t="s">
        <v>4676</v>
      </c>
      <c r="E748" s="7" t="s">
        <v>4813</v>
      </c>
      <c r="F748" s="7" t="s">
        <v>4412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4510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4669</v>
      </c>
      <c r="C749" s="1">
        <v>1</v>
      </c>
      <c r="D749" s="1" t="s">
        <v>4677</v>
      </c>
      <c r="E749" s="7" t="s">
        <v>4814</v>
      </c>
      <c r="F749" s="7" t="s">
        <v>4412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4510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4669</v>
      </c>
      <c r="C750" s="1">
        <v>1</v>
      </c>
      <c r="D750" s="1" t="s">
        <v>4678</v>
      </c>
      <c r="E750" s="7" t="s">
        <v>4815</v>
      </c>
      <c r="F750" s="7" t="s">
        <v>4412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4510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4669</v>
      </c>
      <c r="C751" s="1">
        <v>1</v>
      </c>
      <c r="D751" s="1" t="s">
        <v>4679</v>
      </c>
      <c r="E751" s="7" t="s">
        <v>4816</v>
      </c>
      <c r="F751" s="7" t="s">
        <v>4412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4510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4669</v>
      </c>
      <c r="C752" s="1">
        <v>1</v>
      </c>
      <c r="D752" s="1" t="s">
        <v>4680</v>
      </c>
      <c r="E752" s="7" t="s">
        <v>4817</v>
      </c>
      <c r="F752" s="7" t="s">
        <v>4412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4510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4669</v>
      </c>
      <c r="C753" s="1">
        <v>1</v>
      </c>
      <c r="D753" s="1" t="s">
        <v>4681</v>
      </c>
      <c r="E753" s="7" t="s">
        <v>4818</v>
      </c>
      <c r="F753" s="7" t="s">
        <v>4412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4510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4669</v>
      </c>
      <c r="C754" s="1">
        <v>1</v>
      </c>
      <c r="D754" s="1" t="s">
        <v>4682</v>
      </c>
      <c r="E754" s="7" t="s">
        <v>4819</v>
      </c>
      <c r="F754" s="7" t="s">
        <v>4412</v>
      </c>
      <c r="G754" s="1">
        <v>12.6</v>
      </c>
      <c r="H754" s="34">
        <v>12.6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</v>
      </c>
      <c r="R754" s="18">
        <f t="shared" si="117"/>
        <v>12.6</v>
      </c>
      <c r="S754" s="18">
        <f t="shared" si="118"/>
        <v>12.6</v>
      </c>
      <c r="T754" s="19">
        <f t="shared" si="119"/>
        <v>0</v>
      </c>
      <c r="U754" s="16">
        <f>IFERROR(SUMIF('LISTA DE EMBARQUE'!B:B,MICRO!E:E,'LISTA DE EMBARQUE'!G:G),"")</f>
        <v>1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12.6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4510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4669</v>
      </c>
      <c r="C755" s="1">
        <v>168</v>
      </c>
      <c r="D755" s="1" t="s">
        <v>4683</v>
      </c>
      <c r="E755" s="7" t="s">
        <v>4820</v>
      </c>
      <c r="F755" s="7" t="s">
        <v>4412</v>
      </c>
      <c r="G755" s="1">
        <v>0.188</v>
      </c>
      <c r="H755" s="34">
        <v>31.584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-168</v>
      </c>
      <c r="R755" s="18">
        <f t="shared" si="117"/>
        <v>31.584</v>
      </c>
      <c r="S755" s="18">
        <f t="shared" si="118"/>
        <v>31.584</v>
      </c>
      <c r="T755" s="19">
        <f t="shared" si="119"/>
        <v>0</v>
      </c>
      <c r="U755" s="16">
        <f>IFERROR(SUMIF('LISTA DE EMBARQUE'!B:B,MICRO!E:E,'LISTA DE EMBARQUE'!G:G),"")</f>
        <v>168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31.584</v>
      </c>
      <c r="Y755" s="14">
        <f t="shared" si="120"/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4510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4669</v>
      </c>
      <c r="C756" s="1">
        <v>336</v>
      </c>
      <c r="D756" s="1" t="s">
        <v>4684</v>
      </c>
      <c r="E756" s="7" t="s">
        <v>4821</v>
      </c>
      <c r="F756" s="7" t="s">
        <v>4412</v>
      </c>
      <c r="G756" s="1">
        <v>0.188</v>
      </c>
      <c r="H756" s="34">
        <v>63.167999999999999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-336</v>
      </c>
      <c r="R756" s="18">
        <f t="shared" ref="R756:R761" si="121">IFERROR(H756*((AA756*0.25)+(AC756*0.25)+(AD756*0.225)+(AE756*0.225)+(AF756*0.05)),"")</f>
        <v>63.167999999999999</v>
      </c>
      <c r="S756" s="18">
        <f t="shared" ref="S756:S761" si="122">IFERROR(H756*AG756,"")</f>
        <v>63.167999999999999</v>
      </c>
      <c r="T756" s="19">
        <f t="shared" ref="T756:T761" si="123">IFERROR(S756-H756,"")</f>
        <v>0</v>
      </c>
      <c r="U756" s="16">
        <f>IFERROR(SUMIF('LISTA DE EMBARQUE'!B:B,MICRO!E:E,'LISTA DE EMBARQUE'!G:G),"")</f>
        <v>336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63.167999999999999</v>
      </c>
      <c r="Y756" s="14">
        <f t="shared" ref="Y756:Y761" si="124">U756-C756</f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4510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4669</v>
      </c>
      <c r="C757" s="1">
        <v>168</v>
      </c>
      <c r="D757" s="1" t="s">
        <v>4685</v>
      </c>
      <c r="E757" s="7" t="s">
        <v>4822</v>
      </c>
      <c r="F757" s="7" t="s">
        <v>4412</v>
      </c>
      <c r="G757" s="1">
        <v>0.188</v>
      </c>
      <c r="H757" s="34">
        <v>31.584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-168</v>
      </c>
      <c r="R757" s="18">
        <f t="shared" si="121"/>
        <v>31.584</v>
      </c>
      <c r="S757" s="18">
        <f t="shared" si="122"/>
        <v>31.584</v>
      </c>
      <c r="T757" s="19">
        <f t="shared" si="123"/>
        <v>0</v>
      </c>
      <c r="U757" s="16">
        <f>IFERROR(SUMIF('LISTA DE EMBARQUE'!B:B,MICRO!E:E,'LISTA DE EMBARQUE'!G:G),"")</f>
        <v>168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31.584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4510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4669</v>
      </c>
      <c r="C758" s="1">
        <v>336</v>
      </c>
      <c r="D758" s="1" t="s">
        <v>4685</v>
      </c>
      <c r="E758" s="7" t="s">
        <v>4823</v>
      </c>
      <c r="F758" s="7" t="s">
        <v>4412</v>
      </c>
      <c r="G758" s="1">
        <v>0.188</v>
      </c>
      <c r="H758" s="34">
        <v>63.167999999999999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-336</v>
      </c>
      <c r="R758" s="18">
        <f t="shared" si="121"/>
        <v>63.167999999999999</v>
      </c>
      <c r="S758" s="18">
        <f t="shared" si="122"/>
        <v>63.167999999999999</v>
      </c>
      <c r="T758" s="19">
        <f t="shared" si="123"/>
        <v>0</v>
      </c>
      <c r="U758" s="16">
        <f>IFERROR(SUMIF('LISTA DE EMBARQUE'!B:B,MICRO!E:E,'LISTA DE EMBARQUE'!G:G),"")</f>
        <v>336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63.167999999999999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4510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3913</v>
      </c>
      <c r="C759" s="1">
        <v>160</v>
      </c>
      <c r="D759" s="1" t="s">
        <v>4687</v>
      </c>
      <c r="E759" s="7" t="s">
        <v>4824</v>
      </c>
      <c r="F759" s="7" t="s">
        <v>4412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4510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3913</v>
      </c>
      <c r="C760" s="1">
        <v>160</v>
      </c>
      <c r="D760" s="1" t="s">
        <v>4687</v>
      </c>
      <c r="E760" s="7" t="s">
        <v>4825</v>
      </c>
      <c r="F760" s="7" t="s">
        <v>4412</v>
      </c>
      <c r="G760" s="1">
        <v>9.1300000000000008</v>
      </c>
      <c r="H760" s="34">
        <v>1460.8000000000002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-160</v>
      </c>
      <c r="R760" s="18">
        <f t="shared" si="121"/>
        <v>1460.8000000000002</v>
      </c>
      <c r="S760" s="18">
        <f t="shared" si="122"/>
        <v>1460.8000000000002</v>
      </c>
      <c r="T760" s="19">
        <f t="shared" si="123"/>
        <v>0</v>
      </c>
      <c r="U760" s="16">
        <f>IFERROR(SUMIF('LISTA DE EMBARQUE'!B:B,MICRO!E:E,'LISTA DE EMBARQUE'!G:G),"")</f>
        <v>160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1460.8000000000002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4510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4688</v>
      </c>
      <c r="C761" s="1">
        <v>1</v>
      </c>
      <c r="D761" s="1" t="s">
        <v>4689</v>
      </c>
      <c r="E761" s="7" t="s">
        <v>4826</v>
      </c>
      <c r="F761" s="7" t="s">
        <v>4412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 t="shared" si="121"/>
        <v>12.5</v>
      </c>
      <c r="S761" s="18">
        <f t="shared" si="122"/>
        <v>12.5</v>
      </c>
      <c r="T761" s="19">
        <f t="shared" si="123"/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 t="shared" si="124"/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4510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/>
      <c r="B762" s="21" t="s">
        <v>4688</v>
      </c>
      <c r="C762" s="1">
        <v>1</v>
      </c>
      <c r="D762" s="1" t="s">
        <v>4689</v>
      </c>
      <c r="E762" s="7" t="s">
        <v>4827</v>
      </c>
      <c r="F762" s="7" t="s">
        <v>4412</v>
      </c>
      <c r="G762" s="1">
        <v>12.5</v>
      </c>
      <c r="H762" s="34">
        <v>12.5</v>
      </c>
      <c r="I762" s="7"/>
      <c r="J762" s="8"/>
      <c r="K762" s="8" t="s">
        <v>45</v>
      </c>
      <c r="L762" s="9" t="s">
        <v>2069</v>
      </c>
      <c r="M762" s="10"/>
      <c r="N762" s="8" t="s">
        <v>38</v>
      </c>
      <c r="O762" s="12"/>
      <c r="P762" s="13"/>
      <c r="Q762" s="14">
        <f>Tabela1[[#This Row],[QTDE/ Fabricação]]-Tabela1[[#This Row],[QTE]]</f>
        <v>-1</v>
      </c>
      <c r="R762" s="18">
        <f>IFERROR(H762*((AA762*0.25)+(AC762*0.25)+(AD762*0.225)+(AE762*0.225)+(AF762*0.05)),"")</f>
        <v>12.5</v>
      </c>
      <c r="S762" s="18">
        <f>IFERROR(H762*AG762,"")</f>
        <v>12.5</v>
      </c>
      <c r="T762" s="19">
        <f>IFERROR(S762-H762,"")</f>
        <v>0</v>
      </c>
      <c r="U762" s="16">
        <f>IFERROR(SUMIF('LISTA DE EMBARQUE'!B:B,MICRO!E:E,'LISTA DE EMBARQUE'!G:G),"")</f>
        <v>1</v>
      </c>
      <c r="V762" s="12">
        <f>IFERROR(VLOOKUP(Tabela1[[#This Row],[COD.MDE]],'LISTA DE EMBARQUE'!B:L,11,0),"")</f>
        <v>12</v>
      </c>
      <c r="W762" s="13" t="str">
        <f>IFERROR(COUNTIF(#REF!,Tabela1[[#This Row],[Colunas5]]),"")</f>
        <v/>
      </c>
      <c r="X762" s="14">
        <f>Tabela1[[#This Row],[QIANTIDADE EXPEDIDA]]*Tabela1[[#This Row],[PESO UNI]]</f>
        <v>12.5</v>
      </c>
      <c r="Y762" s="14">
        <f>U762-C762</f>
        <v>0</v>
      </c>
      <c r="Z762" s="20">
        <f>Tabela1[[#This Row],[PESO TOTAL]]-Tabela1[[#This Row],[Peso Expedido]]</f>
        <v>0</v>
      </c>
      <c r="AA762" s="17">
        <v>1</v>
      </c>
      <c r="AB762" s="33"/>
      <c r="AC762" s="33">
        <v>1</v>
      </c>
      <c r="AD762" s="33">
        <v>1</v>
      </c>
      <c r="AE762" s="33">
        <v>1</v>
      </c>
      <c r="AF762" s="33">
        <v>1</v>
      </c>
      <c r="AG762" s="33">
        <v>1</v>
      </c>
      <c r="AH762" s="33">
        <v>1</v>
      </c>
      <c r="AI762" s="33" t="s">
        <v>4510</v>
      </c>
      <c r="AJ762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4828</v>
      </c>
      <c r="B763" s="21"/>
      <c r="C763" s="1">
        <v>2</v>
      </c>
      <c r="D763" s="1" t="s">
        <v>4829</v>
      </c>
      <c r="E763" s="7">
        <v>4417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4842</v>
      </c>
      <c r="J763" s="8" t="s">
        <v>4690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 t="shared" ref="R763" si="125">IFERROR(H763*((AA763*0.25)+(AC763*0.25)+(AD763*0.225)+(AE763*0.225)+(AF763*0.05)),"")</f>
        <v>6.08</v>
      </c>
      <c r="S763" s="18">
        <f t="shared" ref="S763" si="126">IFERROR(H763*AG763,"")</f>
        <v>0</v>
      </c>
      <c r="T763" s="19">
        <f t="shared" ref="T763" si="127"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 t="shared" ref="Y763" si="128"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 s="3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1" t="s">
        <v>4828</v>
      </c>
      <c r="B764" s="21"/>
      <c r="C764" s="1">
        <v>2</v>
      </c>
      <c r="D764" s="1" t="s">
        <v>4829</v>
      </c>
      <c r="E764" s="7">
        <v>4418</v>
      </c>
      <c r="F764" s="7">
        <v>46</v>
      </c>
      <c r="G764" s="1">
        <v>3.2</v>
      </c>
      <c r="H764" s="34">
        <f>Tabela1[[#This Row],[PESO UNI]]*Tabela1[[#This Row],[QTE]]</f>
        <v>6.4</v>
      </c>
      <c r="I764" s="7" t="s">
        <v>4842</v>
      </c>
      <c r="J764" s="8" t="s">
        <v>4691</v>
      </c>
      <c r="K764" s="8" t="s">
        <v>33</v>
      </c>
      <c r="L764" s="9" t="s">
        <v>2069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6.08</v>
      </c>
      <c r="S764" s="18">
        <f>IFERROR(H764*AG764,"")</f>
        <v>0</v>
      </c>
      <c r="T764" s="19">
        <f>IFERROR(S764-H764,"")</f>
        <v>-6.4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6.4</v>
      </c>
      <c r="AA764" s="17">
        <v>1</v>
      </c>
      <c r="AB764" s="33"/>
      <c r="AC764" s="17">
        <v>1</v>
      </c>
      <c r="AD764" s="17">
        <v>1</v>
      </c>
      <c r="AE764" s="17">
        <v>1</v>
      </c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211" t="s">
        <v>653</v>
      </c>
      <c r="B765" s="21"/>
      <c r="C765" s="208">
        <v>2</v>
      </c>
      <c r="D765" s="208" t="s">
        <v>4834</v>
      </c>
      <c r="E765" s="212">
        <v>4419</v>
      </c>
      <c r="F765" s="194">
        <v>9</v>
      </c>
      <c r="G765" s="213">
        <v>2.39</v>
      </c>
      <c r="H765" s="34">
        <f>Tabela1[[#This Row],[PESO UNI]]*Tabela1[[#This Row],[QTE]]</f>
        <v>4.78</v>
      </c>
      <c r="I765" s="7">
        <v>0</v>
      </c>
      <c r="J765" s="8" t="s">
        <v>4837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-2</v>
      </c>
      <c r="R765" s="18">
        <f>IFERROR(H765*((AA765*0.25)+(AC765*0.25)+(AD765*0.225)+(AE765*0.225)+(AF765*0.05)),"")</f>
        <v>0</v>
      </c>
      <c r="S765" s="18">
        <f>IFERROR(H765*AG765,"")</f>
        <v>0</v>
      </c>
      <c r="T765" s="19">
        <f>IFERROR(S765-H765,"")</f>
        <v>-4.78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>U765-C765</f>
        <v>-2</v>
      </c>
      <c r="Z765" s="20">
        <f>Tabela1[[#This Row],[PESO TOTAL]]-Tabela1[[#This Row],[Peso Expedido]]</f>
        <v>4.78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83</v>
      </c>
      <c r="B766" s="21"/>
      <c r="C766" s="1">
        <v>15</v>
      </c>
      <c r="D766" s="1" t="s">
        <v>4830</v>
      </c>
      <c r="E766" s="7">
        <v>4420</v>
      </c>
      <c r="F766" s="7">
        <v>9</v>
      </c>
      <c r="G766" s="1">
        <v>9</v>
      </c>
      <c r="H766" s="34">
        <f>Tabela1[[#This Row],[PESO UNI]]*Tabela1[[#This Row],[QTE]]</f>
        <v>135</v>
      </c>
      <c r="I766" s="7">
        <v>0</v>
      </c>
      <c r="J766" s="8" t="s">
        <v>4837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-15</v>
      </c>
      <c r="R766" s="18">
        <f t="shared" ref="R766:R770" si="129">IFERROR(H766*((AA766*0.25)+(AC766*0.25)+(AD766*0.225)+(AE766*0.225)+(AF766*0.05)),"")</f>
        <v>0</v>
      </c>
      <c r="S766" s="18">
        <f t="shared" ref="S766:S770" si="130">IFERROR(H766*AG766,"")</f>
        <v>0</v>
      </c>
      <c r="T766" s="19">
        <f t="shared" ref="T766:T770" si="131">IFERROR(S766-H766,"")</f>
        <v>-135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ref="Y766:Y770" si="132">U766-C766</f>
        <v>-15</v>
      </c>
      <c r="Z766" s="20">
        <f>Tabela1[[#This Row],[PESO TOTAL]]-Tabela1[[#This Row],[Peso Expedido]]</f>
        <v>135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4832</v>
      </c>
      <c r="B767" s="21"/>
      <c r="C767" s="1">
        <v>22</v>
      </c>
      <c r="D767" s="1" t="s">
        <v>4831</v>
      </c>
      <c r="E767" s="7">
        <v>4421</v>
      </c>
      <c r="F767" s="7">
        <v>9</v>
      </c>
      <c r="G767" s="1">
        <v>2.1</v>
      </c>
      <c r="H767" s="34">
        <f>Tabela1[[#This Row],[PESO UNI]]*Tabela1[[#This Row],[QTE]]</f>
        <v>46.2</v>
      </c>
      <c r="I767" s="7">
        <v>0</v>
      </c>
      <c r="J767" s="8" t="s">
        <v>4837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-22</v>
      </c>
      <c r="R767" s="18">
        <f t="shared" si="129"/>
        <v>0</v>
      </c>
      <c r="S767" s="18">
        <f t="shared" si="130"/>
        <v>0</v>
      </c>
      <c r="T767" s="19">
        <f t="shared" si="131"/>
        <v>-46.2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-22</v>
      </c>
      <c r="Z767" s="20">
        <f>Tabela1[[#This Row],[PESO TOTAL]]-Tabela1[[#This Row],[Peso Expedido]]</f>
        <v>46.2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4833</v>
      </c>
      <c r="B768" s="21"/>
      <c r="C768" s="1">
        <v>72</v>
      </c>
      <c r="D768" s="1" t="s">
        <v>4835</v>
      </c>
      <c r="E768" s="7">
        <v>4422</v>
      </c>
      <c r="F768" s="7">
        <v>9</v>
      </c>
      <c r="G768" s="1">
        <v>2.7</v>
      </c>
      <c r="H768" s="34">
        <f>Tabela1[[#This Row],[PESO UNI]]*Tabela1[[#This Row],[QTE]]</f>
        <v>194.4</v>
      </c>
      <c r="I768" s="7">
        <v>0</v>
      </c>
      <c r="J768" s="8" t="s">
        <v>4837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-72</v>
      </c>
      <c r="R768" s="18">
        <f t="shared" si="129"/>
        <v>0</v>
      </c>
      <c r="S768" s="18">
        <f t="shared" si="130"/>
        <v>0</v>
      </c>
      <c r="T768" s="19">
        <f t="shared" si="131"/>
        <v>-194.4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-72</v>
      </c>
      <c r="Z768" s="20">
        <f>Tabela1[[#This Row],[PESO TOTAL]]-Tabela1[[#This Row],[Peso Expedido]]</f>
        <v>194.4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103</v>
      </c>
      <c r="B769" s="21"/>
      <c r="C769" s="1">
        <v>4</v>
      </c>
      <c r="D769" s="1" t="s">
        <v>4836</v>
      </c>
      <c r="E769" s="7">
        <v>4423</v>
      </c>
      <c r="F769" s="7">
        <v>9</v>
      </c>
      <c r="G769" s="1">
        <v>2.5</v>
      </c>
      <c r="H769" s="34">
        <f>Tabela1[[#This Row],[PESO UNI]]*Tabela1[[#This Row],[QTE]]</f>
        <v>10</v>
      </c>
      <c r="I769" s="7">
        <v>0</v>
      </c>
      <c r="J769" s="8" t="s">
        <v>4837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-4</v>
      </c>
      <c r="R769" s="18">
        <f t="shared" si="129"/>
        <v>0</v>
      </c>
      <c r="S769" s="18">
        <f t="shared" si="130"/>
        <v>0</v>
      </c>
      <c r="T769" s="19">
        <f t="shared" si="131"/>
        <v>-10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-4</v>
      </c>
      <c r="Z769" s="20">
        <f>Tabela1[[#This Row],[PESO TOTAL]]-Tabela1[[#This Row],[Peso Expedido]]</f>
        <v>10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4838</v>
      </c>
      <c r="B770" s="21"/>
      <c r="C770" s="1">
        <v>22</v>
      </c>
      <c r="D770" s="1" t="s">
        <v>4839</v>
      </c>
      <c r="E770" s="7">
        <v>4424</v>
      </c>
      <c r="F770" s="7">
        <v>9</v>
      </c>
      <c r="G770" s="1">
        <v>4.2</v>
      </c>
      <c r="H770" s="34">
        <f>Tabela1[[#This Row],[PESO UNI]]*Tabela1[[#This Row],[QTE]]</f>
        <v>92.4</v>
      </c>
      <c r="I770" s="7" t="s">
        <v>2</v>
      </c>
      <c r="J770" s="8" t="s">
        <v>4837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-22</v>
      </c>
      <c r="R770" s="18">
        <f t="shared" si="129"/>
        <v>0</v>
      </c>
      <c r="S770" s="18">
        <f t="shared" si="130"/>
        <v>0</v>
      </c>
      <c r="T770" s="19">
        <f t="shared" si="131"/>
        <v>-92.4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si="132"/>
        <v>-22</v>
      </c>
      <c r="Z770" s="20">
        <f>Tabela1[[#This Row],[PESO TOTAL]]-Tabela1[[#This Row],[Peso Expedido]]</f>
        <v>92.4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4840</v>
      </c>
      <c r="B771" s="21"/>
      <c r="C771" s="1">
        <v>80</v>
      </c>
      <c r="D771" s="1" t="s">
        <v>4841</v>
      </c>
      <c r="E771" s="7">
        <v>4425</v>
      </c>
      <c r="F771" s="7">
        <v>9</v>
      </c>
      <c r="G771" s="1">
        <v>3.6</v>
      </c>
      <c r="H771" s="34">
        <f>Tabela1[[#This Row],[PESO UNI]]*Tabela1[[#This Row],[QTE]]</f>
        <v>288</v>
      </c>
      <c r="I771" s="7">
        <v>0</v>
      </c>
      <c r="J771" s="8" t="s">
        <v>4837</v>
      </c>
      <c r="K771" s="8" t="s">
        <v>23</v>
      </c>
      <c r="L771" s="9" t="s">
        <v>3291</v>
      </c>
      <c r="M771" s="10">
        <v>46226</v>
      </c>
      <c r="N771" s="8" t="s">
        <v>38</v>
      </c>
      <c r="O771" s="12"/>
      <c r="P771" s="13"/>
      <c r="Q771" s="14">
        <f>Tabela1[[#This Row],[QTDE/ Fabricação]]-Tabela1[[#This Row],[QTE]]</f>
        <v>-80</v>
      </c>
      <c r="R771" s="18">
        <f>IFERROR(H771*((AA771*0.25)+(AC771*0.25)+(AD771*0.225)+(AE771*0.225)+(AF771*0.05)),"")</f>
        <v>0</v>
      </c>
      <c r="S771" s="18">
        <f>IFERROR(H771*AG771,"")</f>
        <v>0</v>
      </c>
      <c r="T771" s="19">
        <f>IFERROR(S771-H771,"")</f>
        <v>-288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>U771-C771</f>
        <v>-80</v>
      </c>
      <c r="Z771" s="20">
        <f>Tabela1[[#This Row],[PESO TOTAL]]-Tabela1[[#This Row],[Peso Expedido]]</f>
        <v>288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4847</v>
      </c>
      <c r="B772" s="21" t="s">
        <v>4848</v>
      </c>
      <c r="C772" s="1">
        <v>1</v>
      </c>
      <c r="D772" s="1" t="s">
        <v>4849</v>
      </c>
      <c r="E772" s="7">
        <v>4426</v>
      </c>
      <c r="F772" s="7">
        <v>1</v>
      </c>
      <c r="G772" s="1">
        <v>235.8</v>
      </c>
      <c r="H772" s="34">
        <f>Tabela1[[#This Row],[PESO UNI]]*Tabela1[[#This Row],[QTE]]</f>
        <v>235.8</v>
      </c>
      <c r="I772" s="7" t="s">
        <v>2</v>
      </c>
      <c r="J772" s="8" t="s">
        <v>4850</v>
      </c>
      <c r="K772" s="8" t="s">
        <v>32</v>
      </c>
      <c r="L772" s="9" t="s">
        <v>4851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>IFERROR(H772*((AA772*0.25)+(AC772*0.25)+(AD772*0.225)+(AE772*0.225)+(AF772*0.05)),"")</f>
        <v>0</v>
      </c>
      <c r="S772" s="18">
        <f>IFERROR(H772*AG772,"")</f>
        <v>0</v>
      </c>
      <c r="T772" s="19">
        <f>IFERROR(S772-H772,"")</f>
        <v>-235.8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>U772-C772</f>
        <v>-1</v>
      </c>
      <c r="Z772" s="20">
        <f>Tabela1[[#This Row],[PESO TOTAL]]-Tabela1[[#This Row],[Peso Expedido]]</f>
        <v>235.8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25" t="s">
        <v>4852</v>
      </c>
      <c r="B773" s="25" t="s">
        <v>4852</v>
      </c>
      <c r="C773" s="25">
        <v>1</v>
      </c>
      <c r="D773" s="26" t="s">
        <v>4853</v>
      </c>
      <c r="E773" s="25">
        <v>4427</v>
      </c>
      <c r="F773" s="25">
        <v>1</v>
      </c>
      <c r="G773" s="1">
        <v>6409.92</v>
      </c>
      <c r="H773" s="34">
        <f>Tabela1[[#This Row],[PESO UNI]]*Tabela1[[#This Row],[QTE]]</f>
        <v>6409.92</v>
      </c>
      <c r="I773" s="7" t="s">
        <v>1101</v>
      </c>
      <c r="J773" s="8" t="s">
        <v>4854</v>
      </c>
      <c r="K773" s="8" t="s">
        <v>22</v>
      </c>
      <c r="L773" s="9" t="s">
        <v>4855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>IFERROR(H773*((AA773*0.25)+(AC773*0.25)+(AD773*0.225)+(AE773*0.225)+(AF773*0.05)),"")</f>
        <v>0</v>
      </c>
      <c r="S773" s="18">
        <f>IFERROR(H773*AG773,"")</f>
        <v>0</v>
      </c>
      <c r="T773" s="19">
        <f>IFERROR(S773-H773,"")</f>
        <v>-6409.92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>U773-C773</f>
        <v>-1</v>
      </c>
      <c r="Z773" s="20">
        <f>Tabela1[[#This Row],[PESO TOTAL]]-Tabela1[[#This Row],[Peso Expedido]]</f>
        <v>6409.92</v>
      </c>
    </row>
    <row r="774" spans="1:49" ht="15.75" hidden="1" customHeight="1" x14ac:dyDescent="0.25">
      <c r="A774" s="25" t="s">
        <v>4856</v>
      </c>
      <c r="B774" s="25" t="s">
        <v>4856</v>
      </c>
      <c r="C774" s="25">
        <v>1</v>
      </c>
      <c r="D774" s="26" t="s">
        <v>4857</v>
      </c>
      <c r="E774" s="25">
        <v>4428</v>
      </c>
      <c r="F774" s="25">
        <v>1</v>
      </c>
      <c r="G774" s="26">
        <v>2613.4</v>
      </c>
      <c r="H774" s="34">
        <f>Tabela1[[#This Row],[PESO UNI]]*Tabela1[[#This Row],[QTE]]</f>
        <v>2613.4</v>
      </c>
      <c r="I774" s="27" t="s">
        <v>746</v>
      </c>
      <c r="J774" s="8" t="s">
        <v>4854</v>
      </c>
      <c r="K774" s="27" t="s">
        <v>32</v>
      </c>
      <c r="L774" s="9" t="s">
        <v>4855</v>
      </c>
      <c r="M774" s="10">
        <v>46230</v>
      </c>
      <c r="N774" s="8" t="s">
        <v>38</v>
      </c>
      <c r="Q774" s="14">
        <f>Tabela1[[#This Row],[QTDE/ Fabricação]]-Tabela1[[#This Row],[QTE]]</f>
        <v>-1</v>
      </c>
      <c r="R774" s="18">
        <f>IFERROR(H774*((AA774*0.25)+(AC774*0.25)+(AD774*0.225)+(AE774*0.225)+(AF774*0.05)),"")</f>
        <v>0</v>
      </c>
      <c r="S774" s="18">
        <f>IFERROR(H774*AG774,"")</f>
        <v>0</v>
      </c>
      <c r="T774" s="19">
        <f>IFERROR(S774-H774,"")</f>
        <v>-2613.4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>U774-C774</f>
        <v>-1</v>
      </c>
      <c r="Z774" s="20">
        <f>Tabela1[[#This Row],[PESO TOTAL]]-Tabela1[[#This Row],[Peso Expedido]]</f>
        <v>2613.4</v>
      </c>
    </row>
  </sheetData>
  <phoneticPr fontId="6" type="noConversion"/>
  <conditionalFormatting sqref="E2:E459 AI29:AI460 AA487:AH605 E557:E605 L606 J606:J774 E607:E772 AA763:AJ763 AA764:AI772 AC763:AE764 AA29:AH450">
    <cfRule type="expression" dxfId="61" priority="109">
      <formula>$AI2="OK"</formula>
    </cfRule>
  </conditionalFormatting>
  <conditionalFormatting sqref="H420">
    <cfRule type="expression" dxfId="60" priority="26902">
      <formula>$AI450="OK"</formula>
    </cfRule>
  </conditionalFormatting>
  <conditionalFormatting sqref="H421:H439">
    <cfRule type="expression" dxfId="59" priority="26892">
      <formula>$AI460="OK"</formula>
    </cfRule>
  </conditionalFormatting>
  <conditionalFormatting sqref="H577">
    <cfRule type="expression" dxfId="58" priority="26869">
      <formula>$AI605="OK"</formula>
    </cfRule>
  </conditionalFormatting>
  <conditionalFormatting sqref="H774">
    <cfRule type="expression" dxfId="57" priority="7">
      <formula>#REF!="OK"</formula>
    </cfRule>
  </conditionalFormatting>
  <conditionalFormatting sqref="L2:L27 H416:H418">
    <cfRule type="expression" dxfId="56" priority="26645">
      <formula>$AI33="OK"</formula>
    </cfRule>
  </conditionalFormatting>
  <conditionalFormatting sqref="L409">
    <cfRule type="expression" dxfId="55" priority="26894">
      <formula>$AI450="OK"</formula>
    </cfRule>
  </conditionalFormatting>
  <conditionalFormatting sqref="L410:L439">
    <cfRule type="expression" dxfId="54" priority="26747">
      <formula>$AI460="OK"</formula>
    </cfRule>
  </conditionalFormatting>
  <conditionalFormatting sqref="L774:N774">
    <cfRule type="expression" dxfId="53" priority="6">
      <formula>#REF!="OK"</formula>
    </cfRule>
  </conditionalFormatting>
  <conditionalFormatting sqref="N2:N459 K154:K439 K446:K459 L449:L450 F565:F773 B607:B772 H607:I773 K765:O773 L763:O764">
    <cfRule type="expression" dxfId="52" priority="118">
      <formula>#REF!="OK"</formula>
    </cfRule>
  </conditionalFormatting>
  <conditionalFormatting sqref="O451:O459">
    <cfRule type="cellIs" dxfId="51" priority="64" operator="lessThan">
      <formula>0</formula>
    </cfRule>
  </conditionalFormatting>
  <conditionalFormatting sqref="O451:P453 H450 R450 A451:D453 F451:F453 M451:M453 H451:J459 P458:P459">
    <cfRule type="expression" dxfId="50" priority="26703">
      <formula>$AI504="OK"</formula>
    </cfRule>
  </conditionalFormatting>
  <conditionalFormatting sqref="O454:P454">
    <cfRule type="expression" dxfId="49" priority="75">
      <formula>#REF!="OK"</formula>
    </cfRule>
  </conditionalFormatting>
  <conditionalFormatting sqref="O2:Z27 A2:D27 F2:F27 H2:K27 M2:M27 H154:H414 H460:H572">
    <cfRule type="expression" dxfId="48" priority="26678">
      <formula>$AI34="OK"</formula>
    </cfRule>
  </conditionalFormatting>
  <conditionalFormatting sqref="O28:Z153 T154:Z212 T258:Z394 O501:Z559 O154:R212 O258:R394 H28:K153 A28:D212 F28:F212 M28:M212 S154:S211 I154:J212 S257:S393 A258:D394 F258:F394 I258:J394 M258:M394 B557:B559 F557:F559 I557:I559 M557:M559">
    <cfRule type="expression" dxfId="47" priority="26376">
      <formula>$AI73="OK"</formula>
    </cfRule>
  </conditionalFormatting>
  <conditionalFormatting sqref="O403:Z403 O407:Z407 A403:D403 F403 I403:J403 M403 L404 A407:D407 F407 I407:J407 M407 L408 H415 H419">
    <cfRule type="expression" dxfId="46" priority="26895">
      <formula>#REF!="OK"</formula>
    </cfRule>
  </conditionalFormatting>
  <conditionalFormatting sqref="O404:Z406 L215:L257 L397:L403 A404:D406 F404:F406 I404:J406 M404:M406">
    <cfRule type="expression" dxfId="45" priority="26582">
      <formula>$AI258="OK"</formula>
    </cfRule>
  </conditionalFormatting>
  <conditionalFormatting sqref="O408:Z408 P763:Z773 L405:L407 A408:D408 F408 I408:J408 M408">
    <cfRule type="expression" dxfId="44" priority="26904">
      <formula>$AI447="OK"</formula>
    </cfRule>
  </conditionalFormatting>
  <conditionalFormatting sqref="O447:Z447 S450:Z450 O450:Q450 Q451:Q459 O455:P457 O458:O459 A447:D447 F447 J447 M447 H447:H449 R448:R449 A450:D450 F450 J450 M450 L451:L454 U451:U459 A455:D459 F455:F459 M455:M459">
    <cfRule type="expression" dxfId="43" priority="26717">
      <formula>$AI500="OK"</formula>
    </cfRule>
  </conditionalFormatting>
  <conditionalFormatting sqref="O560:Z563 Z561:Z564 B560:B563 F560:F563 I560:I563 M560:M563 H573:H576">
    <cfRule type="expression" dxfId="42" priority="26832">
      <formula>#REF!="OK"</formula>
    </cfRule>
  </conditionalFormatting>
  <conditionalFormatting sqref="O564:Z564 B564 F564 I564 M564">
    <cfRule type="expression" dxfId="41" priority="26746">
      <formula>$AI605="OK"</formula>
    </cfRule>
  </conditionalFormatting>
  <conditionalFormatting sqref="Q2:Q457 Q460:Q774">
    <cfRule type="cellIs" dxfId="40" priority="26344" operator="lessThan">
      <formula>0</formula>
    </cfRule>
    <cfRule type="cellIs" dxfId="39" priority="26345" operator="greaterThanOrEqual">
      <formula>0</formula>
    </cfRule>
  </conditionalFormatting>
  <conditionalFormatting sqref="Q774:Z774">
    <cfRule type="expression" dxfId="38" priority="5">
      <formula>$AI816="OK"</formula>
    </cfRule>
  </conditionalFormatting>
  <conditionalFormatting sqref="S212">
    <cfRule type="expression" dxfId="37" priority="116">
      <formula>#REF!="OK"</formula>
    </cfRule>
  </conditionalFormatting>
  <conditionalFormatting sqref="S213:S256 S395:S402 A396:D402 F396:F402 I396:J402 M396:M402 O396:R402 T396:Z402">
    <cfRule type="expression" dxfId="36" priority="115">
      <formula>$AI257="OK"</formula>
    </cfRule>
  </conditionalFormatting>
  <conditionalFormatting sqref="S394">
    <cfRule type="expression" dxfId="35" priority="117">
      <formula>#REF!="OK"</formula>
    </cfRule>
  </conditionalFormatting>
  <conditionalFormatting sqref="S448:Z448 O448:Q448 A448:D448 F448 J448 M448 A454:D454 F454 M454 L455:L459">
    <cfRule type="expression" dxfId="34" priority="26702">
      <formula>#REF!="OK"</formula>
    </cfRule>
  </conditionalFormatting>
  <conditionalFormatting sqref="T2:T774 Y2:Z774 O451:O459">
    <cfRule type="cellIs" dxfId="33" priority="65" operator="greaterThanOrEqual">
      <formula>0</formula>
    </cfRule>
  </conditionalFormatting>
  <conditionalFormatting sqref="T2:T774 Y2:Z774">
    <cfRule type="cellIs" dxfId="32" priority="26346" operator="lessThan">
      <formula>0</formula>
    </cfRule>
  </conditionalFormatting>
  <conditionalFormatting sqref="T213:Z213 O213:R213 A213:D213 F213 I213:J213 M213">
    <cfRule type="expression" dxfId="31" priority="26556">
      <formula>#REF!="OK"</formula>
    </cfRule>
  </conditionalFormatting>
  <conditionalFormatting sqref="T214:Z257 O460:Z500 Z501:Z502 Z506:Z516 Z518:Z519 Z528 Z540:Z541 Z546 Z550 Z557:Z560 O214:R257 L28:L214 A214:D257 F214:F257 I214:J257 M214:M257 L258:L395">
    <cfRule type="expression" dxfId="30" priority="26444">
      <formula>$AI72="OK"</formula>
    </cfRule>
  </conditionalFormatting>
  <conditionalFormatting sqref="T395:Z395 O395:R395 A395:D395 F395 I395:J395 M395 L396">
    <cfRule type="expression" dxfId="29" priority="26607">
      <formula>#REF!="OK"</formula>
    </cfRule>
  </conditionalFormatting>
  <conditionalFormatting sqref="T409:Z439 O409:R439 S409:S438 A409:D439 F409:F439 I409:J439 M409:M439 L440:L446">
    <cfRule type="expression" dxfId="28" priority="26988">
      <formula>$AI460="OK"</formula>
    </cfRule>
  </conditionalFormatting>
  <conditionalFormatting sqref="T440:Z446 S449:Z449 O440:R446 O449:Q449 S439:S446 H440:K440 A440:D446 F440:F446 M440:M446 I441:K443 H441:H446 K444:K445 J444:J446 I444:I450 L447:L448 A449:D449 F449 J449 M449 L450">
    <cfRule type="expression" dxfId="27" priority="26897">
      <formula>$AI491="OK"</formula>
    </cfRule>
  </conditionalFormatting>
  <conditionalFormatting sqref="T606:Z606 Q606:R606 H606">
    <cfRule type="expression" dxfId="26" priority="26884">
      <formula>$AI670="OK"</formula>
    </cfRule>
  </conditionalFormatting>
  <conditionalFormatting sqref="V451:Y452 R451:T459 V453:Z459">
    <cfRule type="expression" dxfId="25" priority="26802">
      <formula>$AI488="OK"</formula>
    </cfRule>
  </conditionalFormatting>
  <conditionalFormatting sqref="Z451:Z452 O565:Z623 K624:Z762 K557:K623 B565:B604 I565:I604 M565:M604 H578:H604 A605:D606 H605:J606 L605:N623">
    <cfRule type="expression" dxfId="24" priority="26871">
      <formula>#REF!="OK"</formula>
    </cfRule>
  </conditionalFormatting>
  <conditionalFormatting sqref="Z451:Z452">
    <cfRule type="expression" dxfId="23" priority="48">
      <formula>$AI495="OK"</formula>
    </cfRule>
  </conditionalFormatting>
  <conditionalFormatting sqref="Z565">
    <cfRule type="expression" dxfId="22" priority="26862">
      <formula>$AI605="OK"</formula>
    </cfRule>
  </conditionalFormatting>
  <conditionalFormatting sqref="Z606">
    <cfRule type="expression" dxfId="21" priority="26887">
      <formula>$AI669="OK"</formula>
    </cfRule>
  </conditionalFormatting>
  <conditionalFormatting sqref="AA607:AH762">
    <cfRule type="expression" dxfId="20" priority="33">
      <formula>$AI607="OK"</formula>
    </cfRule>
    <cfRule type="cellIs" dxfId="19" priority="32" operator="greaterThanOrEqual">
      <formula>1</formula>
    </cfRule>
  </conditionalFormatting>
  <conditionalFormatting sqref="AA2:AI28 AA451:AG452 AE453:AG453 AA453:AD459 AF454:AG459 AA460:AH460 A460:G556 I460:N556 AA461:AI604 J557:J604 L557:L604">
    <cfRule type="expression" dxfId="18" priority="26342">
      <formula>$AI2="OK"</formula>
    </cfRule>
  </conditionalFormatting>
  <conditionalFormatting sqref="AA2:AI28 AI29:AI460 AJ154:AW154 AA451:AG452 AE453:AG453 AA453:AD459 AE454:AE458 AF454:AG459 AA460:AH460 AI607:AI762 AA29:AH450">
    <cfRule type="cellIs" dxfId="17" priority="26343" operator="greaterThanOrEqual">
      <formula>1</formula>
    </cfRule>
  </conditionalFormatting>
  <conditionalFormatting sqref="AA461:AI606">
    <cfRule type="cellIs" dxfId="16" priority="42" operator="greaterThanOrEqual">
      <formula>1</formula>
    </cfRule>
  </conditionalFormatting>
  <conditionalFormatting sqref="AA606:AI606">
    <cfRule type="expression" dxfId="15" priority="43">
      <formula>$AI606="OK"</formula>
    </cfRule>
  </conditionalFormatting>
  <conditionalFormatting sqref="AA772:AI774">
    <cfRule type="cellIs" dxfId="14" priority="3" operator="greaterThanOrEqual">
      <formula>1</formula>
    </cfRule>
  </conditionalFormatting>
  <conditionalFormatting sqref="AA763:AJ774">
    <cfRule type="cellIs" dxfId="13" priority="4" operator="greaterThanOrEqual">
      <formula>1</formula>
    </cfRule>
  </conditionalFormatting>
  <conditionalFormatting sqref="AE454:AE458">
    <cfRule type="expression" dxfId="12" priority="26888">
      <formula>$AI454="OK"</formula>
    </cfRule>
  </conditionalFormatting>
  <conditionalFormatting sqref="AI487:AI762 N557:N604">
    <cfRule type="expression" dxfId="11" priority="49">
      <formula>$AI487="OK"</formula>
    </cfRule>
  </conditionalFormatting>
  <conditionalFormatting sqref="AJ772:AJ774">
    <cfRule type="cellIs" dxfId="10" priority="13" operator="greaterThanOrEqual">
      <formula>1</formula>
    </cfRule>
  </conditionalFormatting>
  <conditionalFormatting sqref="AJ154:AW154">
    <cfRule type="expression" dxfId="9" priority="120">
      <formula>$AI154="OK"</formula>
    </cfRule>
  </conditionalFormatting>
  <conditionalFormatting sqref="K764">
    <cfRule type="expression" dxfId="1" priority="2">
      <formula>$AI796="OK"</formula>
    </cfRule>
  </conditionalFormatting>
  <conditionalFormatting sqref="K763">
    <cfRule type="expression" dxfId="0" priority="1">
      <formula>$AI795="OK"</formula>
    </cfRule>
  </conditionalFormatting>
  <pageMargins left="0" right="0" top="0" bottom="0" header="0" footer="0"/>
  <pageSetup paperSize="8" scale="33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8"/>
  <sheetViews>
    <sheetView workbookViewId="0">
      <selection activeCell="C14" sqref="C14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4863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46289</v>
      </c>
      <c r="D4" s="185"/>
      <c r="E4" s="186" t="s">
        <v>1875</v>
      </c>
      <c r="F4" s="107" t="s">
        <v>2983</v>
      </c>
    </row>
    <row r="5" spans="1:6" ht="30" x14ac:dyDescent="0.25">
      <c r="A5" s="283">
        <v>200</v>
      </c>
      <c r="B5" s="284" t="s">
        <v>2994</v>
      </c>
      <c r="C5" s="285">
        <v>46219</v>
      </c>
      <c r="D5" s="285"/>
      <c r="E5" s="286" t="s">
        <v>496</v>
      </c>
      <c r="F5" s="287" t="s">
        <v>2993</v>
      </c>
    </row>
    <row r="6" spans="1:6" ht="30" x14ac:dyDescent="0.25">
      <c r="A6" s="283">
        <v>201</v>
      </c>
      <c r="B6" s="284" t="s">
        <v>2992</v>
      </c>
      <c r="C6" s="285">
        <v>46198</v>
      </c>
      <c r="D6" s="285"/>
      <c r="E6" s="286" t="s">
        <v>496</v>
      </c>
      <c r="F6" s="287" t="s">
        <v>2991</v>
      </c>
    </row>
    <row r="7" spans="1:6" ht="75" x14ac:dyDescent="0.25">
      <c r="A7" s="283">
        <v>202</v>
      </c>
      <c r="B7" s="284" t="s">
        <v>3007</v>
      </c>
      <c r="C7" s="288">
        <v>46198</v>
      </c>
      <c r="D7" s="285"/>
      <c r="E7" s="286" t="s">
        <v>496</v>
      </c>
      <c r="F7" s="287" t="s">
        <v>3006</v>
      </c>
    </row>
    <row r="8" spans="1:6" x14ac:dyDescent="0.25">
      <c r="A8" s="187">
        <v>203</v>
      </c>
      <c r="B8" s="188" t="s">
        <v>3164</v>
      </c>
      <c r="C8" s="189">
        <v>46202</v>
      </c>
      <c r="D8" s="189">
        <v>46231</v>
      </c>
      <c r="E8" s="193" t="s">
        <v>4864</v>
      </c>
      <c r="F8" s="107" t="s">
        <v>3009</v>
      </c>
    </row>
    <row r="9" spans="1:6" x14ac:dyDescent="0.25">
      <c r="A9" s="283">
        <v>204</v>
      </c>
      <c r="B9" s="289" t="s">
        <v>3164</v>
      </c>
      <c r="C9" s="285">
        <v>46226</v>
      </c>
      <c r="D9" s="285"/>
      <c r="E9" s="286" t="s">
        <v>4865</v>
      </c>
      <c r="F9" s="287" t="s">
        <v>3009</v>
      </c>
    </row>
    <row r="10" spans="1:6" x14ac:dyDescent="0.25">
      <c r="A10" s="283">
        <v>205</v>
      </c>
      <c r="B10" s="289" t="s">
        <v>3166</v>
      </c>
      <c r="C10" s="285">
        <v>46235</v>
      </c>
      <c r="D10" s="285"/>
      <c r="E10" s="290" t="s">
        <v>4866</v>
      </c>
      <c r="F10" s="287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4867</v>
      </c>
      <c r="F11" s="107" t="s">
        <v>3292</v>
      </c>
    </row>
    <row r="12" spans="1:6" ht="33" customHeight="1" x14ac:dyDescent="0.25">
      <c r="A12" s="187">
        <v>208</v>
      </c>
      <c r="B12" s="191" t="s">
        <v>4309</v>
      </c>
      <c r="C12" s="189">
        <v>46233</v>
      </c>
      <c r="D12" s="189"/>
      <c r="E12" s="193" t="s">
        <v>4868</v>
      </c>
      <c r="F12" s="188" t="s">
        <v>4308</v>
      </c>
    </row>
    <row r="13" spans="1:6" ht="21" customHeight="1" x14ac:dyDescent="0.25">
      <c r="A13" s="187">
        <v>209</v>
      </c>
      <c r="B13" s="188" t="s">
        <v>4310</v>
      </c>
      <c r="C13" s="189">
        <v>46280</v>
      </c>
      <c r="D13" s="189"/>
      <c r="E13" s="190" t="s">
        <v>4869</v>
      </c>
      <c r="F13" s="188" t="s">
        <v>4324</v>
      </c>
    </row>
    <row r="14" spans="1:6" ht="121.15" customHeight="1" x14ac:dyDescent="0.25">
      <c r="A14" s="187">
        <v>898</v>
      </c>
      <c r="B14" s="191" t="s">
        <v>4444</v>
      </c>
      <c r="C14" s="189">
        <v>46270</v>
      </c>
      <c r="D14" s="189"/>
      <c r="E14" s="190" t="s">
        <v>1875</v>
      </c>
      <c r="F14" s="188" t="s">
        <v>4443</v>
      </c>
    </row>
    <row r="15" spans="1:6" x14ac:dyDescent="0.25">
      <c r="A15" s="283">
        <v>897</v>
      </c>
      <c r="B15" s="289" t="s">
        <v>4553</v>
      </c>
      <c r="C15" s="285">
        <v>46216</v>
      </c>
      <c r="D15" s="285" t="s">
        <v>4866</v>
      </c>
      <c r="E15" s="290" t="s">
        <v>4554</v>
      </c>
      <c r="F15" s="289" t="s">
        <v>4552</v>
      </c>
    </row>
    <row r="16" spans="1:6" x14ac:dyDescent="0.25">
      <c r="A16" s="214">
        <v>210</v>
      </c>
      <c r="B16" s="191" t="s">
        <v>4858</v>
      </c>
      <c r="C16" s="189">
        <v>46227</v>
      </c>
      <c r="D16" s="189"/>
      <c r="E16" s="190" t="s">
        <v>1875</v>
      </c>
      <c r="F16" s="188" t="s">
        <v>2991</v>
      </c>
    </row>
    <row r="17" spans="1:6" ht="30" x14ac:dyDescent="0.25">
      <c r="A17" s="214">
        <v>211</v>
      </c>
      <c r="B17" s="191" t="s">
        <v>2992</v>
      </c>
      <c r="C17" s="189">
        <v>46230</v>
      </c>
      <c r="D17" s="189"/>
      <c r="E17" s="190" t="s">
        <v>4859</v>
      </c>
      <c r="F17" s="188" t="s">
        <v>4860</v>
      </c>
    </row>
    <row r="18" spans="1:6" x14ac:dyDescent="0.25">
      <c r="A18" s="215">
        <v>212</v>
      </c>
      <c r="B18" s="188" t="s">
        <v>4861</v>
      </c>
      <c r="C18" s="189">
        <v>46251</v>
      </c>
      <c r="D18" s="189"/>
      <c r="E18" s="190" t="s">
        <v>4859</v>
      </c>
      <c r="F18" s="188" t="s">
        <v>4862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62" t="e" vm="1">
        <v>#VALUE!</v>
      </c>
      <c r="D2" s="263"/>
      <c r="E2" s="266" t="s">
        <v>320</v>
      </c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6"/>
      <c r="T2" s="267"/>
      <c r="U2" s="270" t="s">
        <v>246</v>
      </c>
      <c r="V2" s="26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64"/>
      <c r="D3" s="265"/>
      <c r="E3" s="268"/>
      <c r="F3" s="268"/>
      <c r="G3" s="268"/>
      <c r="H3" s="268"/>
      <c r="I3" s="268"/>
      <c r="J3" s="268"/>
      <c r="K3" s="268"/>
      <c r="L3" s="268"/>
      <c r="M3" s="268"/>
      <c r="N3" s="268"/>
      <c r="O3" s="268"/>
      <c r="P3" s="268"/>
      <c r="Q3" s="268"/>
      <c r="R3" s="268"/>
      <c r="S3" s="268"/>
      <c r="T3" s="269"/>
      <c r="U3" s="271"/>
      <c r="V3" s="26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30" t="s">
        <v>2070</v>
      </c>
      <c r="D6" s="233" t="s">
        <v>2069</v>
      </c>
      <c r="E6" s="236" t="s">
        <v>2071</v>
      </c>
      <c r="F6" s="239">
        <v>46183</v>
      </c>
      <c r="G6" s="251">
        <v>46220</v>
      </c>
      <c r="H6" s="25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48">
        <f>T9/T6</f>
        <v>0.88949747289203585</v>
      </c>
      <c r="V6" s="22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31"/>
      <c r="D7" s="234"/>
      <c r="E7" s="237"/>
      <c r="F7" s="240"/>
      <c r="G7" s="252"/>
      <c r="H7" s="25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49"/>
      <c r="V7" s="22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31"/>
      <c r="D8" s="234"/>
      <c r="E8" s="237"/>
      <c r="F8" s="240"/>
      <c r="G8" s="252"/>
      <c r="H8" s="25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49"/>
      <c r="V8" s="22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31"/>
      <c r="D9" s="234"/>
      <c r="E9" s="237"/>
      <c r="F9" s="240"/>
      <c r="G9" s="252"/>
      <c r="H9" s="25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49"/>
      <c r="V9" s="22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32"/>
      <c r="D10" s="235"/>
      <c r="E10" s="238"/>
      <c r="F10" s="241"/>
      <c r="G10" s="253"/>
      <c r="H10" s="25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50"/>
      <c r="V10" s="22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30" t="s">
        <v>2987</v>
      </c>
      <c r="D12" s="233" t="s">
        <v>2551</v>
      </c>
      <c r="E12" s="236" t="s">
        <v>2986</v>
      </c>
      <c r="F12" s="239">
        <v>46205</v>
      </c>
      <c r="G12" s="251"/>
      <c r="H12" s="25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48">
        <f>T15/T12</f>
        <v>0.76586952907929418</v>
      </c>
      <c r="V12" s="22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31"/>
      <c r="D13" s="234"/>
      <c r="E13" s="237"/>
      <c r="F13" s="240"/>
      <c r="G13" s="252"/>
      <c r="H13" s="25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49"/>
      <c r="V13" s="22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31"/>
      <c r="D14" s="234"/>
      <c r="E14" s="237"/>
      <c r="F14" s="240"/>
      <c r="G14" s="252"/>
      <c r="H14" s="25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49"/>
      <c r="V14" s="22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31"/>
      <c r="D15" s="234"/>
      <c r="E15" s="237"/>
      <c r="F15" s="240"/>
      <c r="G15" s="252"/>
      <c r="H15" s="25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49"/>
      <c r="V15" s="22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32"/>
      <c r="D16" s="235"/>
      <c r="E16" s="238"/>
      <c r="F16" s="241"/>
      <c r="G16" s="253"/>
      <c r="H16" s="25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50"/>
      <c r="V16" s="22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30" t="s">
        <v>2983</v>
      </c>
      <c r="D18" s="233" t="s">
        <v>2984</v>
      </c>
      <c r="E18" s="236" t="s">
        <v>2985</v>
      </c>
      <c r="F18" s="239">
        <v>46289</v>
      </c>
      <c r="G18" s="251"/>
      <c r="H18" s="245" t="s">
        <v>4325</v>
      </c>
      <c r="I18" s="127" t="s">
        <v>3031</v>
      </c>
      <c r="J18" s="128">
        <f>SUMIF(PERFORMANCE!$N:$N,W18,PERFORMANCE!$G:$G)/1000</f>
        <v>7.6260000000000003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32.955100000000002</v>
      </c>
      <c r="U18" s="248">
        <f>T21/T18</f>
        <v>0.57904239404523117</v>
      </c>
      <c r="V18" s="22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31"/>
      <c r="D19" s="234"/>
      <c r="E19" s="237"/>
      <c r="F19" s="240"/>
      <c r="G19" s="252"/>
      <c r="H19" s="246"/>
      <c r="I19" s="129" t="s">
        <v>3028</v>
      </c>
      <c r="J19" s="130">
        <f t="shared" ref="J19" si="17">J18-J20</f>
        <v>5.6045999999999996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30.262900000000002</v>
      </c>
      <c r="U19" s="249"/>
      <c r="V19" s="22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31"/>
      <c r="D20" s="234"/>
      <c r="E20" s="237"/>
      <c r="F20" s="240"/>
      <c r="G20" s="252"/>
      <c r="H20" s="246"/>
      <c r="I20" s="129" t="s">
        <v>3030</v>
      </c>
      <c r="J20" s="131">
        <f>SUMIF(PERFORMANCE!$N:$N,W18,PERFORMANCE!$Q:$Q)/1000</f>
        <v>2.0214000000000003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2.6922000000000001</v>
      </c>
      <c r="U20" s="249"/>
      <c r="V20" s="22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31"/>
      <c r="D21" s="234"/>
      <c r="E21" s="237"/>
      <c r="F21" s="240"/>
      <c r="G21" s="252"/>
      <c r="H21" s="246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49"/>
      <c r="V21" s="22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32"/>
      <c r="D22" s="235"/>
      <c r="E22" s="238"/>
      <c r="F22" s="241"/>
      <c r="G22" s="253"/>
      <c r="H22" s="247"/>
      <c r="I22" s="133" t="s">
        <v>3029</v>
      </c>
      <c r="J22" s="134">
        <f t="shared" ref="J22:R22" si="28">J18-J21</f>
        <v>7.6260000000000003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13.872700000000002</v>
      </c>
      <c r="U22" s="250"/>
      <c r="V22" s="22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30" t="s">
        <v>3292</v>
      </c>
      <c r="D24" s="233" t="s">
        <v>3291</v>
      </c>
      <c r="E24" s="236" t="s">
        <v>3293</v>
      </c>
      <c r="F24" s="239">
        <v>46336</v>
      </c>
      <c r="G24" s="242"/>
      <c r="H24" s="24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48">
        <v>0</v>
      </c>
      <c r="V24" s="22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31"/>
      <c r="D25" s="234"/>
      <c r="E25" s="237"/>
      <c r="F25" s="240"/>
      <c r="G25" s="243"/>
      <c r="H25" s="24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49"/>
      <c r="V25" s="22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31"/>
      <c r="D26" s="234"/>
      <c r="E26" s="237"/>
      <c r="F26" s="240"/>
      <c r="G26" s="243"/>
      <c r="H26" s="24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49"/>
      <c r="V26" s="22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31"/>
      <c r="D27" s="234"/>
      <c r="E27" s="237"/>
      <c r="F27" s="240"/>
      <c r="G27" s="243"/>
      <c r="H27" s="24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49"/>
      <c r="V27" s="22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32"/>
      <c r="D28" s="235"/>
      <c r="E28" s="238"/>
      <c r="F28" s="241"/>
      <c r="G28" s="244"/>
      <c r="H28" s="24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50"/>
      <c r="V28" s="22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30" t="s">
        <v>2993</v>
      </c>
      <c r="D30" s="233" t="s">
        <v>2989</v>
      </c>
      <c r="E30" s="236" t="s">
        <v>2994</v>
      </c>
      <c r="F30" s="239">
        <v>46219</v>
      </c>
      <c r="G30" s="242"/>
      <c r="H30" s="25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48">
        <v>0</v>
      </c>
      <c r="V30" s="22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31"/>
      <c r="D31" s="234"/>
      <c r="E31" s="237"/>
      <c r="F31" s="240"/>
      <c r="G31" s="243"/>
      <c r="H31" s="25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49"/>
      <c r="V31" s="22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31"/>
      <c r="D32" s="234"/>
      <c r="E32" s="237"/>
      <c r="F32" s="240"/>
      <c r="G32" s="243"/>
      <c r="H32" s="25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49"/>
      <c r="V32" s="22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31"/>
      <c r="D33" s="234"/>
      <c r="E33" s="237"/>
      <c r="F33" s="240"/>
      <c r="G33" s="243"/>
      <c r="H33" s="25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49"/>
      <c r="V33" s="22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32"/>
      <c r="D34" s="235"/>
      <c r="E34" s="238"/>
      <c r="F34" s="241"/>
      <c r="G34" s="244"/>
      <c r="H34" s="25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50"/>
      <c r="V34" s="22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30" t="s">
        <v>2995</v>
      </c>
      <c r="D36" s="233" t="s">
        <v>2990</v>
      </c>
      <c r="E36" s="236" t="s">
        <v>2992</v>
      </c>
      <c r="F36" s="239">
        <v>46198</v>
      </c>
      <c r="G36" s="272"/>
      <c r="H36" s="25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48">
        <v>0</v>
      </c>
      <c r="V36" s="22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31"/>
      <c r="D37" s="234"/>
      <c r="E37" s="237"/>
      <c r="F37" s="240"/>
      <c r="G37" s="273"/>
      <c r="H37" s="25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49"/>
      <c r="V37" s="22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31"/>
      <c r="D38" s="234"/>
      <c r="E38" s="237"/>
      <c r="F38" s="240"/>
      <c r="G38" s="273"/>
      <c r="H38" s="25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49"/>
      <c r="V38" s="22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31"/>
      <c r="D39" s="234"/>
      <c r="E39" s="237"/>
      <c r="F39" s="240"/>
      <c r="G39" s="273"/>
      <c r="H39" s="25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49"/>
      <c r="V39" s="22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32"/>
      <c r="D40" s="235"/>
      <c r="E40" s="238"/>
      <c r="F40" s="241"/>
      <c r="G40" s="274"/>
      <c r="H40" s="25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50"/>
      <c r="V40" s="22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30" t="s">
        <v>3006</v>
      </c>
      <c r="D42" s="233" t="s">
        <v>3004</v>
      </c>
      <c r="E42" s="236" t="s">
        <v>3007</v>
      </c>
      <c r="F42" s="239">
        <v>46188</v>
      </c>
      <c r="G42" s="272">
        <v>46220</v>
      </c>
      <c r="H42" s="254" t="s">
        <v>4326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48">
        <v>0</v>
      </c>
      <c r="V42" s="22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31"/>
      <c r="D43" s="234"/>
      <c r="E43" s="237"/>
      <c r="F43" s="240"/>
      <c r="G43" s="273"/>
      <c r="H43" s="25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49"/>
      <c r="V43" s="22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31"/>
      <c r="D44" s="234"/>
      <c r="E44" s="237"/>
      <c r="F44" s="240"/>
      <c r="G44" s="273"/>
      <c r="H44" s="25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49"/>
      <c r="V44" s="22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31"/>
      <c r="D45" s="234"/>
      <c r="E45" s="237"/>
      <c r="F45" s="240"/>
      <c r="G45" s="273"/>
      <c r="H45" s="25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49"/>
      <c r="V45" s="22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32"/>
      <c r="D46" s="235"/>
      <c r="E46" s="238"/>
      <c r="F46" s="241"/>
      <c r="G46" s="274"/>
      <c r="H46" s="25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50"/>
      <c r="V46" s="22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30" t="s">
        <v>3009</v>
      </c>
      <c r="D48" s="233" t="s">
        <v>3005</v>
      </c>
      <c r="E48" s="236" t="s">
        <v>3008</v>
      </c>
      <c r="F48" s="239">
        <v>46202</v>
      </c>
      <c r="G48" s="272">
        <v>46233</v>
      </c>
      <c r="H48" s="254" t="s">
        <v>4327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48">
        <v>0</v>
      </c>
      <c r="V48" s="22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31"/>
      <c r="D49" s="234"/>
      <c r="E49" s="237"/>
      <c r="F49" s="240"/>
      <c r="G49" s="273"/>
      <c r="H49" s="25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49"/>
      <c r="V49" s="22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31"/>
      <c r="D50" s="234"/>
      <c r="E50" s="237"/>
      <c r="F50" s="240"/>
      <c r="G50" s="273"/>
      <c r="H50" s="25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49"/>
      <c r="V50" s="22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31"/>
      <c r="D51" s="234"/>
      <c r="E51" s="237"/>
      <c r="F51" s="240"/>
      <c r="G51" s="273"/>
      <c r="H51" s="25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49"/>
      <c r="V51" s="22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32"/>
      <c r="D52" s="235"/>
      <c r="E52" s="238"/>
      <c r="F52" s="241"/>
      <c r="G52" s="274"/>
      <c r="H52" s="25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50"/>
      <c r="V52" s="22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30" t="s">
        <v>3009</v>
      </c>
      <c r="D54" s="233" t="s">
        <v>3111</v>
      </c>
      <c r="E54" s="236" t="s">
        <v>3164</v>
      </c>
      <c r="F54" s="239">
        <v>46226</v>
      </c>
      <c r="G54" s="242"/>
      <c r="H54" s="25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48">
        <v>0</v>
      </c>
      <c r="V54" s="22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31"/>
      <c r="D55" s="234"/>
      <c r="E55" s="237"/>
      <c r="F55" s="240"/>
      <c r="G55" s="243"/>
      <c r="H55" s="25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49"/>
      <c r="V55" s="22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31"/>
      <c r="D56" s="234"/>
      <c r="E56" s="237"/>
      <c r="F56" s="240"/>
      <c r="G56" s="243"/>
      <c r="H56" s="25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49"/>
      <c r="V56" s="22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31"/>
      <c r="D57" s="234"/>
      <c r="E57" s="237"/>
      <c r="F57" s="240"/>
      <c r="G57" s="243"/>
      <c r="H57" s="25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49"/>
      <c r="V57" s="22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32"/>
      <c r="D58" s="235"/>
      <c r="E58" s="238"/>
      <c r="F58" s="241"/>
      <c r="G58" s="244"/>
      <c r="H58" s="25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50"/>
      <c r="V58" s="22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30" t="s">
        <v>3165</v>
      </c>
      <c r="D60" s="233" t="s">
        <v>3163</v>
      </c>
      <c r="E60" s="236" t="s">
        <v>3166</v>
      </c>
      <c r="F60" s="239">
        <v>46235</v>
      </c>
      <c r="G60" s="242"/>
      <c r="H60" s="24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48">
        <v>0</v>
      </c>
      <c r="V60" s="22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31"/>
      <c r="D61" s="234"/>
      <c r="E61" s="237"/>
      <c r="F61" s="240"/>
      <c r="G61" s="243"/>
      <c r="H61" s="24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49"/>
      <c r="V61" s="22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31"/>
      <c r="D62" s="234"/>
      <c r="E62" s="237"/>
      <c r="F62" s="240"/>
      <c r="G62" s="243"/>
      <c r="H62" s="24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49"/>
      <c r="V62" s="22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31"/>
      <c r="D63" s="234"/>
      <c r="E63" s="237"/>
      <c r="F63" s="240"/>
      <c r="G63" s="243"/>
      <c r="H63" s="24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49"/>
      <c r="V63" s="22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32"/>
      <c r="D64" s="235"/>
      <c r="E64" s="238"/>
      <c r="F64" s="241"/>
      <c r="G64" s="244"/>
      <c r="H64" s="24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50"/>
      <c r="V64" s="22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30" t="s">
        <v>4308</v>
      </c>
      <c r="D66" s="233" t="s">
        <v>4300</v>
      </c>
      <c r="E66" s="236" t="s">
        <v>4309</v>
      </c>
      <c r="F66" s="239">
        <v>46233</v>
      </c>
      <c r="G66" s="242"/>
      <c r="H66" s="24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48">
        <v>0</v>
      </c>
      <c r="V66" s="22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31"/>
      <c r="D67" s="234"/>
      <c r="E67" s="237"/>
      <c r="F67" s="240"/>
      <c r="G67" s="243"/>
      <c r="H67" s="24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49"/>
      <c r="V67" s="22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31"/>
      <c r="D68" s="234"/>
      <c r="E68" s="237"/>
      <c r="F68" s="240"/>
      <c r="G68" s="243"/>
      <c r="H68" s="24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49"/>
      <c r="V68" s="22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31"/>
      <c r="D69" s="234"/>
      <c r="E69" s="237"/>
      <c r="F69" s="240"/>
      <c r="G69" s="243"/>
      <c r="H69" s="24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49"/>
      <c r="V69" s="22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32"/>
      <c r="D70" s="235"/>
      <c r="E70" s="238"/>
      <c r="F70" s="241"/>
      <c r="G70" s="244"/>
      <c r="H70" s="24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50"/>
      <c r="V70" s="22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30" t="s">
        <v>3165</v>
      </c>
      <c r="D72" s="233" t="s">
        <v>4307</v>
      </c>
      <c r="E72" s="236" t="s">
        <v>4310</v>
      </c>
      <c r="F72" s="239">
        <v>46280</v>
      </c>
      <c r="G72" s="242"/>
      <c r="H72" s="24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48">
        <v>0</v>
      </c>
      <c r="V72" s="22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31"/>
      <c r="D73" s="234"/>
      <c r="E73" s="237"/>
      <c r="F73" s="240"/>
      <c r="G73" s="243"/>
      <c r="H73" s="24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49"/>
      <c r="V73" s="22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31"/>
      <c r="D74" s="234"/>
      <c r="E74" s="237"/>
      <c r="F74" s="240"/>
      <c r="G74" s="243"/>
      <c r="H74" s="24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49"/>
      <c r="V74" s="22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31"/>
      <c r="D75" s="234"/>
      <c r="E75" s="237"/>
      <c r="F75" s="240"/>
      <c r="G75" s="243"/>
      <c r="H75" s="24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49"/>
      <c r="V75" s="22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32"/>
      <c r="D76" s="235"/>
      <c r="E76" s="238"/>
      <c r="F76" s="241"/>
      <c r="G76" s="244"/>
      <c r="H76" s="24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50"/>
      <c r="V76" s="22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75" t="s">
        <v>326</v>
      </c>
      <c r="E79" s="277" t="s">
        <v>891</v>
      </c>
      <c r="F79" s="278"/>
      <c r="G79" s="278"/>
      <c r="H79" s="278"/>
      <c r="I79" s="278"/>
      <c r="J79" s="279"/>
      <c r="K79" s="280" t="s">
        <v>331</v>
      </c>
      <c r="L79" s="281"/>
      <c r="M79" s="281"/>
      <c r="N79" s="28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7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24.702000000000002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97.073800000000006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6.5806000000000004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32.442400000000006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18.121400000000001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64.631399999999999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10.426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22.591899999999999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 filterMode="1"/>
  <dimension ref="A1:O4970"/>
  <sheetViews>
    <sheetView topLeftCell="C1" zoomScaleNormal="100" workbookViewId="0">
      <pane ySplit="1" topLeftCell="A4814" activePane="bottomLeft" state="frozen"/>
      <selection pane="bottomLeft" activeCell="F4825" sqref="F4825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hidden="1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hidden="1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hidden="1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hidden="1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hidden="1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hidden="1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hidden="1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hidden="1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hidden="1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hidden="1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hidden="1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hidden="1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hidden="1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hidden="1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hidden="1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hidden="1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hidden="1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hidden="1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hidden="1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hidden="1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hidden="1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hidden="1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hidden="1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hidden="1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hidden="1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hidden="1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hidden="1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hidden="1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hidden="1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hidden="1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hidden="1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hidden="1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hidden="1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hidden="1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hidden="1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hidden="1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hidden="1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hidden="1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hidden="1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hidden="1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hidden="1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hidden="1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hidden="1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hidden="1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hidden="1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hidden="1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hidden="1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hidden="1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hidden="1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hidden="1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hidden="1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hidden="1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hidden="1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hidden="1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hidden="1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hidden="1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hidden="1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hidden="1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hidden="1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hidden="1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hidden="1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hidden="1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hidden="1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hidden="1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hidden="1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hidden="1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hidden="1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hidden="1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hidden="1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hidden="1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hidden="1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hidden="1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hidden="1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hidden="1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hidden="1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hidden="1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hidden="1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hidden="1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hidden="1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hidden="1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hidden="1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hidden="1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hidden="1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hidden="1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hidden="1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hidden="1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hidden="1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hidden="1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hidden="1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hidden="1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hidden="1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hidden="1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hidden="1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hidden="1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hidden="1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hidden="1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hidden="1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hidden="1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hidden="1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hidden="1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hidden="1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hidden="1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hidden="1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hidden="1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hidden="1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hidden="1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hidden="1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hidden="1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hidden="1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hidden="1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hidden="1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hidden="1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hidden="1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hidden="1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hidden="1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hidden="1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hidden="1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hidden="1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hidden="1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hidden="1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hidden="1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hidden="1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hidden="1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hidden="1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hidden="1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hidden="1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hidden="1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hidden="1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hidden="1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hidden="1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hidden="1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hidden="1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hidden="1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hidden="1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hidden="1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hidden="1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hidden="1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hidden="1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hidden="1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hidden="1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hidden="1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hidden="1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hidden="1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hidden="1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hidden="1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hidden="1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hidden="1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hidden="1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hidden="1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hidden="1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hidden="1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hidden="1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hidden="1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hidden="1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hidden="1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hidden="1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hidden="1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hidden="1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hidden="1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hidden="1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hidden="1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hidden="1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hidden="1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hidden="1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hidden="1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hidden="1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hidden="1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hidden="1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hidden="1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hidden="1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1137.2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hidden="1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142.19999999999999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hidden="1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295.39999999999998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hidden="1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hidden="1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hidden="1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hidden="1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hidden="1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hidden="1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hidden="1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hidden="1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hidden="1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hidden="1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hidden="1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hidden="1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hidden="1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hidden="1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hidden="1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hidden="1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hidden="1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hidden="1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hidden="1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hidden="1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hidden="1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hidden="1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hidden="1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hidden="1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hidden="1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hidden="1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hidden="1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hidden="1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hidden="1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hidden="1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hidden="1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hidden="1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hidden="1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hidden="1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hidden="1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hidden="1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hidden="1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hidden="1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hidden="1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hidden="1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hidden="1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hidden="1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hidden="1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hidden="1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hidden="1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hidden="1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hidden="1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hidden="1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hidden="1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hidden="1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hidden="1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hidden="1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hidden="1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hidden="1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hidden="1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hidden="1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hidden="1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hidden="1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hidden="1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hidden="1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hidden="1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hidden="1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hidden="1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hidden="1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hidden="1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hidden="1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hidden="1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hidden="1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hidden="1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hidden="1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hidden="1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hidden="1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hidden="1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hidden="1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hidden="1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hidden="1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hidden="1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hidden="1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hidden="1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hidden="1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hidden="1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hidden="1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hidden="1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hidden="1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hidden="1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hidden="1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hidden="1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hidden="1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hidden="1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hidden="1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hidden="1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hidden="1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hidden="1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hidden="1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hidden="1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hidden="1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hidden="1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hidden="1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hidden="1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hidden="1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hidden="1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hidden="1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hidden="1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hidden="1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hidden="1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hidden="1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hidden="1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hidden="1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hidden="1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hidden="1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hidden="1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hidden="1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hidden="1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hidden="1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hidden="1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hidden="1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hidden="1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hidden="1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hidden="1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hidden="1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hidden="1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hidden="1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hidden="1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hidden="1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hidden="1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hidden="1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hidden="1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hidden="1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hidden="1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hidden="1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hidden="1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hidden="1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hidden="1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hidden="1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hidden="1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hidden="1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hidden="1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hidden="1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hidden="1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hidden="1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hidden="1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hidden="1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hidden="1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hidden="1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hidden="1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hidden="1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hidden="1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hidden="1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hidden="1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hidden="1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hidden="1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hidden="1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hidden="1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hidden="1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hidden="1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hidden="1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hidden="1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hidden="1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hidden="1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hidden="1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hidden="1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hidden="1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hidden="1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hidden="1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hidden="1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hidden="1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hidden="1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hidden="1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hidden="1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hidden="1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hidden="1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hidden="1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hidden="1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hidden="1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hidden="1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hidden="1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hidden="1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hidden="1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hidden="1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hidden="1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hidden="1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hidden="1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hidden="1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hidden="1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hidden="1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hidden="1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hidden="1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hidden="1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hidden="1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hidden="1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hidden="1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hidden="1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hidden="1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hidden="1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hidden="1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hidden="1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hidden="1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hidden="1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hidden="1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hidden="1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hidden="1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hidden="1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hidden="1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hidden="1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hidden="1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hidden="1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hidden="1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hidden="1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hidden="1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hidden="1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hidden="1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hidden="1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hidden="1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hidden="1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hidden="1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hidden="1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hidden="1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hidden="1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hidden="1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hidden="1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hidden="1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hidden="1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hidden="1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hidden="1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hidden="1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hidden="1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hidden="1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hidden="1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hidden="1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hidden="1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hidden="1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hidden="1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hidden="1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hidden="1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hidden="1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hidden="1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hidden="1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hidden="1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hidden="1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hidden="1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hidden="1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hidden="1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hidden="1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hidden="1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hidden="1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hidden="1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hidden="1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hidden="1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hidden="1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hidden="1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hidden="1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hidden="1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hidden="1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hidden="1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hidden="1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hidden="1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hidden="1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hidden="1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hidden="1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hidden="1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hidden="1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hidden="1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hidden="1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hidden="1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hidden="1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hidden="1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hidden="1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hidden="1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hidden="1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hidden="1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hidden="1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hidden="1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hidden="1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hidden="1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hidden="1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hidden="1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hidden="1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hidden="1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hidden="1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hidden="1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hidden="1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hidden="1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hidden="1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hidden="1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hidden="1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hidden="1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hidden="1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hidden="1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hidden="1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hidden="1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hidden="1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hidden="1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hidden="1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hidden="1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hidden="1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hidden="1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hidden="1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hidden="1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hidden="1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hidden="1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hidden="1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hidden="1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hidden="1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hidden="1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hidden="1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hidden="1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hidden="1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hidden="1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hidden="1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hidden="1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hidden="1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hidden="1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hidden="1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hidden="1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hidden="1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hidden="1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hidden="1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hidden="1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hidden="1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hidden="1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hidden="1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hidden="1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hidden="1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hidden="1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hidden="1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hidden="1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hidden="1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hidden="1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hidden="1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hidden="1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hidden="1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hidden="1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hidden="1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hidden="1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hidden="1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hidden="1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hidden="1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hidden="1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hidden="1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hidden="1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hidden="1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hidden="1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hidden="1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hidden="1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hidden="1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hidden="1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hidden="1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hidden="1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hidden="1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hidden="1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hidden="1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hidden="1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hidden="1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hidden="1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hidden="1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hidden="1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hidden="1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hidden="1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hidden="1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hidden="1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hidden="1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hidden="1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hidden="1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hidden="1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hidden="1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hidden="1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hidden="1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hidden="1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hidden="1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hidden="1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hidden="1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hidden="1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hidden="1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hidden="1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hidden="1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hidden="1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hidden="1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hidden="1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hidden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hidden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hidden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hidden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hidden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hidden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hidden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hidden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hidden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hidden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hidden="1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hidden="1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hidden="1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hidden="1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hidden="1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hidden="1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hidden="1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hidden="1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hidden="1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hidden="1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hidden="1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hidden="1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hidden="1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hidden="1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hidden="1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hidden="1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hidden="1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hidden="1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hidden="1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hidden="1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hidden="1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hidden="1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hidden="1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hidden="1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hidden="1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hidden="1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hidden="1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hidden="1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hidden="1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hidden="1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hidden="1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hidden="1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hidden="1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hidden="1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hidden="1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hidden="1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hidden="1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hidden="1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hidden="1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hidden="1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hidden="1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hidden="1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hidden="1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hidden="1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hidden="1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hidden="1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hidden="1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hidden="1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hidden="1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hidden="1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hidden="1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hidden="1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hidden="1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hidden="1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hidden="1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hidden="1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hidden="1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hidden="1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hidden="1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hidden="1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hidden="1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hidden="1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hidden="1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hidden="1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hidden="1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hidden="1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hidden="1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hidden="1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hidden="1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hidden="1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hidden="1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hidden="1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hidden="1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hidden="1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hidden="1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hidden="1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hidden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hidden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hidden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hidden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hidden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hidden="1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hidden="1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hidden="1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hidden="1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hidden="1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hidden="1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hidden="1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hidden="1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hidden="1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hidden="1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hidden="1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hidden="1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hidden="1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hidden="1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hidden="1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hidden="1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hidden="1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hidden="1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hidden="1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hidden="1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hidden="1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hidden="1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hidden="1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hidden="1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hidden="1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hidden="1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hidden="1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hidden="1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hidden="1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hidden="1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hidden="1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hidden="1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hidden="1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hidden="1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hidden="1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hidden="1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hidden="1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hidden="1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hidden="1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hidden="1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hidden="1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hidden="1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hidden="1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hidden="1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hidden="1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hidden="1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hidden="1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hidden="1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hidden="1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hidden="1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hidden="1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hidden="1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hidden="1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hidden="1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hidden="1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hidden="1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hidden="1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hidden="1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hidden="1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hidden="1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hidden="1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hidden="1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hidden="1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hidden="1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hidden="1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hidden="1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hidden="1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hidden="1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hidden="1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hidden="1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hidden="1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hidden="1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hidden="1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hidden="1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hidden="1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hidden="1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hidden="1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hidden="1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hidden="1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hidden="1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hidden="1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hidden="1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hidden="1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hidden="1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hidden="1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hidden="1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hidden="1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hidden="1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hidden="1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hidden="1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hidden="1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hidden="1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hidden="1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hidden="1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hidden="1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hidden="1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hidden="1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hidden="1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hidden="1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hidden="1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hidden="1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hidden="1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hidden="1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hidden="1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hidden="1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hidden="1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hidden="1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hidden="1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hidden="1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hidden="1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hidden="1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hidden="1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hidden="1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hidden="1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hidden="1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hidden="1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hidden="1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hidden="1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hidden="1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hidden="1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hidden="1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hidden="1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hidden="1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hidden="1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hidden="1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hidden="1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hidden="1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hidden="1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hidden="1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hidden="1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hidden="1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hidden="1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hidden="1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hidden="1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hidden="1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hidden="1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hidden="1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hidden="1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hidden="1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hidden="1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hidden="1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hidden="1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hidden="1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hidden="1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hidden="1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hidden="1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hidden="1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hidden="1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hidden="1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hidden="1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hidden="1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hidden="1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hidden="1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hidden="1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hidden="1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hidden="1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hidden="1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hidden="1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hidden="1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hidden="1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hidden="1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hidden="1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hidden="1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hidden="1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hidden="1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hidden="1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hidden="1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hidden="1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hidden="1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hidden="1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hidden="1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hidden="1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hidden="1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hidden="1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hidden="1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hidden="1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hidden="1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hidden="1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hidden="1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hidden="1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hidden="1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hidden="1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hidden="1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hidden="1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hidden="1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hidden="1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hidden="1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hidden="1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hidden="1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hidden="1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hidden="1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hidden="1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hidden="1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hidden="1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hidden="1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hidden="1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hidden="1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hidden="1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hidden="1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hidden="1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hidden="1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hidden="1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hidden="1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hidden="1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hidden="1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hidden="1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hidden="1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hidden="1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hidden="1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hidden="1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hidden="1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hidden="1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hidden="1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hidden="1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hidden="1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hidden="1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hidden="1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hidden="1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hidden="1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hidden="1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hidden="1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hidden="1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hidden="1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hidden="1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hidden="1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hidden="1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hidden="1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hidden="1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hidden="1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hidden="1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hidden="1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hidden="1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hidden="1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hidden="1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hidden="1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hidden="1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hidden="1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hidden="1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hidden="1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hidden="1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hidden="1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hidden="1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hidden="1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hidden="1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hidden="1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hidden="1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hidden="1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hidden="1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hidden="1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hidden="1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hidden="1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hidden="1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hidden="1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hidden="1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hidden="1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hidden="1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hidden="1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hidden="1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hidden="1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hidden="1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hidden="1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hidden="1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hidden="1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hidden="1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hidden="1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hidden="1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hidden="1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hidden="1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hidden="1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hidden="1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hidden="1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hidden="1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hidden="1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hidden="1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hidden="1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hidden="1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hidden="1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hidden="1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hidden="1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hidden="1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hidden="1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hidden="1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hidden="1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hidden="1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hidden="1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hidden="1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hidden="1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hidden="1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hidden="1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hidden="1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hidden="1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hidden="1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hidden="1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hidden="1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hidden="1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hidden="1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hidden="1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hidden="1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hidden="1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hidden="1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hidden="1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hidden="1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hidden="1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hidden="1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hidden="1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hidden="1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hidden="1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hidden="1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hidden="1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hidden="1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hidden="1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hidden="1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hidden="1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hidden="1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hidden="1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hidden="1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hidden="1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hidden="1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hidden="1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hidden="1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hidden="1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hidden="1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hidden="1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hidden="1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hidden="1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hidden="1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hidden="1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hidden="1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hidden="1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hidden="1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hidden="1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hidden="1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hidden="1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hidden="1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hidden="1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hidden="1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hidden="1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hidden="1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hidden="1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hidden="1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hidden="1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hidden="1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hidden="1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hidden="1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hidden="1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hidden="1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hidden="1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hidden="1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hidden="1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hidden="1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hidden="1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hidden="1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hidden="1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hidden="1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hidden="1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hidden="1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hidden="1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hidden="1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hidden="1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hidden="1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hidden="1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hidden="1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hidden="1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hidden="1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hidden="1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hidden="1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hidden="1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hidden="1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hidden="1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hidden="1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hidden="1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hidden="1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hidden="1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hidden="1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hidden="1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hidden="1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hidden="1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hidden="1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hidden="1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hidden="1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hidden="1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hidden="1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hidden="1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hidden="1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hidden="1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hidden="1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hidden="1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hidden="1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hidden="1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hidden="1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hidden="1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hidden="1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hidden="1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hidden="1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hidden="1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hidden="1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hidden="1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hidden="1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hidden="1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hidden="1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hidden="1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hidden="1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hidden="1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hidden="1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hidden="1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hidden="1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hidden="1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hidden="1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hidden="1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hidden="1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hidden="1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hidden="1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hidden="1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hidden="1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hidden="1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hidden="1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hidden="1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hidden="1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hidden="1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hidden="1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hidden="1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hidden="1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hidden="1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hidden="1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hidden="1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hidden="1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hidden="1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hidden="1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hidden="1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hidden="1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hidden="1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hidden="1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hidden="1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hidden="1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hidden="1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hidden="1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hidden="1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hidden="1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hidden="1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hidden="1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hidden="1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hidden="1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hidden="1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hidden="1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hidden="1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hidden="1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hidden="1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hidden="1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hidden="1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hidden="1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hidden="1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hidden="1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hidden="1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hidden="1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hidden="1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hidden="1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hidden="1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hidden="1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hidden="1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hidden="1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hidden="1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hidden="1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hidden="1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hidden="1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hidden="1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hidden="1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hidden="1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hidden="1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hidden="1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hidden="1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hidden="1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hidden="1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hidden="1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hidden="1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hidden="1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hidden="1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hidden="1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hidden="1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hidden="1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hidden="1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hidden="1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hidden="1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hidden="1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hidden="1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hidden="1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hidden="1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hidden="1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hidden="1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hidden="1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hidden="1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hidden="1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hidden="1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hidden="1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hidden="1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hidden="1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hidden="1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hidden="1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hidden="1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hidden="1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hidden="1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hidden="1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hidden="1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hidden="1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hidden="1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hidden="1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hidden="1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hidden="1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hidden="1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hidden="1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hidden="1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hidden="1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hidden="1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hidden="1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hidden="1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hidden="1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hidden="1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hidden="1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hidden="1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hidden="1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hidden="1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hidden="1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hidden="1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hidden="1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hidden="1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hidden="1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hidden="1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hidden="1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hidden="1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hidden="1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hidden="1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hidden="1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hidden="1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hidden="1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hidden="1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hidden="1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hidden="1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hidden="1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hidden="1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hidden="1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hidden="1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hidden="1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hidden="1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hidden="1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hidden="1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hidden="1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hidden="1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hidden="1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hidden="1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hidden="1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hidden="1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hidden="1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hidden="1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hidden="1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hidden="1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hidden="1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hidden="1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hidden="1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hidden="1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hidden="1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hidden="1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hidden="1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hidden="1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hidden="1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hidden="1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hidden="1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hidden="1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hidden="1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hidden="1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hidden="1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hidden="1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hidden="1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hidden="1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hidden="1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hidden="1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hidden="1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hidden="1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hidden="1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hidden="1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hidden="1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hidden="1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hidden="1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hidden="1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hidden="1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hidden="1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hidden="1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hidden="1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hidden="1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hidden="1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hidden="1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hidden="1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hidden="1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hidden="1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hidden="1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hidden="1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hidden="1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hidden="1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hidden="1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hidden="1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hidden="1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hidden="1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hidden="1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hidden="1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hidden="1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hidden="1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hidden="1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hidden="1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hidden="1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hidden="1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hidden="1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hidden="1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hidden="1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hidden="1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hidden="1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hidden="1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hidden="1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hidden="1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hidden="1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hidden="1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hidden="1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hidden="1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hidden="1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hidden="1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hidden="1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hidden="1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hidden="1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hidden="1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hidden="1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hidden="1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hidden="1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hidden="1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hidden="1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hidden="1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hidden="1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hidden="1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hidden="1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hidden="1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hidden="1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hidden="1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hidden="1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hidden="1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hidden="1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hidden="1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hidden="1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hidden="1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hidden="1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hidden="1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hidden="1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hidden="1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hidden="1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hidden="1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hidden="1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hidden="1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hidden="1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hidden="1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hidden="1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hidden="1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hidden="1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hidden="1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hidden="1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hidden="1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hidden="1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hidden="1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hidden="1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hidden="1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hidden="1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hidden="1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hidden="1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hidden="1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hidden="1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hidden="1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hidden="1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hidden="1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hidden="1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hidden="1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hidden="1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hidden="1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hidden="1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hidden="1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hidden="1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hidden="1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hidden="1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hidden="1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hidden="1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hidden="1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hidden="1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hidden="1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hidden="1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hidden="1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hidden="1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hidden="1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hidden="1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hidden="1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hidden="1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hidden="1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hidden="1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hidden="1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hidden="1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hidden="1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hidden="1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hidden="1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hidden="1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hidden="1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hidden="1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hidden="1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hidden="1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hidden="1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hidden="1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hidden="1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hidden="1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hidden="1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hidden="1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hidden="1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hidden="1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hidden="1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hidden="1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hidden="1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hidden="1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hidden="1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hidden="1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hidden="1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hidden="1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hidden="1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hidden="1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hidden="1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hidden="1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hidden="1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hidden="1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hidden="1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hidden="1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hidden="1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hidden="1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hidden="1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hidden="1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hidden="1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hidden="1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hidden="1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hidden="1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hidden="1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hidden="1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hidden="1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hidden="1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hidden="1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hidden="1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hidden="1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hidden="1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hidden="1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hidden="1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hidden="1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hidden="1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hidden="1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hidden="1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hidden="1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hidden="1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hidden="1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hidden="1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hidden="1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hidden="1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hidden="1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hidden="1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hidden="1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hidden="1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hidden="1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hidden="1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hidden="1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hidden="1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hidden="1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hidden="1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hidden="1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hidden="1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hidden="1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hidden="1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hidden="1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hidden="1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hidden="1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hidden="1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hidden="1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hidden="1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hidden="1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hidden="1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hidden="1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hidden="1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hidden="1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hidden="1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hidden="1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hidden="1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hidden="1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hidden="1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hidden="1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hidden="1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hidden="1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hidden="1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hidden="1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hidden="1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hidden="1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hidden="1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hidden="1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hidden="1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hidden="1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hidden="1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hidden="1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hidden="1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hidden="1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hidden="1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hidden="1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hidden="1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hidden="1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hidden="1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hidden="1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hidden="1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hidden="1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hidden="1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hidden="1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hidden="1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hidden="1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hidden="1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hidden="1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hidden="1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hidden="1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hidden="1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hidden="1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hidden="1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hidden="1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hidden="1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hidden="1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hidden="1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hidden="1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hidden="1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hidden="1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hidden="1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hidden="1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hidden="1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hidden="1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hidden="1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hidden="1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hidden="1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hidden="1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hidden="1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hidden="1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hidden="1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hidden="1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hidden="1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hidden="1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hidden="1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hidden="1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hidden="1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hidden="1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hidden="1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hidden="1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hidden="1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hidden="1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hidden="1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hidden="1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hidden="1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hidden="1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hidden="1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hidden="1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hidden="1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hidden="1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hidden="1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hidden="1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hidden="1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hidden="1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hidden="1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hidden="1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hidden="1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hidden="1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hidden="1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hidden="1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hidden="1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hidden="1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hidden="1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hidden="1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hidden="1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hidden="1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hidden="1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hidden="1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hidden="1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hidden="1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hidden="1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hidden="1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hidden="1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hidden="1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hidden="1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hidden="1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hidden="1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hidden="1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hidden="1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hidden="1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hidden="1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hidden="1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hidden="1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hidden="1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hidden="1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hidden="1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hidden="1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hidden="1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hidden="1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hidden="1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hidden="1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hidden="1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hidden="1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hidden="1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hidden="1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hidden="1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hidden="1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hidden="1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hidden="1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hidden="1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hidden="1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hidden="1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hidden="1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hidden="1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hidden="1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hidden="1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hidden="1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hidden="1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hidden="1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hidden="1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hidden="1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hidden="1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hidden="1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hidden="1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hidden="1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hidden="1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hidden="1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hidden="1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hidden="1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hidden="1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hidden="1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hidden="1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hidden="1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hidden="1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hidden="1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hidden="1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hidden="1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hidden="1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hidden="1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hidden="1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hidden="1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hidden="1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hidden="1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hidden="1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hidden="1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hidden="1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hidden="1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hidden="1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hidden="1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hidden="1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hidden="1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hidden="1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hidden="1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hidden="1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hidden="1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hidden="1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hidden="1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hidden="1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hidden="1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hidden="1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hidden="1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hidden="1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hidden="1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hidden="1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hidden="1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hidden="1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hidden="1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hidden="1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hidden="1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hidden="1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hidden="1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hidden="1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hidden="1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hidden="1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hidden="1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hidden="1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hidden="1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hidden="1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hidden="1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hidden="1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hidden="1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hidden="1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hidden="1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hidden="1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hidden="1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hidden="1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hidden="1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hidden="1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hidden="1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hidden="1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hidden="1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hidden="1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hidden="1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hidden="1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hidden="1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hidden="1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hidden="1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hidden="1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hidden="1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hidden="1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hidden="1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hidden="1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hidden="1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hidden="1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hidden="1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hidden="1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hidden="1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hidden="1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hidden="1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hidden="1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hidden="1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hidden="1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hidden="1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hidden="1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hidden="1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hidden="1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hidden="1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hidden="1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hidden="1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hidden="1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hidden="1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hidden="1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hidden="1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hidden="1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hidden="1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hidden="1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hidden="1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hidden="1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hidden="1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hidden="1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hidden="1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hidden="1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hidden="1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hidden="1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hidden="1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hidden="1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hidden="1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hidden="1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hidden="1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hidden="1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hidden="1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hidden="1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hidden="1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hidden="1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hidden="1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hidden="1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hidden="1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hidden="1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hidden="1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hidden="1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hidden="1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hidden="1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hidden="1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hidden="1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hidden="1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hidden="1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hidden="1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hidden="1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hidden="1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hidden="1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hidden="1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hidden="1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hidden="1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hidden="1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hidden="1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hidden="1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hidden="1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hidden="1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hidden="1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hidden="1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hidden="1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hidden="1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hidden="1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hidden="1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hidden="1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hidden="1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hidden="1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hidden="1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hidden="1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hidden="1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hidden="1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hidden="1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hidden="1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hidden="1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hidden="1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hidden="1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hidden="1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hidden="1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hidden="1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hidden="1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hidden="1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hidden="1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hidden="1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hidden="1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hidden="1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hidden="1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hidden="1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hidden="1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hidden="1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hidden="1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hidden="1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hidden="1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hidden="1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hidden="1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hidden="1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hidden="1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hidden="1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hidden="1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hidden="1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hidden="1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hidden="1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hidden="1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hidden="1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hidden="1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hidden="1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hidden="1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hidden="1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hidden="1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hidden="1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hidden="1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hidden="1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hidden="1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hidden="1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hidden="1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hidden="1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hidden="1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hidden="1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hidden="1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hidden="1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hidden="1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hidden="1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hidden="1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hidden="1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hidden="1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hidden="1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hidden="1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hidden="1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hidden="1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hidden="1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hidden="1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hidden="1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hidden="1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hidden="1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hidden="1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hidden="1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hidden="1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hidden="1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hidden="1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hidden="1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hidden="1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hidden="1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hidden="1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hidden="1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hidden="1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hidden="1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hidden="1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hidden="1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hidden="1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hidden="1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hidden="1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hidden="1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hidden="1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hidden="1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hidden="1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hidden="1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hidden="1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hidden="1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hidden="1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hidden="1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hidden="1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hidden="1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hidden="1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hidden="1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hidden="1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hidden="1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hidden="1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hidden="1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hidden="1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hidden="1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hidden="1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hidden="1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hidden="1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hidden="1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hidden="1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hidden="1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hidden="1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hidden="1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hidden="1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hidden="1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hidden="1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hidden="1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hidden="1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hidden="1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hidden="1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hidden="1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hidden="1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hidden="1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hidden="1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hidden="1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hidden="1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hidden="1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hidden="1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hidden="1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hidden="1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hidden="1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hidden="1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hidden="1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hidden="1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hidden="1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hidden="1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hidden="1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hidden="1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hidden="1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hidden="1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hidden="1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hidden="1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hidden="1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hidden="1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hidden="1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hidden="1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hidden="1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hidden="1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hidden="1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hidden="1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hidden="1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hidden="1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hidden="1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hidden="1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hidden="1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hidden="1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hidden="1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hidden="1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hidden="1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hidden="1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hidden="1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hidden="1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hidden="1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hidden="1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hidden="1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hidden="1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hidden="1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hidden="1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hidden="1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hidden="1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hidden="1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hidden="1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hidden="1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hidden="1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hidden="1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hidden="1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hidden="1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hidden="1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hidden="1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hidden="1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hidden="1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hidden="1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hidden="1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hidden="1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hidden="1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hidden="1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hidden="1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hidden="1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hidden="1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hidden="1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hidden="1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hidden="1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hidden="1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hidden="1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hidden="1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hidden="1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hidden="1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hidden="1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hidden="1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hidden="1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hidden="1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hidden="1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hidden="1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hidden="1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hidden="1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hidden="1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hidden="1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hidden="1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hidden="1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hidden="1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hidden="1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hidden="1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hidden="1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hidden="1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hidden="1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hidden="1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hidden="1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hidden="1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hidden="1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hidden="1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hidden="1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hidden="1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hidden="1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hidden="1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hidden="1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hidden="1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hidden="1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hidden="1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hidden="1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hidden="1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hidden="1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hidden="1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hidden="1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hidden="1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hidden="1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hidden="1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hidden="1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hidden="1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hidden="1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hidden="1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hidden="1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hidden="1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hidden="1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hidden="1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hidden="1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hidden="1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hidden="1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hidden="1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hidden="1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hidden="1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hidden="1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hidden="1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hidden="1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hidden="1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hidden="1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hidden="1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hidden="1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hidden="1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hidden="1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hidden="1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hidden="1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hidden="1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hidden="1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hidden="1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hidden="1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hidden="1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hidden="1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hidden="1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hidden="1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hidden="1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hidden="1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hidden="1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hidden="1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hidden="1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hidden="1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hidden="1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hidden="1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hidden="1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hidden="1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hidden="1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hidden="1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hidden="1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hidden="1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hidden="1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hidden="1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hidden="1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hidden="1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hidden="1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hidden="1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hidden="1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hidden="1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hidden="1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hidden="1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hidden="1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hidden="1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hidden="1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hidden="1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hidden="1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hidden="1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hidden="1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hidden="1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hidden="1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hidden="1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hidden="1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hidden="1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hidden="1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hidden="1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hidden="1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hidden="1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hidden="1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hidden="1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hidden="1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hidden="1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hidden="1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hidden="1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hidden="1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hidden="1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hidden="1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hidden="1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hidden="1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hidden="1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hidden="1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hidden="1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hidden="1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hidden="1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hidden="1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hidden="1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hidden="1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hidden="1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hidden="1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hidden="1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hidden="1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hidden="1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hidden="1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hidden="1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hidden="1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hidden="1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hidden="1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hidden="1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hidden="1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hidden="1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hidden="1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hidden="1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hidden="1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hidden="1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hidden="1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hidden="1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hidden="1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hidden="1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hidden="1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hidden="1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hidden="1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hidden="1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hidden="1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hidden="1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hidden="1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hidden="1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hidden="1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hidden="1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hidden="1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hidden="1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hidden="1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hidden="1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hidden="1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hidden="1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hidden="1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hidden="1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hidden="1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hidden="1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hidden="1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hidden="1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hidden="1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hidden="1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hidden="1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hidden="1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hidden="1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hidden="1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hidden="1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hidden="1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hidden="1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hidden="1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hidden="1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hidden="1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hidden="1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hidden="1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hidden="1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hidden="1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hidden="1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hidden="1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hidden="1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hidden="1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hidden="1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hidden="1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hidden="1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hidden="1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hidden="1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hidden="1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hidden="1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hidden="1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hidden="1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hidden="1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hidden="1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hidden="1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hidden="1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hidden="1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hidden="1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hidden="1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hidden="1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hidden="1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hidden="1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hidden="1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hidden="1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hidden="1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hidden="1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hidden="1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hidden="1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hidden="1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hidden="1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hidden="1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hidden="1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hidden="1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hidden="1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hidden="1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hidden="1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hidden="1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hidden="1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hidden="1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hidden="1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hidden="1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hidden="1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hidden="1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hidden="1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hidden="1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hidden="1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hidden="1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hidden="1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hidden="1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hidden="1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hidden="1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hidden="1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hidden="1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hidden="1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hidden="1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hidden="1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hidden="1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hidden="1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hidden="1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hidden="1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hidden="1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hidden="1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hidden="1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hidden="1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hidden="1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hidden="1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hidden="1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hidden="1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hidden="1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hidden="1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hidden="1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hidden="1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hidden="1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hidden="1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hidden="1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hidden="1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hidden="1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hidden="1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hidden="1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hidden="1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hidden="1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hidden="1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hidden="1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hidden="1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hidden="1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hidden="1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hidden="1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hidden="1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hidden="1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hidden="1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hidden="1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hidden="1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hidden="1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hidden="1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hidden="1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hidden="1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hidden="1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hidden="1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hidden="1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hidden="1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hidden="1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hidden="1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hidden="1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hidden="1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hidden="1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hidden="1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hidden="1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hidden="1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hidden="1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hidden="1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hidden="1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hidden="1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hidden="1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hidden="1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hidden="1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hidden="1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hidden="1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hidden="1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hidden="1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hidden="1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hidden="1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hidden="1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hidden="1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hidden="1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hidden="1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hidden="1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hidden="1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hidden="1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hidden="1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hidden="1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hidden="1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hidden="1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hidden="1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hidden="1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hidden="1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hidden="1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hidden="1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hidden="1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hidden="1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hidden="1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hidden="1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hidden="1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hidden="1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hidden="1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hidden="1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hidden="1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hidden="1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hidden="1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hidden="1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hidden="1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hidden="1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hidden="1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hidden="1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hidden="1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hidden="1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hidden="1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hidden="1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hidden="1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hidden="1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hidden="1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hidden="1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hidden="1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hidden="1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hidden="1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hidden="1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hidden="1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hidden="1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hidden="1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hidden="1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hidden="1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hidden="1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hidden="1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hidden="1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hidden="1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hidden="1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hidden="1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hidden="1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hidden="1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hidden="1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hidden="1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hidden="1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hidden="1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hidden="1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hidden="1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hidden="1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hidden="1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hidden="1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hidden="1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hidden="1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hidden="1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hidden="1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hidden="1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hidden="1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hidden="1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hidden="1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hidden="1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hidden="1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hidden="1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hidden="1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hidden="1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hidden="1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hidden="1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hidden="1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hidden="1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hidden="1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hidden="1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hidden="1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hidden="1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hidden="1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hidden="1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hidden="1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hidden="1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hidden="1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hidden="1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hidden="1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hidden="1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hidden="1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hidden="1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hidden="1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hidden="1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hidden="1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hidden="1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hidden="1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hidden="1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hidden="1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hidden="1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hidden="1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hidden="1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hidden="1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hidden="1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hidden="1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hidden="1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hidden="1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hidden="1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hidden="1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hidden="1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hidden="1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hidden="1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hidden="1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hidden="1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hidden="1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hidden="1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hidden="1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hidden="1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hidden="1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hidden="1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hidden="1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hidden="1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hidden="1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hidden="1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hidden="1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hidden="1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hidden="1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hidden="1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hidden="1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hidden="1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hidden="1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hidden="1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hidden="1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hidden="1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hidden="1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hidden="1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hidden="1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hidden="1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hidden="1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hidden="1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hidden="1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hidden="1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hidden="1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hidden="1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hidden="1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hidden="1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hidden="1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hidden="1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hidden="1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hidden="1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hidden="1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hidden="1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hidden="1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hidden="1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hidden="1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hidden="1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hidden="1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hidden="1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hidden="1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hidden="1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hidden="1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hidden="1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hidden="1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hidden="1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hidden="1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hidden="1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hidden="1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hidden="1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hidden="1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hidden="1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hidden="1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hidden="1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hidden="1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hidden="1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hidden="1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hidden="1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hidden="1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hidden="1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hidden="1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hidden="1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hidden="1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hidden="1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hidden="1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hidden="1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hidden="1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hidden="1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hidden="1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hidden="1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hidden="1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hidden="1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hidden="1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hidden="1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hidden="1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hidden="1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hidden="1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hidden="1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hidden="1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hidden="1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hidden="1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hidden="1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hidden="1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hidden="1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hidden="1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hidden="1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hidden="1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hidden="1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hidden="1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hidden="1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hidden="1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hidden="1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hidden="1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hidden="1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hidden="1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hidden="1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hidden="1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hidden="1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hidden="1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hidden="1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hidden="1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hidden="1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hidden="1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hidden="1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hidden="1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hidden="1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hidden="1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hidden="1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hidden="1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hidden="1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hidden="1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hidden="1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hidden="1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hidden="1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hidden="1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hidden="1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hidden="1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hidden="1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hidden="1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hidden="1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hidden="1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hidden="1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hidden="1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hidden="1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hidden="1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hidden="1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hidden="1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hidden="1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hidden="1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hidden="1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hidden="1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hidden="1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hidden="1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hidden="1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hidden="1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hidden="1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hidden="1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hidden="1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hidden="1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hidden="1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hidden="1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hidden="1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hidden="1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hidden="1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hidden="1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hidden="1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hidden="1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hidden="1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hidden="1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hidden="1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hidden="1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hidden="1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hidden="1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hidden="1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hidden="1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hidden="1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hidden="1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hidden="1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hidden="1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hidden="1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hidden="1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hidden="1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hidden="1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hidden="1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hidden="1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hidden="1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hidden="1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hidden="1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hidden="1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hidden="1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hidden="1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hidden="1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hidden="1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hidden="1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hidden="1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hidden="1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hidden="1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hidden="1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hidden="1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hidden="1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hidden="1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hidden="1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hidden="1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hidden="1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hidden="1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hidden="1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hidden="1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hidden="1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hidden="1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hidden="1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hidden="1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hidden="1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hidden="1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hidden="1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hidden="1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hidden="1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hidden="1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hidden="1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hidden="1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hidden="1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hidden="1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hidden="1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hidden="1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hidden="1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hidden="1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hidden="1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hidden="1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hidden="1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hidden="1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hidden="1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hidden="1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hidden="1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hidden="1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hidden="1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hidden="1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hidden="1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hidden="1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hidden="1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hidden="1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hidden="1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hidden="1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hidden="1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hidden="1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hidden="1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hidden="1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hidden="1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hidden="1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hidden="1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hidden="1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hidden="1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hidden="1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hidden="1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hidden="1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hidden="1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hidden="1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hidden="1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hidden="1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hidden="1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hidden="1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hidden="1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hidden="1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hidden="1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hidden="1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hidden="1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hidden="1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hidden="1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hidden="1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hidden="1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hidden="1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hidden="1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hidden="1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hidden="1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hidden="1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hidden="1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hidden="1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hidden="1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hidden="1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hidden="1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hidden="1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hidden="1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hidden="1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hidden="1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hidden="1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hidden="1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hidden="1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hidden="1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hidden="1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hidden="1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hidden="1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hidden="1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hidden="1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hidden="1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hidden="1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hidden="1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hidden="1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hidden="1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hidden="1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hidden="1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hidden="1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hidden="1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hidden="1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hidden="1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hidden="1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hidden="1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hidden="1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hidden="1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hidden="1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hidden="1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hidden="1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hidden="1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hidden="1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hidden="1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hidden="1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hidden="1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hidden="1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hidden="1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hidden="1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hidden="1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hidden="1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hidden="1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hidden="1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hidden="1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hidden="1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hidden="1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hidden="1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hidden="1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hidden="1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hidden="1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hidden="1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hidden="1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hidden="1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hidden="1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hidden="1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hidden="1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hidden="1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hidden="1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hidden="1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hidden="1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hidden="1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hidden="1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hidden="1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hidden="1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hidden="1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hidden="1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hidden="1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hidden="1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hidden="1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hidden="1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hidden="1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hidden="1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hidden="1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hidden="1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hidden="1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hidden="1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hidden="1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hidden="1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hidden="1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hidden="1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hidden="1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hidden="1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hidden="1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hidden="1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hidden="1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hidden="1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hidden="1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hidden="1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hidden="1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hidden="1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hidden="1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hidden="1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hidden="1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hidden="1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hidden="1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hidden="1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hidden="1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hidden="1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hidden="1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hidden="1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hidden="1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hidden="1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hidden="1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hidden="1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hidden="1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hidden="1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hidden="1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hidden="1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hidden="1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hidden="1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hidden="1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hidden="1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hidden="1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hidden="1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hidden="1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hidden="1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hidden="1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hidden="1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hidden="1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hidden="1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hidden="1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hidden="1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hidden="1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hidden="1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hidden="1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hidden="1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hidden="1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hidden="1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hidden="1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hidden="1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hidden="1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hidden="1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hidden="1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hidden="1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hidden="1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hidden="1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hidden="1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hidden="1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hidden="1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hidden="1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hidden="1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hidden="1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hidden="1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hidden="1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hidden="1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hidden="1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hidden="1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hidden="1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hidden="1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hidden="1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hidden="1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hidden="1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hidden="1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hidden="1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hidden="1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hidden="1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hidden="1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hidden="1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hidden="1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hidden="1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hidden="1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hidden="1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hidden="1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hidden="1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hidden="1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hidden="1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hidden="1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hidden="1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hidden="1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hidden="1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hidden="1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hidden="1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hidden="1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hidden="1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hidden="1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hidden="1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hidden="1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hidden="1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hidden="1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hidden="1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hidden="1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hidden="1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hidden="1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hidden="1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hidden="1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hidden="1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hidden="1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hidden="1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hidden="1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hidden="1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hidden="1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hidden="1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hidden="1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hidden="1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hidden="1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hidden="1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hidden="1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hidden="1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hidden="1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hidden="1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hidden="1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hidden="1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hidden="1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hidden="1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hidden="1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hidden="1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hidden="1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hidden="1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hidden="1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hidden="1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hidden="1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hidden="1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hidden="1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hidden="1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hidden="1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hidden="1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hidden="1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hidden="1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hidden="1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hidden="1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hidden="1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hidden="1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hidden="1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hidden="1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hidden="1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hidden="1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hidden="1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hidden="1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hidden="1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hidden="1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hidden="1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hidden="1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hidden="1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hidden="1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hidden="1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hidden="1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hidden="1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hidden="1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hidden="1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hidden="1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hidden="1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hidden="1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hidden="1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hidden="1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hidden="1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hidden="1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hidden="1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hidden="1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hidden="1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hidden="1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hidden="1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hidden="1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hidden="1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hidden="1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hidden="1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hidden="1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hidden="1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hidden="1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hidden="1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hidden="1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hidden="1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hidden="1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hidden="1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hidden="1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hidden="1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hidden="1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hidden="1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hidden="1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hidden="1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hidden="1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hidden="1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hidden="1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hidden="1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hidden="1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hidden="1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hidden="1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hidden="1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hidden="1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hidden="1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hidden="1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hidden="1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hidden="1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hidden="1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hidden="1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hidden="1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hidden="1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hidden="1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hidden="1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hidden="1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hidden="1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hidden="1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hidden="1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hidden="1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hidden="1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hidden="1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hidden="1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hidden="1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hidden="1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hidden="1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hidden="1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hidden="1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hidden="1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hidden="1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hidden="1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hidden="1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hidden="1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hidden="1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hidden="1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hidden="1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hidden="1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hidden="1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hidden="1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hidden="1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hidden="1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hidden="1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hidden="1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hidden="1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hidden="1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hidden="1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hidden="1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hidden="1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hidden="1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hidden="1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hidden="1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hidden="1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hidden="1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hidden="1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hidden="1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hidden="1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hidden="1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hidden="1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hidden="1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hidden="1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hidden="1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hidden="1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hidden="1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hidden="1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hidden="1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hidden="1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hidden="1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hidden="1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hidden="1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hidden="1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hidden="1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hidden="1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hidden="1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hidden="1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hidden="1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hidden="1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hidden="1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hidden="1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hidden="1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hidden="1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hidden="1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hidden="1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hidden="1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hidden="1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hidden="1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hidden="1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hidden="1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hidden="1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hidden="1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hidden="1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hidden="1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hidden="1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hidden="1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hidden="1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hidden="1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hidden="1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hidden="1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hidden="1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hidden="1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hidden="1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hidden="1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hidden="1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hidden="1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hidden="1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hidden="1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hidden="1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hidden="1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hidden="1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hidden="1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hidden="1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hidden="1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hidden="1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hidden="1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hidden="1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hidden="1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hidden="1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hidden="1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hidden="1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hidden="1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hidden="1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hidden="1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hidden="1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hidden="1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hidden="1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hidden="1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hidden="1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hidden="1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hidden="1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hidden="1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hidden="1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hidden="1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hidden="1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hidden="1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hidden="1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hidden="1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hidden="1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hidden="1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hidden="1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hidden="1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hidden="1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hidden="1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hidden="1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hidden="1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hidden="1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hidden="1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hidden="1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hidden="1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hidden="1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hidden="1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hidden="1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hidden="1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hidden="1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hidden="1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hidden="1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hidden="1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hidden="1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hidden="1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hidden="1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hidden="1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hidden="1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hidden="1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hidden="1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hidden="1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hidden="1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hidden="1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hidden="1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hidden="1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hidden="1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hidden="1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hidden="1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hidden="1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hidden="1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hidden="1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hidden="1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hidden="1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hidden="1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hidden="1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hidden="1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hidden="1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hidden="1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hidden="1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hidden="1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hidden="1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hidden="1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hidden="1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hidden="1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hidden="1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hidden="1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hidden="1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hidden="1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hidden="1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hidden="1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hidden="1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hidden="1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hidden="1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hidden="1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hidden="1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hidden="1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hidden="1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hidden="1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hidden="1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hidden="1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hidden="1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hidden="1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hidden="1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hidden="1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hidden="1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hidden="1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hidden="1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hidden="1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hidden="1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hidden="1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hidden="1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hidden="1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hidden="1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hidden="1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hidden="1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hidden="1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hidden="1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hidden="1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hidden="1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hidden="1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hidden="1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hidden="1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hidden="1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hidden="1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hidden="1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hidden="1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hidden="1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hidden="1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hidden="1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hidden="1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hidden="1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hidden="1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hidden="1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hidden="1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hidden="1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hidden="1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hidden="1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hidden="1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hidden="1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hidden="1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hidden="1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hidden="1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hidden="1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hidden="1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hidden="1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hidden="1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hidden="1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hidden="1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hidden="1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hidden="1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hidden="1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hidden="1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hidden="1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hidden="1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hidden="1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hidden="1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hidden="1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hidden="1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hidden="1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hidden="1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hidden="1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hidden="1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hidden="1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hidden="1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hidden="1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hidden="1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hidden="1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hidden="1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hidden="1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hidden="1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hidden="1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hidden="1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hidden="1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hidden="1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hidden="1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hidden="1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hidden="1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hidden="1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hidden="1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hidden="1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hidden="1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hidden="1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hidden="1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hidden="1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hidden="1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hidden="1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hidden="1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hidden="1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hidden="1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hidden="1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hidden="1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hidden="1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hidden="1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hidden="1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hidden="1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hidden="1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hidden="1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hidden="1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hidden="1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hidden="1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hidden="1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hidden="1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hidden="1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hidden="1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hidden="1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hidden="1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hidden="1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hidden="1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hidden="1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hidden="1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hidden="1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hidden="1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hidden="1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hidden="1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hidden="1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hidden="1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hidden="1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hidden="1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hidden="1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hidden="1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hidden="1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hidden="1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hidden="1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hidden="1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hidden="1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hidden="1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hidden="1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hidden="1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hidden="1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hidden="1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hidden="1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hidden="1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hidden="1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hidden="1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hidden="1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hidden="1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hidden="1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hidden="1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hidden="1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hidden="1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hidden="1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hidden="1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hidden="1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hidden="1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hidden="1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hidden="1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hidden="1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hidden="1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hidden="1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hidden="1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hidden="1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hidden="1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hidden="1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hidden="1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hidden="1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hidden="1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hidden="1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hidden="1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hidden="1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hidden="1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hidden="1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hidden="1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hidden="1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hidden="1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hidden="1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hidden="1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hidden="1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hidden="1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hidden="1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hidden="1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hidden="1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hidden="1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hidden="1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hidden="1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hidden="1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hidden="1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hidden="1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hidden="1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hidden="1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hidden="1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hidden="1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hidden="1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hidden="1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hidden="1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hidden="1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hidden="1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hidden="1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hidden="1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hidden="1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hidden="1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hidden="1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hidden="1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hidden="1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hidden="1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hidden="1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hidden="1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hidden="1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hidden="1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hidden="1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hidden="1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hidden="1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hidden="1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hidden="1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hidden="1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hidden="1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hidden="1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hidden="1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hidden="1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hidden="1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hidden="1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hidden="1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hidden="1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hidden="1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hidden="1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hidden="1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hidden="1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hidden="1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hidden="1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hidden="1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hidden="1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hidden="1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hidden="1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hidden="1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hidden="1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hidden="1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hidden="1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hidden="1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hidden="1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hidden="1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hidden="1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hidden="1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hidden="1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hidden="1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hidden="1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hidden="1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hidden="1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hidden="1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hidden="1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hidden="1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hidden="1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hidden="1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hidden="1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hidden="1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hidden="1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hidden="1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hidden="1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hidden="1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hidden="1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hidden="1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hidden="1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hidden="1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hidden="1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hidden="1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hidden="1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hidden="1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hidden="1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hidden="1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hidden="1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hidden="1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hidden="1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hidden="1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hidden="1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hidden="1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hidden="1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hidden="1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hidden="1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hidden="1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hidden="1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hidden="1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hidden="1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hidden="1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hidden="1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hidden="1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hidden="1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hidden="1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hidden="1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hidden="1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hidden="1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hidden="1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hidden="1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hidden="1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hidden="1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hidden="1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hidden="1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hidden="1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hidden="1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hidden="1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hidden="1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hidden="1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hidden="1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hidden="1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hidden="1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hidden="1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hidden="1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hidden="1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hidden="1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hidden="1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hidden="1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hidden="1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hidden="1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hidden="1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hidden="1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hidden="1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hidden="1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hidden="1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hidden="1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hidden="1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hidden="1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hidden="1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hidden="1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hidden="1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hidden="1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hidden="1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hidden="1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hidden="1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hidden="1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hidden="1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hidden="1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hidden="1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hidden="1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hidden="1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hidden="1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hidden="1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hidden="1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hidden="1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hidden="1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hidden="1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hidden="1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hidden="1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hidden="1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hidden="1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hidden="1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hidden="1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hidden="1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hidden="1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hidden="1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hidden="1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hidden="1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hidden="1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hidden="1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hidden="1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hidden="1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hidden="1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hidden="1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hidden="1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hidden="1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hidden="1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hidden="1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hidden="1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hidden="1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hidden="1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hidden="1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hidden="1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hidden="1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hidden="1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hidden="1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hidden="1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hidden="1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hidden="1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hidden="1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hidden="1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hidden="1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hidden="1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hidden="1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hidden="1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hidden="1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hidden="1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hidden="1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hidden="1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hidden="1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hidden="1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hidden="1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hidden="1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hidden="1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hidden="1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hidden="1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hidden="1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hidden="1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hidden="1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hidden="1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hidden="1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hidden="1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hidden="1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hidden="1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hidden="1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hidden="1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hidden="1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hidden="1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hidden="1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hidden="1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hidden="1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hidden="1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hidden="1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hidden="1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hidden="1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hidden="1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hidden="1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hidden="1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hidden="1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hidden="1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hidden="1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hidden="1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hidden="1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hidden="1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hidden="1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hidden="1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hidden="1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hidden="1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hidden="1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hidden="1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hidden="1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hidden="1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hidden="1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hidden="1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hidden="1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hidden="1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hidden="1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hidden="1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hidden="1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hidden="1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hidden="1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hidden="1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hidden="1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hidden="1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hidden="1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hidden="1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hidden="1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hidden="1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hidden="1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hidden="1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hidden="1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hidden="1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hidden="1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hidden="1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hidden="1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hidden="1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hidden="1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hidden="1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hidden="1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hidden="1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hidden="1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hidden="1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hidden="1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hidden="1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hidden="1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hidden="1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hidden="1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hidden="1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hidden="1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hidden="1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hidden="1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hidden="1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hidden="1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hidden="1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hidden="1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hidden="1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hidden="1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hidden="1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hidden="1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hidden="1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hidden="1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hidden="1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hidden="1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hidden="1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hidden="1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hidden="1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hidden="1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hidden="1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hidden="1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hidden="1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hidden="1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hidden="1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hidden="1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hidden="1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hidden="1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hidden="1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hidden="1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hidden="1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hidden="1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hidden="1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hidden="1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hidden="1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hidden="1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hidden="1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hidden="1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hidden="1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hidden="1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hidden="1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hidden="1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hidden="1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hidden="1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hidden="1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hidden="1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hidden="1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hidden="1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hidden="1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hidden="1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hidden="1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hidden="1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hidden="1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hidden="1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hidden="1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hidden="1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hidden="1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hidden="1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hidden="1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hidden="1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hidden="1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hidden="1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hidden="1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hidden="1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hidden="1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hidden="1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hidden="1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hidden="1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hidden="1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hidden="1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hidden="1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hidden="1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hidden="1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hidden="1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hidden="1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hidden="1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hidden="1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hidden="1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hidden="1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hidden="1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hidden="1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hidden="1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hidden="1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hidden="1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hidden="1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hidden="1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hidden="1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hidden="1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hidden="1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hidden="1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hidden="1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hidden="1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hidden="1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hidden="1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hidden="1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hidden="1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hidden="1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hidden="1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hidden="1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hidden="1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hidden="1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hidden="1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hidden="1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hidden="1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hidden="1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hidden="1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hidden="1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hidden="1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hidden="1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hidden="1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hidden="1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hidden="1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hidden="1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hidden="1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hidden="1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hidden="1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hidden="1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hidden="1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hidden="1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hidden="1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hidden="1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hidden="1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hidden="1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hidden="1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hidden="1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hidden="1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hidden="1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hidden="1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hidden="1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hidden="1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hidden="1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hidden="1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hidden="1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hidden="1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hidden="1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hidden="1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hidden="1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hidden="1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hidden="1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hidden="1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hidden="1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hidden="1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hidden="1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hidden="1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hidden="1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hidden="1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hidden="1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hidden="1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hidden="1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hidden="1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hidden="1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hidden="1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hidden="1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hidden="1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hidden="1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hidden="1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hidden="1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hidden="1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hidden="1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hidden="1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hidden="1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hidden="1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hidden="1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hidden="1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hidden="1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hidden="1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hidden="1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hidden="1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hidden="1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hidden="1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hidden="1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hidden="1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hidden="1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hidden="1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hidden="1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hidden="1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hidden="1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hidden="1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hidden="1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hidden="1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hidden="1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hidden="1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hidden="1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hidden="1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hidden="1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hidden="1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hidden="1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hidden="1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hidden="1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hidden="1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hidden="1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hidden="1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hidden="1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hidden="1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hidden="1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hidden="1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hidden="1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hidden="1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hidden="1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hidden="1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hidden="1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hidden="1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hidden="1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hidden="1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hidden="1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hidden="1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hidden="1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hidden="1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hidden="1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hidden="1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hidden="1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hidden="1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hidden="1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hidden="1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hidden="1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hidden="1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hidden="1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hidden="1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hidden="1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hidden="1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hidden="1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hidden="1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hidden="1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hidden="1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hidden="1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hidden="1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hidden="1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hidden="1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hidden="1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hidden="1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hidden="1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hidden="1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hidden="1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hidden="1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hidden="1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hidden="1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hidden="1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hidden="1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hidden="1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hidden="1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hidden="1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hidden="1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hidden="1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hidden="1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hidden="1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hidden="1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hidden="1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hidden="1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hidden="1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hidden="1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hidden="1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hidden="1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hidden="1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hidden="1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hidden="1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hidden="1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hidden="1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hidden="1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hidden="1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hidden="1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hidden="1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hidden="1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hidden="1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hidden="1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hidden="1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hidden="1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hidden="1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hidden="1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hidden="1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hidden="1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hidden="1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hidden="1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hidden="1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hidden="1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hidden="1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hidden="1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hidden="1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hidden="1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hidden="1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hidden="1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hidden="1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hidden="1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hidden="1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hidden="1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hidden="1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hidden="1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hidden="1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hidden="1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hidden="1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hidden="1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hidden="1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hidden="1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hidden="1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hidden="1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hidden="1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hidden="1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hidden="1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hidden="1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hidden="1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hidden="1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hidden="1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hidden="1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hidden="1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hidden="1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hidden="1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hidden="1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hidden="1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hidden="1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hidden="1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hidden="1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hidden="1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hidden="1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hidden="1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hidden="1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hidden="1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hidden="1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hidden="1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hidden="1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hidden="1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hidden="1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hidden="1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hidden="1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hidden="1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hidden="1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hidden="1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hidden="1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hidden="1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hidden="1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hidden="1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hidden="1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hidden="1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hidden="1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hidden="1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hidden="1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hidden="1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hidden="1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hidden="1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hidden="1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hidden="1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hidden="1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hidden="1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hidden="1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hidden="1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hidden="1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hidden="1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hidden="1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hidden="1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hidden="1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hidden="1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hidden="1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hidden="1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hidden="1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hidden="1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hidden="1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hidden="1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hidden="1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hidden="1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hidden="1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hidden="1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hidden="1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hidden="1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hidden="1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hidden="1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hidden="1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hidden="1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hidden="1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hidden="1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hidden="1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hidden="1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hidden="1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hidden="1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hidden="1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hidden="1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hidden="1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hidden="1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hidden="1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hidden="1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hidden="1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hidden="1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hidden="1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hidden="1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hidden="1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hidden="1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hidden="1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hidden="1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hidden="1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hidden="1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hidden="1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hidden="1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hidden="1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hidden="1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hidden="1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hidden="1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hidden="1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hidden="1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hidden="1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hidden="1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hidden="1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hidden="1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hidden="1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hidden="1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hidden="1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hidden="1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hidden="1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hidden="1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hidden="1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hidden="1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hidden="1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hidden="1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hidden="1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hidden="1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hidden="1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hidden="1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hidden="1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hidden="1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hidden="1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hidden="1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hidden="1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hidden="1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hidden="1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hidden="1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hidden="1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hidden="1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hidden="1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hidden="1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hidden="1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hidden="1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hidden="1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hidden="1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hidden="1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hidden="1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hidden="1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hidden="1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hidden="1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hidden="1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hidden="1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hidden="1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hidden="1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hidden="1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hidden="1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hidden="1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hidden="1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hidden="1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hidden="1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hidden="1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hidden="1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hidden="1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hidden="1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hidden="1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hidden="1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hidden="1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hidden="1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hidden="1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hidden="1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hidden="1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hidden="1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hidden="1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hidden="1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hidden="1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hidden="1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hidden="1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hidden="1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hidden="1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hidden="1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hidden="1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hidden="1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hidden="1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hidden="1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hidden="1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hidden="1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hidden="1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hidden="1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hidden="1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hidden="1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hidden="1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hidden="1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hidden="1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hidden="1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hidden="1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hidden="1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hidden="1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hidden="1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hidden="1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hidden="1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hidden="1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hidden="1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hidden="1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hidden="1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hidden="1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hidden="1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hidden="1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hidden="1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hidden="1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hidden="1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hidden="1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hidden="1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hidden="1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hidden="1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hidden="1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hidden="1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hidden="1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hidden="1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hidden="1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hidden="1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hidden="1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hidden="1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hidden="1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hidden="1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hidden="1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hidden="1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hidden="1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hidden="1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hidden="1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hidden="1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hidden="1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hidden="1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hidden="1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hidden="1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hidden="1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hidden="1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hidden="1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hidden="1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hidden="1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hidden="1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hidden="1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hidden="1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hidden="1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hidden="1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hidden="1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hidden="1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hidden="1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hidden="1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hidden="1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hidden="1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hidden="1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hidden="1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hidden="1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hidden="1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hidden="1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hidden="1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hidden="1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hidden="1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hidden="1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hidden="1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hidden="1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hidden="1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hidden="1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hidden="1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hidden="1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hidden="1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hidden="1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hidden="1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hidden="1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hidden="1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hidden="1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hidden="1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hidden="1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hidden="1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hidden="1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hidden="1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hidden="1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hidden="1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hidden="1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hidden="1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hidden="1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hidden="1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hidden="1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hidden="1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hidden="1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hidden="1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hidden="1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hidden="1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hidden="1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hidden="1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hidden="1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hidden="1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hidden="1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hidden="1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hidden="1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hidden="1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hidden="1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hidden="1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hidden="1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hidden="1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hidden="1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hidden="1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hidden="1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hidden="1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hidden="1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hidden="1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hidden="1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hidden="1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hidden="1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hidden="1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hidden="1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hidden="1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hidden="1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hidden="1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hidden="1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hidden="1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hidden="1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hidden="1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hidden="1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hidden="1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hidden="1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hidden="1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hidden="1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hidden="1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hidden="1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hidden="1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hidden="1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hidden="1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hidden="1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hidden="1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hidden="1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hidden="1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hidden="1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hidden="1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hidden="1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hidden="1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hidden="1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hidden="1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hidden="1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hidden="1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hidden="1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hidden="1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hidden="1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hidden="1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hidden="1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hidden="1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hidden="1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hidden="1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hidden="1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hidden="1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hidden="1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hidden="1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hidden="1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hidden="1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hidden="1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hidden="1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hidden="1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hidden="1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hidden="1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hidden="1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hidden="1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hidden="1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hidden="1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hidden="1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hidden="1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hidden="1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hidden="1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hidden="1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hidden="1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hidden="1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hidden="1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hidden="1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hidden="1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hidden="1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hidden="1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hidden="1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hidden="1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hidden="1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hidden="1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hidden="1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hidden="1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hidden="1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hidden="1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hidden="1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hidden="1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hidden="1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hidden="1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hidden="1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hidden="1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hidden="1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hidden="1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hidden="1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hidden="1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hidden="1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hidden="1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hidden="1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hidden="1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hidden="1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hidden="1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hidden="1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hidden="1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hidden="1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hidden="1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hidden="1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hidden="1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hidden="1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hidden="1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hidden="1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hidden="1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hidden="1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hidden="1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hidden="1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hidden="1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hidden="1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hidden="1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hidden="1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hidden="1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hidden="1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hidden="1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hidden="1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hidden="1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hidden="1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hidden="1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hidden="1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hidden="1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hidden="1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hidden="1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hidden="1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hidden="1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hidden="1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hidden="1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hidden="1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hidden="1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hidden="1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hidden="1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hidden="1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hidden="1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hidden="1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hidden="1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hidden="1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hidden="1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hidden="1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hidden="1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hidden="1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hidden="1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hidden="1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hidden="1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hidden="1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hidden="1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hidden="1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hidden="1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hidden="1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hidden="1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hidden="1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hidden="1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hidden="1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hidden="1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hidden="1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hidden="1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hidden="1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hidden="1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hidden="1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hidden="1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hidden="1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hidden="1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hidden="1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hidden="1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hidden="1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hidden="1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hidden="1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hidden="1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hidden="1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hidden="1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hidden="1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hidden="1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hidden="1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hidden="1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hidden="1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hidden="1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hidden="1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hidden="1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hidden="1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hidden="1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hidden="1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hidden="1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hidden="1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hidden="1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hidden="1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hidden="1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hidden="1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hidden="1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hidden="1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hidden="1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hidden="1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hidden="1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hidden="1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hidden="1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hidden="1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hidden="1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hidden="1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hidden="1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hidden="1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hidden="1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hidden="1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hidden="1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hidden="1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hidden="1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hidden="1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hidden="1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hidden="1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hidden="1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hidden="1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hidden="1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hidden="1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hidden="1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hidden="1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hidden="1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hidden="1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hidden="1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hidden="1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hidden="1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hidden="1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hidden="1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hidden="1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hidden="1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hidden="1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hidden="1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hidden="1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hidden="1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hidden="1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hidden="1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hidden="1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hidden="1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hidden="1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hidden="1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hidden="1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hidden="1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hidden="1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hidden="1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hidden="1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hidden="1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hidden="1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hidden="1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hidden="1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hidden="1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hidden="1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hidden="1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hidden="1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hidden="1" x14ac:dyDescent="0.25">
      <c r="A4382" s="1">
        <v>1</v>
      </c>
      <c r="B4382" s="159"/>
      <c r="C4382" s="1" t="s">
        <v>2552</v>
      </c>
      <c r="D4382" s="1"/>
      <c r="E4382" s="1"/>
      <c r="F4382" s="1" t="s">
        <v>3736</v>
      </c>
      <c r="G4382" s="1">
        <v>47</v>
      </c>
      <c r="H4382" s="1" t="s">
        <v>19</v>
      </c>
      <c r="I4382" s="1" t="s">
        <v>3737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hidden="1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3737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hidden="1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3737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hidden="1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3737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hidden="1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3737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hidden="1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3737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hidden="1" x14ac:dyDescent="0.25">
      <c r="A4388" s="1">
        <v>6</v>
      </c>
      <c r="B4388" s="159"/>
      <c r="C4388" s="1" t="s">
        <v>3738</v>
      </c>
      <c r="D4388" s="1"/>
      <c r="E4388" s="1"/>
      <c r="F4388" s="1" t="s">
        <v>3739</v>
      </c>
      <c r="G4388" s="1">
        <v>2</v>
      </c>
      <c r="H4388" s="1" t="s">
        <v>19</v>
      </c>
      <c r="I4388" s="1" t="s">
        <v>3740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hidden="1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3741</v>
      </c>
      <c r="G4389" s="1">
        <v>4</v>
      </c>
      <c r="H4389" s="1" t="s">
        <v>19</v>
      </c>
      <c r="I4389" s="1" t="s">
        <v>3737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hidden="1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3737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hidden="1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3737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hidden="1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3737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hidden="1" x14ac:dyDescent="0.25">
      <c r="A4393" s="1">
        <v>5</v>
      </c>
      <c r="B4393" s="159"/>
      <c r="C4393" s="1" t="s">
        <v>3742</v>
      </c>
      <c r="D4393" s="1"/>
      <c r="E4393" s="1"/>
      <c r="F4393" s="1" t="s">
        <v>3743</v>
      </c>
      <c r="G4393" s="1">
        <v>1</v>
      </c>
      <c r="H4393" s="1" t="s">
        <v>19</v>
      </c>
      <c r="I4393" s="1" t="s">
        <v>3737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hidden="1" x14ac:dyDescent="0.25">
      <c r="A4394" s="1">
        <v>6</v>
      </c>
      <c r="B4394" s="159"/>
      <c r="C4394" s="1" t="s">
        <v>3742</v>
      </c>
      <c r="D4394" s="1"/>
      <c r="E4394" s="1"/>
      <c r="F4394" s="1" t="s">
        <v>3744</v>
      </c>
      <c r="G4394" s="1">
        <v>18</v>
      </c>
      <c r="H4394" s="1" t="s">
        <v>19</v>
      </c>
      <c r="I4394" s="1" t="s">
        <v>3737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hidden="1" x14ac:dyDescent="0.25">
      <c r="A4395" s="1">
        <v>7</v>
      </c>
      <c r="B4395" s="159"/>
      <c r="C4395" s="1" t="s">
        <v>3742</v>
      </c>
      <c r="D4395" s="1"/>
      <c r="E4395" s="1"/>
      <c r="F4395" s="1" t="s">
        <v>3745</v>
      </c>
      <c r="G4395" s="1">
        <v>1</v>
      </c>
      <c r="H4395" s="1" t="s">
        <v>19</v>
      </c>
      <c r="I4395" s="1" t="s">
        <v>3737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hidden="1" x14ac:dyDescent="0.25">
      <c r="A4396" s="1">
        <v>8</v>
      </c>
      <c r="B4396" s="159"/>
      <c r="C4396" s="1" t="s">
        <v>3742</v>
      </c>
      <c r="D4396" s="1"/>
      <c r="E4396" s="1"/>
      <c r="F4396" s="1" t="s">
        <v>3746</v>
      </c>
      <c r="G4396" s="1">
        <v>1</v>
      </c>
      <c r="H4396" s="1" t="s">
        <v>19</v>
      </c>
      <c r="I4396" s="1" t="s">
        <v>3737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hidden="1" x14ac:dyDescent="0.25">
      <c r="A4397" s="1">
        <v>9</v>
      </c>
      <c r="B4397" s="159"/>
      <c r="C4397" s="1" t="s">
        <v>3742</v>
      </c>
      <c r="D4397" s="1"/>
      <c r="E4397" s="1"/>
      <c r="F4397" s="1" t="s">
        <v>3747</v>
      </c>
      <c r="G4397" s="1">
        <v>1</v>
      </c>
      <c r="H4397" s="1" t="s">
        <v>19</v>
      </c>
      <c r="I4397" s="1" t="s">
        <v>3737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hidden="1" x14ac:dyDescent="0.25">
      <c r="A4398" s="1">
        <v>10</v>
      </c>
      <c r="B4398" s="159"/>
      <c r="C4398" s="1" t="s">
        <v>3742</v>
      </c>
      <c r="D4398" s="1"/>
      <c r="E4398" s="1"/>
      <c r="F4398" s="1" t="s">
        <v>3748</v>
      </c>
      <c r="G4398" s="1">
        <v>1</v>
      </c>
      <c r="H4398" s="1" t="s">
        <v>19</v>
      </c>
      <c r="I4398" s="1" t="s">
        <v>3737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hidden="1" x14ac:dyDescent="0.25">
      <c r="A4399" s="1">
        <v>11</v>
      </c>
      <c r="B4399" s="159"/>
      <c r="C4399" s="1" t="s">
        <v>3742</v>
      </c>
      <c r="D4399" s="1"/>
      <c r="E4399" s="1"/>
      <c r="F4399" s="1" t="s">
        <v>3749</v>
      </c>
      <c r="G4399" s="1">
        <v>1</v>
      </c>
      <c r="H4399" s="1" t="s">
        <v>19</v>
      </c>
      <c r="I4399" s="1" t="s">
        <v>3737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hidden="1" x14ac:dyDescent="0.25">
      <c r="A4400" s="1">
        <v>12</v>
      </c>
      <c r="B4400" s="159"/>
      <c r="C4400" s="1" t="s">
        <v>3750</v>
      </c>
      <c r="D4400" s="1"/>
      <c r="E4400" s="1"/>
      <c r="F4400" s="1" t="s">
        <v>3751</v>
      </c>
      <c r="G4400" s="1">
        <v>1</v>
      </c>
      <c r="H4400" s="1" t="s">
        <v>19</v>
      </c>
      <c r="I4400" s="1" t="s">
        <v>3737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hidden="1" x14ac:dyDescent="0.25">
      <c r="A4401" s="1">
        <v>13</v>
      </c>
      <c r="B4401" s="159"/>
      <c r="C4401" s="1" t="s">
        <v>3750</v>
      </c>
      <c r="D4401" s="1"/>
      <c r="E4401" s="1"/>
      <c r="F4401" s="1" t="s">
        <v>3752</v>
      </c>
      <c r="G4401" s="1">
        <v>1</v>
      </c>
      <c r="H4401" s="1" t="s">
        <v>19</v>
      </c>
      <c r="I4401" s="1" t="s">
        <v>3737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hidden="1" x14ac:dyDescent="0.25">
      <c r="A4402" s="1">
        <v>14</v>
      </c>
      <c r="B4402" s="159"/>
      <c r="C4402" s="1" t="s">
        <v>3750</v>
      </c>
      <c r="D4402" s="1"/>
      <c r="E4402" s="1"/>
      <c r="F4402" s="1" t="s">
        <v>3753</v>
      </c>
      <c r="G4402" s="1">
        <v>8</v>
      </c>
      <c r="H4402" s="1" t="s">
        <v>19</v>
      </c>
      <c r="I4402" s="1" t="s">
        <v>3737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hidden="1" x14ac:dyDescent="0.25">
      <c r="A4403" s="1">
        <v>15</v>
      </c>
      <c r="B4403" s="159"/>
      <c r="C4403" s="1" t="s">
        <v>3750</v>
      </c>
      <c r="D4403" s="1"/>
      <c r="E4403" s="1"/>
      <c r="F4403" s="1" t="s">
        <v>3754</v>
      </c>
      <c r="G4403" s="1">
        <v>1</v>
      </c>
      <c r="H4403" s="1" t="s">
        <v>19</v>
      </c>
      <c r="I4403" s="1" t="s">
        <v>3737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hidden="1" x14ac:dyDescent="0.25">
      <c r="A4404" s="1">
        <v>16</v>
      </c>
      <c r="B4404" s="159"/>
      <c r="C4404" s="1" t="s">
        <v>3750</v>
      </c>
      <c r="D4404" s="1"/>
      <c r="E4404" s="1"/>
      <c r="F4404" s="1" t="s">
        <v>3755</v>
      </c>
      <c r="G4404" s="1">
        <v>1</v>
      </c>
      <c r="H4404" s="1" t="s">
        <v>19</v>
      </c>
      <c r="I4404" s="1" t="s">
        <v>3737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hidden="1" x14ac:dyDescent="0.25">
      <c r="A4405" s="1">
        <v>17</v>
      </c>
      <c r="B4405" s="159"/>
      <c r="C4405" s="1" t="s">
        <v>3750</v>
      </c>
      <c r="D4405" s="1"/>
      <c r="E4405" s="1"/>
      <c r="F4405" s="1" t="s">
        <v>3756</v>
      </c>
      <c r="G4405" s="1">
        <v>1</v>
      </c>
      <c r="H4405" s="1" t="s">
        <v>19</v>
      </c>
      <c r="I4405" s="1" t="s">
        <v>3737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hidden="1" x14ac:dyDescent="0.25">
      <c r="A4406" s="1">
        <v>18</v>
      </c>
      <c r="B4406" s="159"/>
      <c r="C4406" s="1" t="s">
        <v>3750</v>
      </c>
      <c r="D4406" s="1"/>
      <c r="E4406" s="1"/>
      <c r="F4406" s="1" t="s">
        <v>3757</v>
      </c>
      <c r="G4406" s="1">
        <v>1</v>
      </c>
      <c r="H4406" s="1" t="s">
        <v>19</v>
      </c>
      <c r="I4406" s="1" t="s">
        <v>3737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hidden="1" x14ac:dyDescent="0.25">
      <c r="A4407" s="1">
        <v>1</v>
      </c>
      <c r="B4407" s="204">
        <v>4039</v>
      </c>
      <c r="C4407" s="1" t="s">
        <v>3758</v>
      </c>
      <c r="D4407" s="1"/>
      <c r="E4407" s="1" t="s">
        <v>2</v>
      </c>
      <c r="F4407" s="1" t="s">
        <v>3760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hidden="1" x14ac:dyDescent="0.25">
      <c r="A4408" s="1">
        <v>2</v>
      </c>
      <c r="B4408" s="159">
        <v>4040</v>
      </c>
      <c r="C4408" s="1" t="s">
        <v>3758</v>
      </c>
      <c r="D4408" s="1"/>
      <c r="E4408" s="1" t="s">
        <v>2</v>
      </c>
      <c r="F4408" s="1" t="s">
        <v>3760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hidden="1" x14ac:dyDescent="0.25">
      <c r="A4409" s="1">
        <v>3</v>
      </c>
      <c r="B4409" s="159">
        <v>4053</v>
      </c>
      <c r="C4409" s="1" t="s">
        <v>3773</v>
      </c>
      <c r="D4409" s="1"/>
      <c r="E4409" s="1" t="s">
        <v>2</v>
      </c>
      <c r="F4409" s="1" t="s">
        <v>3760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hidden="1" x14ac:dyDescent="0.25">
      <c r="A4410" s="1">
        <v>4</v>
      </c>
      <c r="B4410" s="159">
        <v>4053</v>
      </c>
      <c r="C4410" s="1" t="s">
        <v>3773</v>
      </c>
      <c r="D4410" s="1"/>
      <c r="E4410" s="1" t="s">
        <v>2</v>
      </c>
      <c r="F4410" s="1" t="s">
        <v>3760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hidden="1" x14ac:dyDescent="0.25">
      <c r="A4411" s="1">
        <v>5</v>
      </c>
      <c r="B4411" s="159"/>
      <c r="C4411" s="1" t="s">
        <v>3764</v>
      </c>
      <c r="D4411" s="1"/>
      <c r="E4411" s="1" t="s">
        <v>746</v>
      </c>
      <c r="F4411" s="1" t="s">
        <v>4073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hidden="1" x14ac:dyDescent="0.25">
      <c r="A4412" s="1">
        <v>6</v>
      </c>
      <c r="B4412" s="159"/>
      <c r="C4412" s="1" t="s">
        <v>3764</v>
      </c>
      <c r="D4412" s="1"/>
      <c r="E4412" s="1" t="s">
        <v>746</v>
      </c>
      <c r="F4412" s="1" t="s">
        <v>4073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hidden="1" x14ac:dyDescent="0.25">
      <c r="A4413" s="1">
        <v>1</v>
      </c>
      <c r="B4413" s="159"/>
      <c r="C4413" s="1" t="s">
        <v>4074</v>
      </c>
      <c r="D4413" s="1"/>
      <c r="E4413" s="1"/>
      <c r="F4413" s="1" t="s">
        <v>4075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hidden="1" x14ac:dyDescent="0.25">
      <c r="A4414" s="1">
        <v>2</v>
      </c>
      <c r="B4414" s="159"/>
      <c r="C4414" s="1" t="s">
        <v>4074</v>
      </c>
      <c r="D4414" s="1"/>
      <c r="E4414" s="1"/>
      <c r="F4414" s="1" t="s">
        <v>4076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hidden="1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hidden="1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hidden="1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hidden="1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hidden="1" x14ac:dyDescent="0.25">
      <c r="A4419" s="1">
        <v>5</v>
      </c>
      <c r="B4419" s="159"/>
      <c r="C4419" s="1" t="s">
        <v>4077</v>
      </c>
      <c r="D4419" s="1"/>
      <c r="E4419" s="1" t="s">
        <v>2</v>
      </c>
      <c r="F4419" s="1" t="s">
        <v>4078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hidden="1" x14ac:dyDescent="0.25">
      <c r="A4420" s="1">
        <v>6</v>
      </c>
      <c r="B4420" s="159"/>
      <c r="C4420" s="1" t="s">
        <v>4077</v>
      </c>
      <c r="D4420" s="1"/>
      <c r="E4420" s="1" t="s">
        <v>2</v>
      </c>
      <c r="F4420" s="1" t="s">
        <v>4078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hidden="1" x14ac:dyDescent="0.25">
      <c r="A4421" s="1">
        <v>7</v>
      </c>
      <c r="B4421" s="159"/>
      <c r="C4421" s="1" t="s">
        <v>4079</v>
      </c>
      <c r="D4421" s="1"/>
      <c r="E4421" s="1" t="s">
        <v>2</v>
      </c>
      <c r="F4421" s="1" t="s">
        <v>4080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hidden="1" x14ac:dyDescent="0.25">
      <c r="A4422" s="1">
        <v>8</v>
      </c>
      <c r="B4422" s="159"/>
      <c r="C4422" s="1" t="s">
        <v>4079</v>
      </c>
      <c r="D4422" s="1"/>
      <c r="E4422" s="1" t="s">
        <v>2</v>
      </c>
      <c r="F4422" s="1" t="s">
        <v>4080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hidden="1" x14ac:dyDescent="0.25">
      <c r="A4423" s="1">
        <v>9</v>
      </c>
      <c r="B4423" s="159"/>
      <c r="C4423" s="1" t="s">
        <v>4081</v>
      </c>
      <c r="D4423" s="1"/>
      <c r="E4423" s="1"/>
      <c r="F4423" s="1" t="s">
        <v>4082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hidden="1" x14ac:dyDescent="0.25">
      <c r="A4424" s="1">
        <v>10</v>
      </c>
      <c r="B4424" s="159"/>
      <c r="C4424" s="1" t="s">
        <v>4081</v>
      </c>
      <c r="D4424" s="1"/>
      <c r="E4424" s="1"/>
      <c r="F4424" s="1" t="s">
        <v>4082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hidden="1" x14ac:dyDescent="0.25">
      <c r="A4425" s="1">
        <v>11</v>
      </c>
      <c r="B4425" s="159"/>
      <c r="C4425" s="1" t="s">
        <v>4081</v>
      </c>
      <c r="D4425" s="1"/>
      <c r="E4425" s="1"/>
      <c r="F4425" s="1" t="s">
        <v>4083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hidden="1" x14ac:dyDescent="0.25">
      <c r="A4426" s="1">
        <v>12</v>
      </c>
      <c r="B4426" s="159"/>
      <c r="C4426" s="1" t="s">
        <v>4081</v>
      </c>
      <c r="D4426" s="1"/>
      <c r="E4426" s="1"/>
      <c r="F4426" s="1" t="s">
        <v>4083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hidden="1" x14ac:dyDescent="0.25">
      <c r="A4427" s="1">
        <v>13</v>
      </c>
      <c r="B4427" s="159"/>
      <c r="C4427" s="1" t="s">
        <v>4084</v>
      </c>
      <c r="D4427" s="1"/>
      <c r="E4427" s="1"/>
      <c r="F4427" s="1" t="s">
        <v>4085</v>
      </c>
      <c r="G4427" s="1">
        <v>8</v>
      </c>
      <c r="H4427" s="1" t="s">
        <v>19</v>
      </c>
      <c r="I4427" s="1" t="s">
        <v>4086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hidden="1" x14ac:dyDescent="0.25">
      <c r="A4428" s="1">
        <v>14</v>
      </c>
      <c r="B4428" s="159"/>
      <c r="C4428" s="1" t="s">
        <v>4084</v>
      </c>
      <c r="D4428" s="1"/>
      <c r="E4428" s="1"/>
      <c r="F4428" s="1" t="s">
        <v>4087</v>
      </c>
      <c r="G4428" s="1">
        <v>24</v>
      </c>
      <c r="H4428" s="1" t="s">
        <v>19</v>
      </c>
      <c r="I4428" s="1" t="s">
        <v>4086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hidden="1" x14ac:dyDescent="0.25">
      <c r="A4429" s="1">
        <v>15</v>
      </c>
      <c r="B4429" s="159"/>
      <c r="C4429" s="1" t="s">
        <v>4084</v>
      </c>
      <c r="D4429" s="1"/>
      <c r="E4429" s="1"/>
      <c r="F4429" s="1" t="s">
        <v>4088</v>
      </c>
      <c r="G4429" s="1">
        <v>32</v>
      </c>
      <c r="H4429" s="1" t="s">
        <v>19</v>
      </c>
      <c r="I4429" s="1" t="s">
        <v>4086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hidden="1" x14ac:dyDescent="0.25">
      <c r="A4430" s="1">
        <v>16</v>
      </c>
      <c r="B4430" s="159"/>
      <c r="C4430" s="1" t="s">
        <v>4084</v>
      </c>
      <c r="D4430" s="1"/>
      <c r="E4430" s="1"/>
      <c r="F4430" s="1" t="s">
        <v>4089</v>
      </c>
      <c r="G4430" s="1">
        <v>4</v>
      </c>
      <c r="H4430" s="1" t="s">
        <v>19</v>
      </c>
      <c r="I4430" s="1" t="s">
        <v>4086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hidden="1" x14ac:dyDescent="0.25">
      <c r="A4431" s="1">
        <v>17</v>
      </c>
      <c r="B4431" s="159"/>
      <c r="C4431" s="1" t="s">
        <v>4084</v>
      </c>
      <c r="D4431" s="1"/>
      <c r="E4431" s="1"/>
      <c r="F4431" s="1" t="s">
        <v>4090</v>
      </c>
      <c r="G4431" s="1">
        <v>8</v>
      </c>
      <c r="H4431" s="1" t="s">
        <v>19</v>
      </c>
      <c r="I4431" s="1" t="s">
        <v>4086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hidden="1" x14ac:dyDescent="0.25">
      <c r="A4432" s="1">
        <v>18</v>
      </c>
      <c r="B4432" s="159"/>
      <c r="C4432" s="1" t="s">
        <v>4084</v>
      </c>
      <c r="D4432" s="1"/>
      <c r="E4432" s="1"/>
      <c r="F4432" s="1" t="s">
        <v>4085</v>
      </c>
      <c r="G4432" s="1">
        <v>4</v>
      </c>
      <c r="H4432" s="1" t="s">
        <v>19</v>
      </c>
      <c r="I4432" s="1" t="s">
        <v>4086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hidden="1" x14ac:dyDescent="0.25">
      <c r="A4433" s="1">
        <v>19</v>
      </c>
      <c r="B4433" s="159"/>
      <c r="C4433" s="1" t="s">
        <v>4084</v>
      </c>
      <c r="D4433" s="1"/>
      <c r="E4433" s="1"/>
      <c r="F4433" s="1" t="s">
        <v>4091</v>
      </c>
      <c r="G4433" s="1">
        <v>4</v>
      </c>
      <c r="H4433" s="1" t="s">
        <v>19</v>
      </c>
      <c r="I4433" s="1" t="s">
        <v>4086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hidden="1" x14ac:dyDescent="0.25">
      <c r="A4434" s="1">
        <v>20</v>
      </c>
      <c r="B4434" s="159"/>
      <c r="C4434" s="1" t="s">
        <v>4092</v>
      </c>
      <c r="D4434" s="1"/>
      <c r="E4434" s="1"/>
      <c r="F4434" s="1" t="s">
        <v>4093</v>
      </c>
      <c r="G4434" s="1">
        <v>100</v>
      </c>
      <c r="H4434" s="1" t="s">
        <v>19</v>
      </c>
      <c r="I4434" s="1" t="s">
        <v>4086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hidden="1" x14ac:dyDescent="0.25">
      <c r="A4435" s="1">
        <v>21</v>
      </c>
      <c r="B4435" s="159"/>
      <c r="C4435" s="1" t="s">
        <v>4092</v>
      </c>
      <c r="D4435" s="1"/>
      <c r="E4435" s="1"/>
      <c r="F4435" s="1" t="s">
        <v>4094</v>
      </c>
      <c r="G4435" s="1">
        <v>100</v>
      </c>
      <c r="H4435" s="1" t="s">
        <v>19</v>
      </c>
      <c r="I4435" s="1" t="s">
        <v>4086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hidden="1" x14ac:dyDescent="0.25">
      <c r="A4436" s="1">
        <v>22</v>
      </c>
      <c r="B4436" s="159"/>
      <c r="C4436" s="1" t="s">
        <v>3993</v>
      </c>
      <c r="D4436" s="1"/>
      <c r="E4436" s="1"/>
      <c r="F4436" s="1" t="s">
        <v>4095</v>
      </c>
      <c r="G4436" s="1">
        <v>64</v>
      </c>
      <c r="H4436" s="1" t="s">
        <v>19</v>
      </c>
      <c r="I4436" s="1" t="s">
        <v>4086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hidden="1" x14ac:dyDescent="0.25">
      <c r="A4437" s="1">
        <v>23</v>
      </c>
      <c r="B4437" s="159"/>
      <c r="C4437" s="1" t="s">
        <v>4030</v>
      </c>
      <c r="D4437" s="1"/>
      <c r="E4437" s="1"/>
      <c r="F4437" s="1" t="s">
        <v>4096</v>
      </c>
      <c r="G4437" s="1">
        <v>20</v>
      </c>
      <c r="H4437" s="1" t="s">
        <v>19</v>
      </c>
      <c r="I4437" s="1" t="s">
        <v>4086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hidden="1" x14ac:dyDescent="0.25">
      <c r="A4438" s="1">
        <v>24</v>
      </c>
      <c r="B4438" s="159"/>
      <c r="C4438" s="1" t="s">
        <v>4097</v>
      </c>
      <c r="D4438" s="1"/>
      <c r="E4438" s="1"/>
      <c r="F4438" s="1" t="s">
        <v>4098</v>
      </c>
      <c r="G4438" s="1">
        <v>8</v>
      </c>
      <c r="H4438" s="1" t="s">
        <v>19</v>
      </c>
      <c r="I4438" s="1" t="s">
        <v>4086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hidden="1" x14ac:dyDescent="0.25">
      <c r="A4439" s="1">
        <v>25</v>
      </c>
      <c r="B4439" s="159"/>
      <c r="C4439" s="1" t="s">
        <v>4097</v>
      </c>
      <c r="D4439" s="1"/>
      <c r="E4439" s="1"/>
      <c r="F4439" s="1" t="s">
        <v>4099</v>
      </c>
      <c r="G4439" s="1">
        <v>8</v>
      </c>
      <c r="H4439" s="1" t="s">
        <v>19</v>
      </c>
      <c r="I4439" s="1" t="s">
        <v>4086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hidden="1" x14ac:dyDescent="0.25">
      <c r="A4440" s="1">
        <v>26</v>
      </c>
      <c r="B4440" s="159"/>
      <c r="C4440" s="1" t="s">
        <v>4097</v>
      </c>
      <c r="D4440" s="1"/>
      <c r="E4440" s="1"/>
      <c r="F4440" s="1" t="s">
        <v>4100</v>
      </c>
      <c r="G4440" s="1">
        <v>8</v>
      </c>
      <c r="H4440" s="1" t="s">
        <v>19</v>
      </c>
      <c r="I4440" s="1" t="s">
        <v>4086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hidden="1" x14ac:dyDescent="0.25">
      <c r="A4441" s="1">
        <v>27</v>
      </c>
      <c r="B4441" s="159"/>
      <c r="C4441" s="1" t="s">
        <v>4101</v>
      </c>
      <c r="D4441" s="1"/>
      <c r="E4441" s="1"/>
      <c r="F4441" s="1" t="s">
        <v>4102</v>
      </c>
      <c r="G4441" s="1">
        <v>2</v>
      </c>
      <c r="H4441" s="1" t="s">
        <v>19</v>
      </c>
      <c r="I4441" s="1" t="s">
        <v>4086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hidden="1" x14ac:dyDescent="0.25">
      <c r="A4442" s="1">
        <v>28</v>
      </c>
      <c r="B4442" s="159"/>
      <c r="C4442" s="1" t="s">
        <v>4103</v>
      </c>
      <c r="D4442" s="1"/>
      <c r="E4442" s="1"/>
      <c r="F4442" s="1" t="s">
        <v>4104</v>
      </c>
      <c r="G4442" s="1">
        <v>112</v>
      </c>
      <c r="H4442" s="1" t="s">
        <v>19</v>
      </c>
      <c r="I4442" s="1" t="s">
        <v>4086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hidden="1" x14ac:dyDescent="0.25">
      <c r="A4443" s="1">
        <v>29</v>
      </c>
      <c r="B4443" s="159"/>
      <c r="C4443" s="1" t="s">
        <v>4103</v>
      </c>
      <c r="D4443" s="1"/>
      <c r="E4443" s="1"/>
      <c r="F4443" s="1" t="s">
        <v>4105</v>
      </c>
      <c r="G4443" s="1">
        <v>112</v>
      </c>
      <c r="H4443" s="1" t="s">
        <v>19</v>
      </c>
      <c r="I4443" s="1" t="s">
        <v>4086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hidden="1" x14ac:dyDescent="0.25">
      <c r="A4444" s="1">
        <v>30</v>
      </c>
      <c r="B4444" s="159"/>
      <c r="C4444" s="1" t="s">
        <v>4103</v>
      </c>
      <c r="D4444" s="1"/>
      <c r="E4444" s="1"/>
      <c r="F4444" s="1" t="s">
        <v>4106</v>
      </c>
      <c r="G4444" s="1">
        <v>112</v>
      </c>
      <c r="H4444" s="1" t="s">
        <v>19</v>
      </c>
      <c r="I4444" s="1" t="s">
        <v>4086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hidden="1" x14ac:dyDescent="0.25">
      <c r="A4445" s="1">
        <v>31</v>
      </c>
      <c r="B4445" s="159"/>
      <c r="C4445" s="1" t="s">
        <v>4103</v>
      </c>
      <c r="D4445" s="1"/>
      <c r="E4445" s="1"/>
      <c r="F4445" s="1" t="s">
        <v>4107</v>
      </c>
      <c r="G4445" s="1">
        <v>38</v>
      </c>
      <c r="H4445" s="1" t="s">
        <v>19</v>
      </c>
      <c r="I4445" s="1" t="s">
        <v>4086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hidden="1" x14ac:dyDescent="0.25">
      <c r="A4446" s="1">
        <v>32</v>
      </c>
      <c r="B4446" s="159"/>
      <c r="C4446" s="1" t="s">
        <v>4103</v>
      </c>
      <c r="D4446" s="1"/>
      <c r="E4446" s="1"/>
      <c r="F4446" s="1" t="s">
        <v>4108</v>
      </c>
      <c r="G4446" s="1">
        <v>32</v>
      </c>
      <c r="H4446" s="1" t="s">
        <v>19</v>
      </c>
      <c r="I4446" s="1" t="s">
        <v>4086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hidden="1" x14ac:dyDescent="0.25">
      <c r="A4447" s="1">
        <v>33</v>
      </c>
      <c r="B4447" s="159"/>
      <c r="C4447" s="1" t="s">
        <v>4103</v>
      </c>
      <c r="D4447" s="1"/>
      <c r="E4447" s="1"/>
      <c r="F4447" s="1" t="s">
        <v>4109</v>
      </c>
      <c r="G4447" s="1">
        <v>32</v>
      </c>
      <c r="H4447" s="1" t="s">
        <v>19</v>
      </c>
      <c r="I4447" s="1" t="s">
        <v>4086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hidden="1" x14ac:dyDescent="0.25">
      <c r="A4448" s="1">
        <v>34</v>
      </c>
      <c r="B4448" s="159"/>
      <c r="C4448" s="1" t="s">
        <v>4110</v>
      </c>
      <c r="D4448" s="1"/>
      <c r="E4448" s="1"/>
      <c r="F4448" s="1" t="s">
        <v>4111</v>
      </c>
      <c r="G4448" s="1">
        <v>572</v>
      </c>
      <c r="H4448" s="1" t="s">
        <v>19</v>
      </c>
      <c r="I4448" s="1" t="s">
        <v>4086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hidden="1" x14ac:dyDescent="0.25">
      <c r="A4449" s="1">
        <v>35</v>
      </c>
      <c r="B4449" s="159"/>
      <c r="C4449" s="1" t="s">
        <v>3948</v>
      </c>
      <c r="D4449" s="1"/>
      <c r="E4449" s="1"/>
      <c r="F4449" s="1" t="s">
        <v>4112</v>
      </c>
      <c r="G4449" s="1">
        <v>304</v>
      </c>
      <c r="H4449" s="1" t="s">
        <v>19</v>
      </c>
      <c r="I4449" s="1" t="s">
        <v>4086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hidden="1" x14ac:dyDescent="0.25">
      <c r="A4450" s="1">
        <v>36</v>
      </c>
      <c r="B4450" s="159"/>
      <c r="C4450" s="1" t="s">
        <v>3948</v>
      </c>
      <c r="D4450" s="1"/>
      <c r="E4450" s="1"/>
      <c r="F4450" s="1" t="s">
        <v>4113</v>
      </c>
      <c r="G4450" s="1">
        <v>304</v>
      </c>
      <c r="H4450" s="1" t="s">
        <v>19</v>
      </c>
      <c r="I4450" s="1" t="s">
        <v>4086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hidden="1" x14ac:dyDescent="0.25">
      <c r="A4451" s="1">
        <v>37</v>
      </c>
      <c r="B4451" s="159"/>
      <c r="C4451" s="1" t="s">
        <v>3948</v>
      </c>
      <c r="D4451" s="1"/>
      <c r="E4451" s="1"/>
      <c r="F4451" s="1" t="s">
        <v>4114</v>
      </c>
      <c r="G4451" s="1">
        <v>304</v>
      </c>
      <c r="H4451" s="1" t="s">
        <v>19</v>
      </c>
      <c r="I4451" s="1" t="s">
        <v>4086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hidden="1" x14ac:dyDescent="0.25">
      <c r="A4452" s="1">
        <v>38</v>
      </c>
      <c r="B4452" s="159"/>
      <c r="C4452" s="1" t="s">
        <v>3948</v>
      </c>
      <c r="D4452" s="1"/>
      <c r="E4452" s="1"/>
      <c r="F4452" s="1" t="s">
        <v>4115</v>
      </c>
      <c r="G4452" s="1">
        <v>64</v>
      </c>
      <c r="H4452" s="1" t="s">
        <v>19</v>
      </c>
      <c r="I4452" s="1" t="s">
        <v>4086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hidden="1" x14ac:dyDescent="0.25">
      <c r="A4453" s="1">
        <v>39</v>
      </c>
      <c r="B4453" s="159"/>
      <c r="C4453" s="1" t="s">
        <v>3948</v>
      </c>
      <c r="D4453" s="1"/>
      <c r="E4453" s="1"/>
      <c r="F4453" s="1" t="s">
        <v>4116</v>
      </c>
      <c r="G4453" s="1">
        <v>64</v>
      </c>
      <c r="H4453" s="1" t="s">
        <v>19</v>
      </c>
      <c r="I4453" s="1" t="s">
        <v>4086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hidden="1" x14ac:dyDescent="0.25">
      <c r="A4454" s="1">
        <v>40</v>
      </c>
      <c r="B4454" s="159"/>
      <c r="C4454" s="1" t="s">
        <v>4117</v>
      </c>
      <c r="D4454" s="1"/>
      <c r="E4454" s="1"/>
      <c r="F4454" s="1" t="s">
        <v>4118</v>
      </c>
      <c r="G4454" s="1">
        <v>8</v>
      </c>
      <c r="H4454" s="1" t="s">
        <v>19</v>
      </c>
      <c r="I4454" s="1" t="s">
        <v>4086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hidden="1" x14ac:dyDescent="0.25">
      <c r="A4455" s="1">
        <v>41</v>
      </c>
      <c r="B4455" s="159"/>
      <c r="C4455" s="1" t="s">
        <v>4117</v>
      </c>
      <c r="D4455" s="1"/>
      <c r="E4455" s="1"/>
      <c r="F4455" s="1" t="s">
        <v>4119</v>
      </c>
      <c r="G4455" s="1">
        <v>32</v>
      </c>
      <c r="H4455" s="1" t="s">
        <v>19</v>
      </c>
      <c r="I4455" s="1" t="s">
        <v>4086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hidden="1" x14ac:dyDescent="0.25">
      <c r="A4456" s="1">
        <v>42</v>
      </c>
      <c r="B4456" s="159"/>
      <c r="C4456" s="1" t="s">
        <v>4117</v>
      </c>
      <c r="D4456" s="1"/>
      <c r="E4456" s="1"/>
      <c r="F4456" s="1" t="s">
        <v>4120</v>
      </c>
      <c r="G4456" s="1">
        <v>32</v>
      </c>
      <c r="H4456" s="1" t="s">
        <v>19</v>
      </c>
      <c r="I4456" s="1" t="s">
        <v>4086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hidden="1" x14ac:dyDescent="0.25">
      <c r="A4457" s="1">
        <v>43</v>
      </c>
      <c r="B4457" s="159"/>
      <c r="C4457" s="1" t="s">
        <v>4117</v>
      </c>
      <c r="D4457" s="1"/>
      <c r="E4457" s="1"/>
      <c r="F4457" s="1" t="s">
        <v>4121</v>
      </c>
      <c r="G4457" s="1">
        <v>32</v>
      </c>
      <c r="H4457" s="1" t="s">
        <v>19</v>
      </c>
      <c r="I4457" s="1" t="s">
        <v>4086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hidden="1" x14ac:dyDescent="0.25">
      <c r="A4458" s="1">
        <v>44</v>
      </c>
      <c r="B4458" s="159"/>
      <c r="C4458" s="1" t="s">
        <v>4117</v>
      </c>
      <c r="D4458" s="1"/>
      <c r="E4458" s="1"/>
      <c r="F4458" s="1" t="s">
        <v>4122</v>
      </c>
      <c r="G4458" s="1">
        <v>16</v>
      </c>
      <c r="H4458" s="1" t="s">
        <v>19</v>
      </c>
      <c r="I4458" s="1" t="s">
        <v>4086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hidden="1" x14ac:dyDescent="0.25">
      <c r="A4459" s="1">
        <v>45</v>
      </c>
      <c r="B4459" s="159"/>
      <c r="C4459" s="1" t="s">
        <v>4117</v>
      </c>
      <c r="D4459" s="1"/>
      <c r="E4459" s="1"/>
      <c r="F4459" s="1" t="s">
        <v>4123</v>
      </c>
      <c r="G4459" s="1">
        <v>16</v>
      </c>
      <c r="H4459" s="1" t="s">
        <v>19</v>
      </c>
      <c r="I4459" s="1" t="s">
        <v>4086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hidden="1" x14ac:dyDescent="0.25">
      <c r="A4460" s="1">
        <v>46</v>
      </c>
      <c r="B4460" s="159"/>
      <c r="C4460" s="1" t="s">
        <v>4117</v>
      </c>
      <c r="D4460" s="1"/>
      <c r="E4460" s="1"/>
      <c r="F4460" s="1" t="s">
        <v>4124</v>
      </c>
      <c r="G4460" s="1">
        <v>16</v>
      </c>
      <c r="H4460" s="1" t="s">
        <v>19</v>
      </c>
      <c r="I4460" s="1" t="s">
        <v>4086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hidden="1" x14ac:dyDescent="0.25">
      <c r="A4461" s="1">
        <v>47</v>
      </c>
      <c r="B4461" s="159"/>
      <c r="C4461" s="1" t="s">
        <v>4125</v>
      </c>
      <c r="D4461" s="1"/>
      <c r="E4461" s="1"/>
      <c r="F4461" s="1" t="s">
        <v>4126</v>
      </c>
      <c r="G4461" s="1">
        <v>48</v>
      </c>
      <c r="H4461" s="1" t="s">
        <v>19</v>
      </c>
      <c r="I4461" s="1" t="s">
        <v>4086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hidden="1" x14ac:dyDescent="0.25">
      <c r="A4462" s="1">
        <v>48</v>
      </c>
      <c r="B4462" s="159"/>
      <c r="C4462" s="1" t="s">
        <v>4125</v>
      </c>
      <c r="D4462" s="1"/>
      <c r="E4462" s="1"/>
      <c r="F4462" s="1" t="s">
        <v>4127</v>
      </c>
      <c r="G4462" s="1">
        <v>48</v>
      </c>
      <c r="H4462" s="1" t="s">
        <v>19</v>
      </c>
      <c r="I4462" s="1" t="s">
        <v>4086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hidden="1" x14ac:dyDescent="0.25">
      <c r="A4463" s="1">
        <v>49</v>
      </c>
      <c r="B4463" s="159"/>
      <c r="C4463" s="1" t="s">
        <v>4125</v>
      </c>
      <c r="D4463" s="1"/>
      <c r="E4463" s="1"/>
      <c r="F4463" s="1" t="s">
        <v>4128</v>
      </c>
      <c r="G4463" s="1">
        <v>48</v>
      </c>
      <c r="H4463" s="1" t="s">
        <v>19</v>
      </c>
      <c r="I4463" s="1" t="s">
        <v>4086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hidden="1" x14ac:dyDescent="0.25">
      <c r="A4464" s="1">
        <v>50</v>
      </c>
      <c r="B4464" s="159"/>
      <c r="C4464" s="1" t="s">
        <v>4125</v>
      </c>
      <c r="D4464" s="1"/>
      <c r="E4464" s="1"/>
      <c r="F4464" s="1" t="s">
        <v>4129</v>
      </c>
      <c r="G4464" s="1">
        <v>144</v>
      </c>
      <c r="H4464" s="1" t="s">
        <v>19</v>
      </c>
      <c r="I4464" s="1" t="s">
        <v>4086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hidden="1" x14ac:dyDescent="0.25">
      <c r="A4465" s="1">
        <v>51</v>
      </c>
      <c r="B4465" s="159"/>
      <c r="C4465" s="1" t="s">
        <v>4125</v>
      </c>
      <c r="D4465" s="1"/>
      <c r="E4465" s="1"/>
      <c r="F4465" s="1" t="s">
        <v>4130</v>
      </c>
      <c r="G4465" s="1">
        <v>44</v>
      </c>
      <c r="H4465" s="1" t="s">
        <v>19</v>
      </c>
      <c r="I4465" s="1" t="s">
        <v>4086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hidden="1" x14ac:dyDescent="0.25">
      <c r="A4466" s="1">
        <v>52</v>
      </c>
      <c r="B4466" s="159"/>
      <c r="C4466" s="1" t="s">
        <v>4125</v>
      </c>
      <c r="D4466" s="1"/>
      <c r="E4466" s="1"/>
      <c r="F4466" s="1" t="s">
        <v>4131</v>
      </c>
      <c r="G4466" s="1">
        <v>20</v>
      </c>
      <c r="H4466" s="1" t="s">
        <v>1253</v>
      </c>
      <c r="I4466" s="1" t="s">
        <v>4086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hidden="1" x14ac:dyDescent="0.25">
      <c r="A4467" s="1">
        <v>53</v>
      </c>
      <c r="B4467" s="159"/>
      <c r="C4467" s="1" t="s">
        <v>3958</v>
      </c>
      <c r="D4467" s="1"/>
      <c r="E4467" s="1"/>
      <c r="F4467" s="1" t="s">
        <v>4132</v>
      </c>
      <c r="G4467" s="1">
        <v>12</v>
      </c>
      <c r="H4467" s="1" t="s">
        <v>19</v>
      </c>
      <c r="I4467" s="1" t="s">
        <v>4086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hidden="1" x14ac:dyDescent="0.25">
      <c r="A4468" s="1">
        <v>54</v>
      </c>
      <c r="B4468" s="159"/>
      <c r="C4468" s="1" t="s">
        <v>3958</v>
      </c>
      <c r="D4468" s="1"/>
      <c r="E4468" s="1"/>
      <c r="F4468" s="1" t="s">
        <v>4133</v>
      </c>
      <c r="G4468" s="1">
        <v>6</v>
      </c>
      <c r="H4468" s="1" t="s">
        <v>19</v>
      </c>
      <c r="I4468" s="1" t="s">
        <v>4086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hidden="1" x14ac:dyDescent="0.25">
      <c r="A4469" s="1">
        <v>55</v>
      </c>
      <c r="B4469" s="159"/>
      <c r="C4469" s="1" t="s">
        <v>3958</v>
      </c>
      <c r="D4469" s="1"/>
      <c r="E4469" s="1"/>
      <c r="F4469" s="1" t="s">
        <v>4134</v>
      </c>
      <c r="G4469" s="1">
        <v>6</v>
      </c>
      <c r="H4469" s="1" t="s">
        <v>19</v>
      </c>
      <c r="I4469" s="1" t="s">
        <v>4086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hidden="1" x14ac:dyDescent="0.25">
      <c r="A4470" s="1">
        <v>56</v>
      </c>
      <c r="B4470" s="159"/>
      <c r="C4470" s="1" t="s">
        <v>3958</v>
      </c>
      <c r="D4470" s="1"/>
      <c r="E4470" s="1"/>
      <c r="F4470" s="1" t="s">
        <v>4135</v>
      </c>
      <c r="G4470" s="1">
        <v>12</v>
      </c>
      <c r="H4470" s="1" t="s">
        <v>19</v>
      </c>
      <c r="I4470" s="1" t="s">
        <v>4086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hidden="1" x14ac:dyDescent="0.25">
      <c r="A4471" s="1">
        <v>57</v>
      </c>
      <c r="B4471" s="159"/>
      <c r="C4471" s="1" t="s">
        <v>3958</v>
      </c>
      <c r="D4471" s="1"/>
      <c r="E4471" s="1"/>
      <c r="F4471" s="1" t="s">
        <v>4136</v>
      </c>
      <c r="G4471" s="1">
        <v>132</v>
      </c>
      <c r="H4471" s="1" t="s">
        <v>19</v>
      </c>
      <c r="I4471" s="1" t="s">
        <v>4086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hidden="1" x14ac:dyDescent="0.25">
      <c r="A4472" s="1">
        <v>58</v>
      </c>
      <c r="B4472" s="159"/>
      <c r="C4472" s="1" t="s">
        <v>3958</v>
      </c>
      <c r="D4472" s="1"/>
      <c r="E4472" s="1"/>
      <c r="F4472" s="1" t="s">
        <v>4137</v>
      </c>
      <c r="G4472" s="1">
        <v>12</v>
      </c>
      <c r="H4472" s="1" t="s">
        <v>19</v>
      </c>
      <c r="I4472" s="1" t="s">
        <v>4086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hidden="1" x14ac:dyDescent="0.25">
      <c r="A4473" s="1">
        <v>59</v>
      </c>
      <c r="B4473" s="159"/>
      <c r="C4473" s="1" t="s">
        <v>3958</v>
      </c>
      <c r="D4473" s="1"/>
      <c r="E4473" s="1"/>
      <c r="F4473" s="1" t="s">
        <v>4138</v>
      </c>
      <c r="G4473" s="1">
        <v>72</v>
      </c>
      <c r="H4473" s="1" t="s">
        <v>19</v>
      </c>
      <c r="I4473" s="1" t="s">
        <v>4086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hidden="1" x14ac:dyDescent="0.25">
      <c r="A4474" s="1">
        <v>60</v>
      </c>
      <c r="B4474" s="159"/>
      <c r="C4474" s="1" t="s">
        <v>3958</v>
      </c>
      <c r="D4474" s="1"/>
      <c r="E4474" s="1"/>
      <c r="F4474" s="1" t="s">
        <v>4137</v>
      </c>
      <c r="G4474" s="1">
        <v>72</v>
      </c>
      <c r="H4474" s="1" t="s">
        <v>19</v>
      </c>
      <c r="I4474" s="1" t="s">
        <v>4086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hidden="1" x14ac:dyDescent="0.25">
      <c r="A4475" s="1">
        <v>61</v>
      </c>
      <c r="B4475" s="159"/>
      <c r="C4475" s="1" t="s">
        <v>3958</v>
      </c>
      <c r="D4475" s="1"/>
      <c r="E4475" s="1"/>
      <c r="F4475" s="1" t="s">
        <v>4136</v>
      </c>
      <c r="G4475" s="1">
        <v>72</v>
      </c>
      <c r="H4475" s="1" t="s">
        <v>19</v>
      </c>
      <c r="I4475" s="1" t="s">
        <v>4086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hidden="1" x14ac:dyDescent="0.25">
      <c r="A4476" s="1">
        <v>62</v>
      </c>
      <c r="B4476" s="159"/>
      <c r="C4476" s="1" t="s">
        <v>4139</v>
      </c>
      <c r="D4476" s="1"/>
      <c r="E4476" s="1"/>
      <c r="F4476" s="1" t="s">
        <v>4140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hidden="1" x14ac:dyDescent="0.25">
      <c r="A4477" s="1">
        <v>63</v>
      </c>
      <c r="B4477" s="159"/>
      <c r="C4477" s="1" t="s">
        <v>4139</v>
      </c>
      <c r="D4477" s="1"/>
      <c r="E4477" s="1"/>
      <c r="F4477" s="1" t="s">
        <v>4141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hidden="1" x14ac:dyDescent="0.25">
      <c r="A4478" s="1">
        <v>64</v>
      </c>
      <c r="B4478" s="159"/>
      <c r="C4478" s="1" t="s">
        <v>4139</v>
      </c>
      <c r="D4478" s="1"/>
      <c r="E4478" s="1"/>
      <c r="F4478" s="1" t="s">
        <v>4142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hidden="1" x14ac:dyDescent="0.25">
      <c r="A4479" s="1">
        <v>65</v>
      </c>
      <c r="B4479" s="159"/>
      <c r="C4479" s="1" t="s">
        <v>4139</v>
      </c>
      <c r="D4479" s="1"/>
      <c r="E4479" s="1"/>
      <c r="F4479" s="1" t="s">
        <v>4143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hidden="1" x14ac:dyDescent="0.25">
      <c r="A4480" s="1">
        <v>66</v>
      </c>
      <c r="B4480" s="159"/>
      <c r="C4480" s="1" t="s">
        <v>4144</v>
      </c>
      <c r="D4480" s="1"/>
      <c r="E4480" s="1"/>
      <c r="F4480" s="1" t="s">
        <v>4145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hidden="1" x14ac:dyDescent="0.25">
      <c r="A4481" s="1">
        <v>67</v>
      </c>
      <c r="B4481" s="159"/>
      <c r="C4481" s="1" t="s">
        <v>4144</v>
      </c>
      <c r="D4481" s="1"/>
      <c r="E4481" s="1"/>
      <c r="F4481" s="1" t="s">
        <v>4146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hidden="1" x14ac:dyDescent="0.25">
      <c r="A4482" s="1">
        <v>68</v>
      </c>
      <c r="B4482" s="159"/>
      <c r="C4482" s="1" t="s">
        <v>4144</v>
      </c>
      <c r="D4482" s="1"/>
      <c r="E4482" s="1"/>
      <c r="F4482" s="1" t="s">
        <v>4147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hidden="1" x14ac:dyDescent="0.25">
      <c r="A4483" s="1">
        <v>69</v>
      </c>
      <c r="B4483" s="159"/>
      <c r="C4483" s="1" t="s">
        <v>4144</v>
      </c>
      <c r="D4483" s="1"/>
      <c r="E4483" s="1"/>
      <c r="F4483" s="1" t="s">
        <v>4148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hidden="1" x14ac:dyDescent="0.25">
      <c r="A4484" s="1">
        <v>70</v>
      </c>
      <c r="B4484" s="159"/>
      <c r="C4484" s="1" t="s">
        <v>4149</v>
      </c>
      <c r="D4484" s="1"/>
      <c r="E4484" s="1"/>
      <c r="F4484" s="1" t="s">
        <v>4150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hidden="1" x14ac:dyDescent="0.25">
      <c r="A4485" s="1">
        <v>71</v>
      </c>
      <c r="B4485" s="159"/>
      <c r="C4485" s="1" t="s">
        <v>4149</v>
      </c>
      <c r="D4485" s="1"/>
      <c r="E4485" s="1"/>
      <c r="F4485" s="1" t="s">
        <v>4151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hidden="1" x14ac:dyDescent="0.25">
      <c r="A4486" s="1">
        <v>72</v>
      </c>
      <c r="B4486" s="159"/>
      <c r="C4486" s="1" t="s">
        <v>4149</v>
      </c>
      <c r="D4486" s="1"/>
      <c r="E4486" s="1"/>
      <c r="F4486" s="1" t="s">
        <v>4152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hidden="1" x14ac:dyDescent="0.25">
      <c r="A4487" s="1">
        <v>73</v>
      </c>
      <c r="B4487" s="159"/>
      <c r="C4487" s="1" t="s">
        <v>4149</v>
      </c>
      <c r="D4487" s="1"/>
      <c r="E4487" s="1"/>
      <c r="F4487" s="1" t="s">
        <v>4153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hidden="1" x14ac:dyDescent="0.25">
      <c r="A4488" s="1">
        <v>74</v>
      </c>
      <c r="B4488" s="159"/>
      <c r="C4488" s="1" t="s">
        <v>4154</v>
      </c>
      <c r="D4488" s="1"/>
      <c r="E4488" s="1"/>
      <c r="F4488" s="1" t="s">
        <v>4155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hidden="1" x14ac:dyDescent="0.25">
      <c r="A4489" s="1">
        <v>75</v>
      </c>
      <c r="B4489" s="159"/>
      <c r="C4489" s="1" t="s">
        <v>4156</v>
      </c>
      <c r="D4489" s="1"/>
      <c r="E4489" s="1"/>
      <c r="F4489" s="1" t="s">
        <v>4157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hidden="1" x14ac:dyDescent="0.25">
      <c r="A4490" s="1">
        <v>76</v>
      </c>
      <c r="B4490" s="159"/>
      <c r="C4490" s="1" t="s">
        <v>4156</v>
      </c>
      <c r="D4490" s="1"/>
      <c r="E4490" s="1"/>
      <c r="F4490" s="1" t="s">
        <v>4158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hidden="1" x14ac:dyDescent="0.25">
      <c r="A4491" s="1">
        <v>77</v>
      </c>
      <c r="B4491" s="159"/>
      <c r="C4491" s="1" t="s">
        <v>4156</v>
      </c>
      <c r="D4491" s="1"/>
      <c r="E4491" s="1"/>
      <c r="F4491" s="1" t="s">
        <v>4159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hidden="1" x14ac:dyDescent="0.25">
      <c r="A4492" s="1">
        <v>78</v>
      </c>
      <c r="B4492" s="159"/>
      <c r="C4492" s="1" t="s">
        <v>4156</v>
      </c>
      <c r="D4492" s="1"/>
      <c r="E4492" s="1"/>
      <c r="F4492" s="1" t="s">
        <v>4160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hidden="1" x14ac:dyDescent="0.25">
      <c r="A4493" s="1">
        <v>79</v>
      </c>
      <c r="B4493" s="159"/>
      <c r="C4493" s="1" t="s">
        <v>4161</v>
      </c>
      <c r="D4493" s="1"/>
      <c r="E4493" s="1"/>
      <c r="F4493" s="1" t="s">
        <v>4162</v>
      </c>
      <c r="G4493" s="1">
        <v>720</v>
      </c>
      <c r="H4493" s="1" t="s">
        <v>19</v>
      </c>
      <c r="I4493" s="1" t="s">
        <v>4086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hidden="1" x14ac:dyDescent="0.25">
      <c r="A4494" s="1">
        <v>80</v>
      </c>
      <c r="B4494" s="159"/>
      <c r="C4494" s="1" t="s">
        <v>4161</v>
      </c>
      <c r="D4494" s="1"/>
      <c r="E4494" s="1"/>
      <c r="F4494" s="1" t="s">
        <v>4163</v>
      </c>
      <c r="G4494" s="1">
        <v>360</v>
      </c>
      <c r="H4494" s="1" t="s">
        <v>19</v>
      </c>
      <c r="I4494" s="1" t="s">
        <v>4164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hidden="1" x14ac:dyDescent="0.25">
      <c r="A4495" s="1">
        <v>81</v>
      </c>
      <c r="B4495" s="159"/>
      <c r="C4495" s="1" t="s">
        <v>4161</v>
      </c>
      <c r="D4495" s="1"/>
      <c r="E4495" s="1"/>
      <c r="F4495" s="1" t="s">
        <v>4165</v>
      </c>
      <c r="G4495" s="1">
        <v>360</v>
      </c>
      <c r="H4495" s="1" t="s">
        <v>19</v>
      </c>
      <c r="I4495" s="1" t="s">
        <v>4164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hidden="1" x14ac:dyDescent="0.25">
      <c r="A4496" s="1">
        <v>82</v>
      </c>
      <c r="B4496" s="159"/>
      <c r="C4496" s="1" t="s">
        <v>4166</v>
      </c>
      <c r="D4496" s="1"/>
      <c r="E4496" s="1"/>
      <c r="F4496" s="1" t="s">
        <v>4167</v>
      </c>
      <c r="G4496" s="1">
        <v>432</v>
      </c>
      <c r="H4496" s="1" t="s">
        <v>19</v>
      </c>
      <c r="I4496" s="1" t="s">
        <v>4086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hidden="1" x14ac:dyDescent="0.25">
      <c r="A4497" s="1">
        <v>83</v>
      </c>
      <c r="B4497" s="159"/>
      <c r="C4497" s="1" t="s">
        <v>4166</v>
      </c>
      <c r="D4497" s="1"/>
      <c r="E4497" s="1"/>
      <c r="F4497" s="1" t="s">
        <v>4168</v>
      </c>
      <c r="G4497" s="1">
        <v>216</v>
      </c>
      <c r="H4497" s="1" t="s">
        <v>19</v>
      </c>
      <c r="I4497" s="1" t="s">
        <v>4086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hidden="1" x14ac:dyDescent="0.25">
      <c r="A4498" s="1">
        <v>84</v>
      </c>
      <c r="B4498" s="159"/>
      <c r="C4498" s="1" t="s">
        <v>4166</v>
      </c>
      <c r="D4498" s="1"/>
      <c r="E4498" s="1"/>
      <c r="F4498" s="1" t="s">
        <v>4169</v>
      </c>
      <c r="G4498" s="1">
        <v>216</v>
      </c>
      <c r="H4498" s="1" t="s">
        <v>19</v>
      </c>
      <c r="I4498" s="1" t="s">
        <v>4086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hidden="1" x14ac:dyDescent="0.25">
      <c r="A4499" s="1">
        <v>85</v>
      </c>
      <c r="B4499" s="159"/>
      <c r="C4499" s="1" t="s">
        <v>4170</v>
      </c>
      <c r="D4499" s="1"/>
      <c r="E4499" s="1"/>
      <c r="F4499" s="1" t="s">
        <v>4171</v>
      </c>
      <c r="G4499" s="1">
        <v>176</v>
      </c>
      <c r="H4499" s="1" t="s">
        <v>19</v>
      </c>
      <c r="I4499" s="1" t="s">
        <v>4086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hidden="1" x14ac:dyDescent="0.25">
      <c r="A4500" s="1">
        <v>86</v>
      </c>
      <c r="B4500" s="159"/>
      <c r="C4500" s="1" t="s">
        <v>4170</v>
      </c>
      <c r="D4500" s="1"/>
      <c r="E4500" s="1"/>
      <c r="F4500" s="1" t="s">
        <v>4172</v>
      </c>
      <c r="G4500" s="1">
        <v>176</v>
      </c>
      <c r="H4500" s="1" t="s">
        <v>19</v>
      </c>
      <c r="I4500" s="1" t="s">
        <v>4086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hidden="1" x14ac:dyDescent="0.25">
      <c r="A4501" s="1">
        <v>87</v>
      </c>
      <c r="B4501" s="159"/>
      <c r="C4501" s="1" t="s">
        <v>4173</v>
      </c>
      <c r="D4501" s="1"/>
      <c r="E4501" s="1"/>
      <c r="F4501" s="1" t="s">
        <v>4174</v>
      </c>
      <c r="G4501" s="1">
        <v>160</v>
      </c>
      <c r="H4501" s="1" t="s">
        <v>19</v>
      </c>
      <c r="I4501" s="1" t="s">
        <v>4164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hidden="1" x14ac:dyDescent="0.25">
      <c r="A4502" s="1">
        <v>88</v>
      </c>
      <c r="B4502" s="159"/>
      <c r="C4502" s="1" t="s">
        <v>4173</v>
      </c>
      <c r="D4502" s="1"/>
      <c r="E4502" s="1"/>
      <c r="F4502" s="1" t="s">
        <v>4175</v>
      </c>
      <c r="G4502" s="1">
        <v>160</v>
      </c>
      <c r="H4502" s="1" t="s">
        <v>19</v>
      </c>
      <c r="I4502" s="1" t="s">
        <v>4086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hidden="1" x14ac:dyDescent="0.25">
      <c r="A4503" s="1">
        <v>89</v>
      </c>
      <c r="B4503" s="159"/>
      <c r="C4503" s="1" t="s">
        <v>4176</v>
      </c>
      <c r="D4503" s="1"/>
      <c r="E4503" s="1"/>
      <c r="F4503" s="1" t="s">
        <v>4177</v>
      </c>
      <c r="G4503" s="1">
        <v>192</v>
      </c>
      <c r="H4503" s="1" t="s">
        <v>19</v>
      </c>
      <c r="I4503" s="1" t="s">
        <v>4086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hidden="1" x14ac:dyDescent="0.25">
      <c r="A4504" s="1">
        <v>90</v>
      </c>
      <c r="B4504" s="159"/>
      <c r="C4504" s="1" t="s">
        <v>4176</v>
      </c>
      <c r="D4504" s="1"/>
      <c r="E4504" s="1"/>
      <c r="F4504" s="1" t="s">
        <v>4178</v>
      </c>
      <c r="G4504" s="1">
        <v>96</v>
      </c>
      <c r="H4504" s="1" t="s">
        <v>19</v>
      </c>
      <c r="I4504" s="1" t="s">
        <v>4086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hidden="1" x14ac:dyDescent="0.25">
      <c r="A4505" s="1">
        <v>91</v>
      </c>
      <c r="B4505" s="159"/>
      <c r="C4505" s="1" t="s">
        <v>4179</v>
      </c>
      <c r="D4505" s="1"/>
      <c r="E4505" s="1"/>
      <c r="F4505" s="1" t="s">
        <v>4180</v>
      </c>
      <c r="G4505" s="1">
        <v>192</v>
      </c>
      <c r="H4505" s="1" t="s">
        <v>19</v>
      </c>
      <c r="I4505" s="1" t="s">
        <v>4086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hidden="1" x14ac:dyDescent="0.25">
      <c r="A4506" s="1">
        <v>92</v>
      </c>
      <c r="B4506" s="159"/>
      <c r="C4506" s="1" t="s">
        <v>4179</v>
      </c>
      <c r="D4506" s="1"/>
      <c r="E4506" s="1"/>
      <c r="F4506" s="1" t="s">
        <v>4181</v>
      </c>
      <c r="G4506" s="1">
        <v>96</v>
      </c>
      <c r="H4506" s="1" t="s">
        <v>19</v>
      </c>
      <c r="I4506" s="1" t="s">
        <v>4086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hidden="1" x14ac:dyDescent="0.25">
      <c r="A4507" s="1">
        <v>93</v>
      </c>
      <c r="B4507" s="159"/>
      <c r="C4507" s="1" t="s">
        <v>4182</v>
      </c>
      <c r="D4507" s="1"/>
      <c r="E4507" s="1"/>
      <c r="F4507" s="1" t="s">
        <v>4183</v>
      </c>
      <c r="G4507" s="1">
        <v>112</v>
      </c>
      <c r="H4507" s="1" t="s">
        <v>19</v>
      </c>
      <c r="I4507" s="1" t="s">
        <v>4086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hidden="1" x14ac:dyDescent="0.25">
      <c r="A4508" s="1">
        <v>94</v>
      </c>
      <c r="B4508" s="159"/>
      <c r="C4508" s="1" t="s">
        <v>4182</v>
      </c>
      <c r="D4508" s="1"/>
      <c r="E4508" s="1"/>
      <c r="F4508" s="1" t="s">
        <v>4184</v>
      </c>
      <c r="G4508" s="1">
        <v>56</v>
      </c>
      <c r="H4508" s="1" t="s">
        <v>19</v>
      </c>
      <c r="I4508" s="1" t="s">
        <v>4086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hidden="1" x14ac:dyDescent="0.25">
      <c r="A4509" s="1">
        <v>95</v>
      </c>
      <c r="B4509" s="159"/>
      <c r="C4509" s="1" t="s">
        <v>4185</v>
      </c>
      <c r="D4509" s="1"/>
      <c r="E4509" s="1"/>
      <c r="F4509" s="1" t="s">
        <v>4186</v>
      </c>
      <c r="G4509" s="1">
        <v>128</v>
      </c>
      <c r="H4509" s="1" t="s">
        <v>19</v>
      </c>
      <c r="I4509" s="1" t="s">
        <v>4086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hidden="1" x14ac:dyDescent="0.25">
      <c r="A4510" s="1">
        <v>96</v>
      </c>
      <c r="B4510" s="159"/>
      <c r="C4510" s="1" t="s">
        <v>4185</v>
      </c>
      <c r="D4510" s="1"/>
      <c r="E4510" s="1"/>
      <c r="F4510" s="1" t="s">
        <v>4187</v>
      </c>
      <c r="G4510" s="1">
        <v>128</v>
      </c>
      <c r="H4510" s="1" t="s">
        <v>19</v>
      </c>
      <c r="I4510" s="1" t="s">
        <v>4086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hidden="1" x14ac:dyDescent="0.25">
      <c r="A4511" s="1">
        <v>97</v>
      </c>
      <c r="B4511" s="159"/>
      <c r="C4511" s="1" t="s">
        <v>4188</v>
      </c>
      <c r="D4511" s="1"/>
      <c r="E4511" s="1"/>
      <c r="F4511" s="1" t="s">
        <v>4189</v>
      </c>
      <c r="G4511" s="1">
        <v>112</v>
      </c>
      <c r="H4511" s="1" t="s">
        <v>19</v>
      </c>
      <c r="I4511" s="1" t="s">
        <v>4086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hidden="1" x14ac:dyDescent="0.25">
      <c r="A4512" s="1">
        <v>98</v>
      </c>
      <c r="B4512" s="159"/>
      <c r="C4512" s="1" t="s">
        <v>4188</v>
      </c>
      <c r="D4512" s="1"/>
      <c r="E4512" s="1"/>
      <c r="F4512" s="1" t="s">
        <v>4190</v>
      </c>
      <c r="G4512" s="1">
        <v>112</v>
      </c>
      <c r="H4512" s="1" t="s">
        <v>19</v>
      </c>
      <c r="I4512" s="1" t="s">
        <v>4086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hidden="1" x14ac:dyDescent="0.25">
      <c r="A4513" s="1">
        <v>99</v>
      </c>
      <c r="B4513" s="159"/>
      <c r="C4513" s="1" t="s">
        <v>4188</v>
      </c>
      <c r="D4513" s="1"/>
      <c r="E4513" s="1"/>
      <c r="F4513" s="1" t="s">
        <v>4191</v>
      </c>
      <c r="G4513" s="1">
        <v>112</v>
      </c>
      <c r="H4513" s="1" t="s">
        <v>19</v>
      </c>
      <c r="I4513" s="1" t="s">
        <v>4086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hidden="1" x14ac:dyDescent="0.25">
      <c r="A4514" s="1">
        <v>100</v>
      </c>
      <c r="B4514" s="159"/>
      <c r="C4514" s="1" t="s">
        <v>4192</v>
      </c>
      <c r="D4514" s="1"/>
      <c r="E4514" s="1"/>
      <c r="F4514" s="1" t="s">
        <v>4193</v>
      </c>
      <c r="G4514" s="1">
        <v>96</v>
      </c>
      <c r="H4514" s="1" t="s">
        <v>19</v>
      </c>
      <c r="I4514" s="1" t="s">
        <v>4086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hidden="1" x14ac:dyDescent="0.25">
      <c r="A4515" s="1">
        <v>101</v>
      </c>
      <c r="B4515" s="159"/>
      <c r="C4515" s="1" t="s">
        <v>4192</v>
      </c>
      <c r="D4515" s="1"/>
      <c r="E4515" s="1"/>
      <c r="F4515" s="1" t="s">
        <v>4194</v>
      </c>
      <c r="G4515" s="1">
        <v>96</v>
      </c>
      <c r="H4515" s="1" t="s">
        <v>19</v>
      </c>
      <c r="I4515" s="1" t="s">
        <v>4086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hidden="1" x14ac:dyDescent="0.25">
      <c r="A4516" s="1">
        <v>102</v>
      </c>
      <c r="B4516" s="159"/>
      <c r="C4516" s="1" t="s">
        <v>4192</v>
      </c>
      <c r="D4516" s="1"/>
      <c r="E4516" s="1"/>
      <c r="F4516" s="1" t="s">
        <v>4195</v>
      </c>
      <c r="G4516" s="1">
        <v>96</v>
      </c>
      <c r="H4516" s="1" t="s">
        <v>19</v>
      </c>
      <c r="I4516" s="1" t="s">
        <v>4086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hidden="1" x14ac:dyDescent="0.25">
      <c r="A4517" s="1">
        <v>103</v>
      </c>
      <c r="B4517" s="159"/>
      <c r="C4517" s="1" t="s">
        <v>4196</v>
      </c>
      <c r="D4517" s="1"/>
      <c r="E4517" s="1"/>
      <c r="F4517" s="1" t="s">
        <v>4197</v>
      </c>
      <c r="G4517" s="1">
        <v>112</v>
      </c>
      <c r="H4517" s="1" t="s">
        <v>19</v>
      </c>
      <c r="I4517" s="1" t="s">
        <v>4086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hidden="1" x14ac:dyDescent="0.25">
      <c r="A4518" s="1">
        <v>104</v>
      </c>
      <c r="B4518" s="159"/>
      <c r="C4518" s="1" t="s">
        <v>4196</v>
      </c>
      <c r="D4518" s="1"/>
      <c r="E4518" s="1"/>
      <c r="F4518" s="1" t="s">
        <v>4198</v>
      </c>
      <c r="G4518" s="1">
        <v>112</v>
      </c>
      <c r="H4518" s="1" t="s">
        <v>19</v>
      </c>
      <c r="I4518" s="1" t="s">
        <v>4086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hidden="1" x14ac:dyDescent="0.25">
      <c r="A4519" s="1">
        <v>105</v>
      </c>
      <c r="B4519" s="159"/>
      <c r="C4519" s="1" t="s">
        <v>4196</v>
      </c>
      <c r="D4519" s="1"/>
      <c r="E4519" s="1"/>
      <c r="F4519" s="1" t="s">
        <v>4199</v>
      </c>
      <c r="G4519" s="1">
        <v>112</v>
      </c>
      <c r="H4519" s="1" t="s">
        <v>19</v>
      </c>
      <c r="I4519" s="1" t="s">
        <v>4086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hidden="1" x14ac:dyDescent="0.25">
      <c r="A4520" s="1">
        <v>106</v>
      </c>
      <c r="B4520" s="159"/>
      <c r="C4520" s="1" t="s">
        <v>4200</v>
      </c>
      <c r="D4520" s="1"/>
      <c r="E4520" s="1"/>
      <c r="F4520" s="1" t="s">
        <v>4201</v>
      </c>
      <c r="G4520" s="1">
        <v>112</v>
      </c>
      <c r="H4520" s="1" t="s">
        <v>19</v>
      </c>
      <c r="I4520" s="1" t="s">
        <v>4086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hidden="1" x14ac:dyDescent="0.25">
      <c r="A4521" s="1">
        <v>107</v>
      </c>
      <c r="B4521" s="159"/>
      <c r="C4521" s="1" t="s">
        <v>4200</v>
      </c>
      <c r="D4521" s="1"/>
      <c r="E4521" s="1"/>
      <c r="F4521" s="1" t="s">
        <v>4202</v>
      </c>
      <c r="G4521" s="1">
        <v>112</v>
      </c>
      <c r="H4521" s="1" t="s">
        <v>19</v>
      </c>
      <c r="I4521" s="1" t="s">
        <v>4086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hidden="1" x14ac:dyDescent="0.25">
      <c r="A4522" s="1">
        <v>108</v>
      </c>
      <c r="B4522" s="159"/>
      <c r="C4522" s="1" t="s">
        <v>4200</v>
      </c>
      <c r="D4522" s="1"/>
      <c r="E4522" s="1"/>
      <c r="F4522" s="1" t="s">
        <v>4203</v>
      </c>
      <c r="G4522" s="1">
        <v>112</v>
      </c>
      <c r="H4522" s="1" t="s">
        <v>19</v>
      </c>
      <c r="I4522" s="1" t="s">
        <v>4086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hidden="1" x14ac:dyDescent="0.25">
      <c r="A4523" s="1">
        <v>109</v>
      </c>
      <c r="B4523" s="159"/>
      <c r="C4523" s="1" t="s">
        <v>4204</v>
      </c>
      <c r="D4523" s="1"/>
      <c r="E4523" s="1"/>
      <c r="F4523" s="1" t="s">
        <v>4205</v>
      </c>
      <c r="G4523" s="1">
        <v>416</v>
      </c>
      <c r="H4523" s="1" t="s">
        <v>19</v>
      </c>
      <c r="I4523" s="1" t="s">
        <v>4086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hidden="1" x14ac:dyDescent="0.25">
      <c r="A4524" s="1">
        <v>110</v>
      </c>
      <c r="B4524" s="159"/>
      <c r="C4524" s="1" t="s">
        <v>4204</v>
      </c>
      <c r="D4524" s="1"/>
      <c r="E4524" s="1"/>
      <c r="F4524" s="1" t="s">
        <v>4206</v>
      </c>
      <c r="G4524" s="1">
        <v>208</v>
      </c>
      <c r="H4524" s="1" t="s">
        <v>19</v>
      </c>
      <c r="I4524" s="1" t="s">
        <v>4086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hidden="1" x14ac:dyDescent="0.25">
      <c r="A4525" s="1">
        <v>111</v>
      </c>
      <c r="B4525" s="159"/>
      <c r="C4525" s="1" t="s">
        <v>4207</v>
      </c>
      <c r="D4525" s="1"/>
      <c r="E4525" s="1"/>
      <c r="F4525" s="1" t="s">
        <v>4208</v>
      </c>
      <c r="G4525" s="1">
        <v>96</v>
      </c>
      <c r="H4525" s="1" t="s">
        <v>19</v>
      </c>
      <c r="I4525" s="1" t="s">
        <v>4086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hidden="1" x14ac:dyDescent="0.25">
      <c r="A4526" s="1">
        <v>112</v>
      </c>
      <c r="B4526" s="159"/>
      <c r="C4526" s="1" t="s">
        <v>4207</v>
      </c>
      <c r="D4526" s="1"/>
      <c r="E4526" s="1"/>
      <c r="F4526" s="1" t="s">
        <v>4209</v>
      </c>
      <c r="G4526" s="1">
        <v>96</v>
      </c>
      <c r="H4526" s="1" t="s">
        <v>19</v>
      </c>
      <c r="I4526" s="1" t="s">
        <v>4086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hidden="1" x14ac:dyDescent="0.25">
      <c r="A4527" s="1">
        <v>113</v>
      </c>
      <c r="B4527" s="159"/>
      <c r="C4527" s="1" t="s">
        <v>4207</v>
      </c>
      <c r="D4527" s="1"/>
      <c r="E4527" s="1"/>
      <c r="F4527" s="1" t="s">
        <v>4210</v>
      </c>
      <c r="G4527" s="1">
        <v>96</v>
      </c>
      <c r="H4527" s="1" t="s">
        <v>19</v>
      </c>
      <c r="I4527" s="1" t="s">
        <v>4086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hidden="1" x14ac:dyDescent="0.25">
      <c r="A4528" s="1">
        <v>114</v>
      </c>
      <c r="B4528" s="159"/>
      <c r="C4528" s="1" t="s">
        <v>4211</v>
      </c>
      <c r="D4528" s="1"/>
      <c r="E4528" s="1"/>
      <c r="F4528" s="1" t="s">
        <v>4212</v>
      </c>
      <c r="G4528" s="1">
        <v>8</v>
      </c>
      <c r="H4528" s="1" t="s">
        <v>19</v>
      </c>
      <c r="I4528" s="1" t="s">
        <v>4086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hidden="1" x14ac:dyDescent="0.25">
      <c r="A4529" s="1">
        <v>115</v>
      </c>
      <c r="B4529" s="159"/>
      <c r="C4529" s="1" t="s">
        <v>4211</v>
      </c>
      <c r="D4529" s="1"/>
      <c r="E4529" s="1"/>
      <c r="F4529" s="1" t="s">
        <v>4213</v>
      </c>
      <c r="G4529" s="1">
        <v>16</v>
      </c>
      <c r="H4529" s="1" t="s">
        <v>19</v>
      </c>
      <c r="I4529" s="1" t="s">
        <v>4086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hidden="1" x14ac:dyDescent="0.25">
      <c r="A4530" s="1">
        <v>116</v>
      </c>
      <c r="B4530" s="159"/>
      <c r="C4530" s="1" t="s">
        <v>4211</v>
      </c>
      <c r="D4530" s="1"/>
      <c r="E4530" s="1"/>
      <c r="F4530" s="1" t="s">
        <v>4214</v>
      </c>
      <c r="G4530" s="1">
        <v>8</v>
      </c>
      <c r="H4530" s="1" t="s">
        <v>19</v>
      </c>
      <c r="I4530" s="1" t="s">
        <v>4086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hidden="1" x14ac:dyDescent="0.25">
      <c r="A4531" s="1">
        <v>117</v>
      </c>
      <c r="B4531" s="159"/>
      <c r="C4531" s="1" t="s">
        <v>4211</v>
      </c>
      <c r="D4531" s="1"/>
      <c r="E4531" s="1"/>
      <c r="F4531" s="1" t="s">
        <v>4215</v>
      </c>
      <c r="G4531" s="1">
        <v>8</v>
      </c>
      <c r="H4531" s="1" t="s">
        <v>19</v>
      </c>
      <c r="I4531" s="1" t="s">
        <v>4086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hidden="1" x14ac:dyDescent="0.25">
      <c r="A4532" s="1">
        <v>118</v>
      </c>
      <c r="B4532" s="159"/>
      <c r="C4532" s="1" t="s">
        <v>4211</v>
      </c>
      <c r="D4532" s="1"/>
      <c r="E4532" s="1"/>
      <c r="F4532" s="1" t="s">
        <v>4216</v>
      </c>
      <c r="G4532" s="1">
        <v>8</v>
      </c>
      <c r="H4532" s="1" t="s">
        <v>19</v>
      </c>
      <c r="I4532" s="1" t="s">
        <v>4086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hidden="1" x14ac:dyDescent="0.25">
      <c r="A4533" s="1">
        <v>119</v>
      </c>
      <c r="B4533" s="159"/>
      <c r="C4533" s="1" t="s">
        <v>4211</v>
      </c>
      <c r="D4533" s="1"/>
      <c r="E4533" s="1"/>
      <c r="F4533" s="1" t="s">
        <v>4217</v>
      </c>
      <c r="G4533" s="1">
        <v>8</v>
      </c>
      <c r="H4533" s="1" t="s">
        <v>19</v>
      </c>
      <c r="I4533" s="1" t="s">
        <v>4086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hidden="1" x14ac:dyDescent="0.25">
      <c r="A4534" s="1">
        <v>120</v>
      </c>
      <c r="B4534" s="159"/>
      <c r="C4534" s="1" t="s">
        <v>4211</v>
      </c>
      <c r="D4534" s="1"/>
      <c r="E4534" s="1"/>
      <c r="F4534" s="1" t="s">
        <v>4218</v>
      </c>
      <c r="G4534" s="1">
        <v>64</v>
      </c>
      <c r="H4534" s="1" t="s">
        <v>19</v>
      </c>
      <c r="I4534" s="1" t="s">
        <v>4086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hidden="1" x14ac:dyDescent="0.25">
      <c r="A4535" s="1">
        <v>121</v>
      </c>
      <c r="B4535" s="159"/>
      <c r="C4535" s="1" t="s">
        <v>4211</v>
      </c>
      <c r="D4535" s="1"/>
      <c r="E4535" s="1"/>
      <c r="F4535" s="1" t="s">
        <v>4219</v>
      </c>
      <c r="G4535" s="1">
        <v>64</v>
      </c>
      <c r="H4535" s="1" t="s">
        <v>19</v>
      </c>
      <c r="I4535" s="1" t="s">
        <v>4086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hidden="1" x14ac:dyDescent="0.25">
      <c r="A4536" s="1">
        <v>122</v>
      </c>
      <c r="B4536" s="159"/>
      <c r="C4536" s="1" t="s">
        <v>4211</v>
      </c>
      <c r="D4536" s="1"/>
      <c r="E4536" s="1"/>
      <c r="F4536" s="1" t="s">
        <v>4220</v>
      </c>
      <c r="G4536" s="1">
        <v>64</v>
      </c>
      <c r="H4536" s="1" t="s">
        <v>19</v>
      </c>
      <c r="I4536" s="1" t="s">
        <v>4086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hidden="1" x14ac:dyDescent="0.25">
      <c r="A4537" s="1">
        <v>123</v>
      </c>
      <c r="B4537" s="159"/>
      <c r="C4537" s="1" t="s">
        <v>4211</v>
      </c>
      <c r="D4537" s="1"/>
      <c r="E4537" s="1"/>
      <c r="F4537" s="1" t="s">
        <v>4221</v>
      </c>
      <c r="G4537" s="1">
        <v>32</v>
      </c>
      <c r="H4537" s="1" t="s">
        <v>19</v>
      </c>
      <c r="I4537" s="1" t="s">
        <v>4086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hidden="1" x14ac:dyDescent="0.25">
      <c r="A4538" s="1">
        <v>124</v>
      </c>
      <c r="B4538" s="159"/>
      <c r="C4538" s="1" t="s">
        <v>4211</v>
      </c>
      <c r="D4538" s="1"/>
      <c r="E4538" s="1"/>
      <c r="F4538" s="1" t="s">
        <v>4222</v>
      </c>
      <c r="G4538" s="1">
        <v>32</v>
      </c>
      <c r="H4538" s="1" t="s">
        <v>19</v>
      </c>
      <c r="I4538" s="1" t="s">
        <v>4086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hidden="1" x14ac:dyDescent="0.25">
      <c r="A4539" s="1">
        <v>125</v>
      </c>
      <c r="B4539" s="159"/>
      <c r="C4539" s="1" t="s">
        <v>4211</v>
      </c>
      <c r="D4539" s="1"/>
      <c r="E4539" s="1"/>
      <c r="F4539" s="1" t="s">
        <v>4223</v>
      </c>
      <c r="G4539" s="1">
        <v>16</v>
      </c>
      <c r="H4539" s="1" t="s">
        <v>19</v>
      </c>
      <c r="I4539" s="1" t="s">
        <v>4086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hidden="1" x14ac:dyDescent="0.25">
      <c r="A4540" s="1">
        <v>126</v>
      </c>
      <c r="B4540" s="159"/>
      <c r="C4540" s="1" t="s">
        <v>4211</v>
      </c>
      <c r="D4540" s="1"/>
      <c r="E4540" s="1"/>
      <c r="F4540" s="1" t="s">
        <v>4224</v>
      </c>
      <c r="G4540" s="1">
        <v>16</v>
      </c>
      <c r="H4540" s="1" t="s">
        <v>19</v>
      </c>
      <c r="I4540" s="1" t="s">
        <v>4086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hidden="1" x14ac:dyDescent="0.25">
      <c r="A4541" s="1">
        <v>127</v>
      </c>
      <c r="B4541" s="159"/>
      <c r="C4541" s="1" t="s">
        <v>4225</v>
      </c>
      <c r="D4541" s="1"/>
      <c r="E4541" s="1"/>
      <c r="F4541" s="1" t="s">
        <v>4226</v>
      </c>
      <c r="G4541" s="1">
        <v>2</v>
      </c>
      <c r="H4541" s="1" t="s">
        <v>19</v>
      </c>
      <c r="I4541" s="1" t="s">
        <v>4086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hidden="1" x14ac:dyDescent="0.25">
      <c r="A4542" s="1">
        <v>128</v>
      </c>
      <c r="B4542" s="159"/>
      <c r="C4542" s="1" t="s">
        <v>4225</v>
      </c>
      <c r="D4542" s="1"/>
      <c r="E4542" s="1"/>
      <c r="F4542" s="1" t="s">
        <v>4227</v>
      </c>
      <c r="G4542" s="1">
        <v>2</v>
      </c>
      <c r="H4542" s="1" t="s">
        <v>19</v>
      </c>
      <c r="I4542" s="1" t="s">
        <v>4086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hidden="1" x14ac:dyDescent="0.25">
      <c r="A4543" s="1">
        <v>129</v>
      </c>
      <c r="B4543" s="159"/>
      <c r="C4543" s="1" t="s">
        <v>4225</v>
      </c>
      <c r="D4543" s="1"/>
      <c r="E4543" s="1"/>
      <c r="F4543" s="1" t="s">
        <v>4228</v>
      </c>
      <c r="G4543" s="1">
        <v>2</v>
      </c>
      <c r="H4543" s="1" t="s">
        <v>19</v>
      </c>
      <c r="I4543" s="1" t="s">
        <v>4086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hidden="1" x14ac:dyDescent="0.25">
      <c r="A4544" s="1">
        <v>130</v>
      </c>
      <c r="B4544" s="159"/>
      <c r="C4544" s="1" t="s">
        <v>4225</v>
      </c>
      <c r="D4544" s="1"/>
      <c r="E4544" s="1"/>
      <c r="F4544" s="1" t="s">
        <v>4229</v>
      </c>
      <c r="G4544" s="1">
        <v>2</v>
      </c>
      <c r="H4544" s="1" t="s">
        <v>19</v>
      </c>
      <c r="I4544" s="1" t="s">
        <v>4086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hidden="1" x14ac:dyDescent="0.25">
      <c r="A4545" s="1">
        <v>131</v>
      </c>
      <c r="B4545" s="159"/>
      <c r="C4545" s="1" t="s">
        <v>4225</v>
      </c>
      <c r="D4545" s="1"/>
      <c r="E4545" s="1"/>
      <c r="F4545" s="1" t="s">
        <v>4230</v>
      </c>
      <c r="G4545" s="1">
        <v>2</v>
      </c>
      <c r="H4545" s="1" t="s">
        <v>19</v>
      </c>
      <c r="I4545" s="1" t="s">
        <v>4086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hidden="1" x14ac:dyDescent="0.25">
      <c r="A4546" s="1">
        <v>132</v>
      </c>
      <c r="B4546" s="159"/>
      <c r="C4546" s="1" t="s">
        <v>4231</v>
      </c>
      <c r="D4546" s="1"/>
      <c r="E4546" s="1"/>
      <c r="F4546" s="1" t="s">
        <v>4232</v>
      </c>
      <c r="G4546" s="1">
        <v>20</v>
      </c>
      <c r="H4546" s="1" t="s">
        <v>19</v>
      </c>
      <c r="I4546" s="1" t="s">
        <v>4086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hidden="1" x14ac:dyDescent="0.25">
      <c r="A4547" s="1">
        <v>133</v>
      </c>
      <c r="B4547" s="159"/>
      <c r="C4547" s="1" t="s">
        <v>4231</v>
      </c>
      <c r="D4547" s="1"/>
      <c r="E4547" s="1"/>
      <c r="F4547" s="1" t="s">
        <v>4233</v>
      </c>
      <c r="G4547" s="1">
        <v>20</v>
      </c>
      <c r="H4547" s="1" t="s">
        <v>19</v>
      </c>
      <c r="I4547" s="1" t="s">
        <v>4086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hidden="1" x14ac:dyDescent="0.25">
      <c r="A4548" s="1">
        <v>134</v>
      </c>
      <c r="B4548" s="159"/>
      <c r="C4548" s="1" t="s">
        <v>4234</v>
      </c>
      <c r="D4548" s="1"/>
      <c r="E4548" s="1"/>
      <c r="F4548" s="1" t="s">
        <v>4235</v>
      </c>
      <c r="G4548" s="1">
        <v>664</v>
      </c>
      <c r="H4548" s="1" t="s">
        <v>19</v>
      </c>
      <c r="I4548" s="1" t="s">
        <v>4086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hidden="1" x14ac:dyDescent="0.25">
      <c r="A4549" s="1">
        <v>135</v>
      </c>
      <c r="B4549" s="159"/>
      <c r="C4549" s="1" t="s">
        <v>4234</v>
      </c>
      <c r="D4549" s="1"/>
      <c r="E4549" s="1"/>
      <c r="F4549" s="1" t="s">
        <v>4236</v>
      </c>
      <c r="G4549" s="1">
        <v>664</v>
      </c>
      <c r="H4549" s="1" t="s">
        <v>19</v>
      </c>
      <c r="I4549" s="1" t="s">
        <v>4086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hidden="1" x14ac:dyDescent="0.25">
      <c r="A4550" s="1">
        <v>136</v>
      </c>
      <c r="B4550" s="159"/>
      <c r="C4550" s="1" t="s">
        <v>4234</v>
      </c>
      <c r="D4550" s="1"/>
      <c r="E4550" s="1"/>
      <c r="F4550" s="1" t="s">
        <v>4237</v>
      </c>
      <c r="G4550" s="1">
        <v>1928</v>
      </c>
      <c r="H4550" s="1" t="s">
        <v>19</v>
      </c>
      <c r="I4550" s="1" t="s">
        <v>4086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hidden="1" x14ac:dyDescent="0.25">
      <c r="A4551" s="1">
        <v>137</v>
      </c>
      <c r="B4551" s="159"/>
      <c r="C4551" s="1" t="s">
        <v>4234</v>
      </c>
      <c r="D4551" s="1"/>
      <c r="E4551" s="1"/>
      <c r="F4551" s="1" t="s">
        <v>4238</v>
      </c>
      <c r="G4551" s="1">
        <v>1168</v>
      </c>
      <c r="H4551" s="1" t="s">
        <v>19</v>
      </c>
      <c r="I4551" s="1" t="s">
        <v>4086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hidden="1" x14ac:dyDescent="0.25">
      <c r="A4552" s="1">
        <v>138</v>
      </c>
      <c r="B4552" s="159"/>
      <c r="C4552" s="1" t="s">
        <v>4234</v>
      </c>
      <c r="D4552" s="1"/>
      <c r="E4552" s="1"/>
      <c r="F4552" s="1" t="s">
        <v>4239</v>
      </c>
      <c r="G4552" s="1">
        <v>800</v>
      </c>
      <c r="H4552" s="1" t="s">
        <v>19</v>
      </c>
      <c r="I4552" s="1" t="s">
        <v>4086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hidden="1" x14ac:dyDescent="0.25">
      <c r="A4553" s="1">
        <v>139</v>
      </c>
      <c r="B4553" s="159"/>
      <c r="C4553" s="1" t="s">
        <v>4234</v>
      </c>
      <c r="D4553" s="1"/>
      <c r="E4553" s="1"/>
      <c r="F4553" s="1" t="s">
        <v>4240</v>
      </c>
      <c r="G4553" s="1">
        <v>336</v>
      </c>
      <c r="H4553" s="1" t="s">
        <v>19</v>
      </c>
      <c r="I4553" s="1" t="s">
        <v>4086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hidden="1" x14ac:dyDescent="0.25">
      <c r="A4554" s="1">
        <v>140</v>
      </c>
      <c r="B4554" s="159"/>
      <c r="C4554" s="1" t="s">
        <v>4144</v>
      </c>
      <c r="D4554" s="1"/>
      <c r="E4554" s="1"/>
      <c r="F4554" s="1" t="s">
        <v>4241</v>
      </c>
      <c r="G4554" s="1">
        <v>32</v>
      </c>
      <c r="H4554" s="1" t="s">
        <v>19</v>
      </c>
      <c r="I4554" s="1" t="s">
        <v>4086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hidden="1" x14ac:dyDescent="0.25">
      <c r="A4555" s="1">
        <v>141</v>
      </c>
      <c r="B4555" s="159"/>
      <c r="C4555" s="1" t="s">
        <v>4144</v>
      </c>
      <c r="D4555" s="1"/>
      <c r="E4555" s="1"/>
      <c r="F4555" s="1" t="s">
        <v>4242</v>
      </c>
      <c r="G4555" s="1">
        <v>32</v>
      </c>
      <c r="H4555" s="1" t="s">
        <v>19</v>
      </c>
      <c r="I4555" s="1" t="s">
        <v>4086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hidden="1" x14ac:dyDescent="0.25">
      <c r="A4556" s="1">
        <v>142</v>
      </c>
      <c r="B4556" s="159"/>
      <c r="C4556" s="1" t="s">
        <v>4243</v>
      </c>
      <c r="D4556" s="1"/>
      <c r="E4556" s="1"/>
      <c r="F4556" s="1" t="s">
        <v>4244</v>
      </c>
      <c r="G4556" s="1">
        <v>32</v>
      </c>
      <c r="H4556" s="1" t="s">
        <v>19</v>
      </c>
      <c r="I4556" s="1" t="s">
        <v>4086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hidden="1" x14ac:dyDescent="0.25">
      <c r="A4557" s="1">
        <v>143</v>
      </c>
      <c r="B4557" s="159"/>
      <c r="C4557" s="1" t="s">
        <v>4243</v>
      </c>
      <c r="D4557" s="1"/>
      <c r="E4557" s="1"/>
      <c r="F4557" s="1" t="s">
        <v>4245</v>
      </c>
      <c r="G4557" s="1">
        <v>32</v>
      </c>
      <c r="H4557" s="1" t="s">
        <v>19</v>
      </c>
      <c r="I4557" s="1" t="s">
        <v>4086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hidden="1" x14ac:dyDescent="0.25">
      <c r="A4558" s="1">
        <v>144</v>
      </c>
      <c r="B4558" s="159"/>
      <c r="C4558" s="1" t="s">
        <v>4243</v>
      </c>
      <c r="D4558" s="1"/>
      <c r="E4558" s="1"/>
      <c r="F4558" s="1" t="s">
        <v>4246</v>
      </c>
      <c r="G4558" s="1">
        <v>16</v>
      </c>
      <c r="H4558" s="1" t="s">
        <v>19</v>
      </c>
      <c r="I4558" s="1" t="s">
        <v>4086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hidden="1" x14ac:dyDescent="0.25">
      <c r="A4559" s="1">
        <v>145</v>
      </c>
      <c r="B4559" s="159"/>
      <c r="C4559" s="1" t="s">
        <v>4243</v>
      </c>
      <c r="D4559" s="1"/>
      <c r="E4559" s="1"/>
      <c r="F4559" s="1" t="s">
        <v>4247</v>
      </c>
      <c r="G4559" s="1">
        <v>16</v>
      </c>
      <c r="H4559" s="1" t="s">
        <v>19</v>
      </c>
      <c r="I4559" s="1" t="s">
        <v>4086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hidden="1" x14ac:dyDescent="0.25">
      <c r="A4560" s="1">
        <v>146</v>
      </c>
      <c r="B4560" s="159"/>
      <c r="C4560" s="1" t="s">
        <v>4243</v>
      </c>
      <c r="D4560" s="1"/>
      <c r="E4560" s="1"/>
      <c r="F4560" s="1" t="s">
        <v>4248</v>
      </c>
      <c r="G4560" s="1">
        <v>8</v>
      </c>
      <c r="H4560" s="1" t="s">
        <v>19</v>
      </c>
      <c r="I4560" s="1" t="s">
        <v>4086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hidden="1" x14ac:dyDescent="0.25">
      <c r="A4561" s="1">
        <v>147</v>
      </c>
      <c r="B4561" s="159"/>
      <c r="C4561" s="1" t="s">
        <v>4249</v>
      </c>
      <c r="D4561" s="1"/>
      <c r="E4561" s="1"/>
      <c r="F4561" s="1" t="s">
        <v>4250</v>
      </c>
      <c r="G4561" s="1">
        <v>72</v>
      </c>
      <c r="H4561" s="1" t="s">
        <v>19</v>
      </c>
      <c r="I4561" s="1" t="s">
        <v>4086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hidden="1" x14ac:dyDescent="0.25">
      <c r="A4562" s="1">
        <v>148</v>
      </c>
      <c r="B4562" s="159"/>
      <c r="C4562" s="1" t="s">
        <v>4249</v>
      </c>
      <c r="D4562" s="1"/>
      <c r="E4562" s="1"/>
      <c r="F4562" s="1" t="s">
        <v>4251</v>
      </c>
      <c r="G4562" s="1">
        <v>72</v>
      </c>
      <c r="H4562" s="1" t="s">
        <v>19</v>
      </c>
      <c r="I4562" s="1" t="s">
        <v>4086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hidden="1" x14ac:dyDescent="0.25">
      <c r="A4563" s="1">
        <v>1</v>
      </c>
      <c r="B4563" s="159"/>
      <c r="C4563" s="1" t="s">
        <v>3762</v>
      </c>
      <c r="D4563" s="1"/>
      <c r="E4563" s="1" t="s">
        <v>3763</v>
      </c>
      <c r="F4563" s="1" t="s">
        <v>3760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hidden="1" x14ac:dyDescent="0.25">
      <c r="A4564" s="1">
        <v>2</v>
      </c>
      <c r="B4564" s="159"/>
      <c r="C4564" s="1" t="s">
        <v>3762</v>
      </c>
      <c r="D4564" s="1"/>
      <c r="E4564" s="1" t="s">
        <v>3763</v>
      </c>
      <c r="F4564" s="1" t="s">
        <v>3760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hidden="1" x14ac:dyDescent="0.25">
      <c r="A4565" s="1">
        <v>3</v>
      </c>
      <c r="B4565" s="159"/>
      <c r="C4565" s="1" t="s">
        <v>3802</v>
      </c>
      <c r="D4565" s="1"/>
      <c r="E4565" s="1" t="s">
        <v>3807</v>
      </c>
      <c r="F4565" s="1" t="s">
        <v>3808</v>
      </c>
      <c r="G4565" s="1">
        <v>8</v>
      </c>
      <c r="H4565" s="1" t="s">
        <v>19</v>
      </c>
      <c r="I4565" s="1" t="s">
        <v>3790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hidden="1" x14ac:dyDescent="0.25">
      <c r="A4566" s="1">
        <v>4</v>
      </c>
      <c r="B4566" s="159"/>
      <c r="C4566" s="1" t="s">
        <v>3802</v>
      </c>
      <c r="D4566" s="1"/>
      <c r="E4566" s="1" t="s">
        <v>3809</v>
      </c>
      <c r="F4566" s="1" t="s">
        <v>3808</v>
      </c>
      <c r="G4566" s="1">
        <v>2</v>
      </c>
      <c r="H4566" s="1" t="s">
        <v>19</v>
      </c>
      <c r="I4566" s="1" t="s">
        <v>3790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hidden="1" x14ac:dyDescent="0.25">
      <c r="A4567" s="1">
        <v>5</v>
      </c>
      <c r="B4567" s="159"/>
      <c r="C4567" s="1" t="s">
        <v>3802</v>
      </c>
      <c r="D4567" s="1"/>
      <c r="E4567" s="1" t="s">
        <v>3810</v>
      </c>
      <c r="F4567" s="1" t="s">
        <v>3808</v>
      </c>
      <c r="G4567" s="1">
        <v>4</v>
      </c>
      <c r="H4567" s="1" t="s">
        <v>19</v>
      </c>
      <c r="I4567" s="1" t="s">
        <v>3790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hidden="1" x14ac:dyDescent="0.25">
      <c r="A4568" s="1">
        <v>6</v>
      </c>
      <c r="B4568" s="159"/>
      <c r="C4568" s="1" t="s">
        <v>3802</v>
      </c>
      <c r="D4568" s="1"/>
      <c r="E4568" s="1" t="s">
        <v>3811</v>
      </c>
      <c r="F4568" s="1" t="s">
        <v>3808</v>
      </c>
      <c r="G4568" s="1">
        <v>2</v>
      </c>
      <c r="H4568" s="1" t="s">
        <v>19</v>
      </c>
      <c r="I4568" s="1" t="s">
        <v>3790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hidden="1" x14ac:dyDescent="0.25">
      <c r="A4569" s="1">
        <v>7</v>
      </c>
      <c r="B4569" s="159"/>
      <c r="C4569" s="1" t="s">
        <v>3821</v>
      </c>
      <c r="D4569" s="1"/>
      <c r="E4569" s="1" t="s">
        <v>3824</v>
      </c>
      <c r="F4569" s="1" t="s">
        <v>3808</v>
      </c>
      <c r="G4569" s="1">
        <v>2</v>
      </c>
      <c r="H4569" s="1" t="s">
        <v>19</v>
      </c>
      <c r="I4569" s="1" t="s">
        <v>3790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hidden="1" x14ac:dyDescent="0.25">
      <c r="A4570" s="1">
        <v>8</v>
      </c>
      <c r="B4570" s="159"/>
      <c r="C4570" s="1" t="s">
        <v>3821</v>
      </c>
      <c r="D4570" s="1"/>
      <c r="E4570" s="1" t="s">
        <v>3825</v>
      </c>
      <c r="F4570" s="1" t="s">
        <v>3808</v>
      </c>
      <c r="G4570" s="1">
        <v>2</v>
      </c>
      <c r="H4570" s="1" t="s">
        <v>19</v>
      </c>
      <c r="I4570" s="1" t="s">
        <v>3790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hidden="1" x14ac:dyDescent="0.25">
      <c r="A4571" s="1">
        <v>9</v>
      </c>
      <c r="B4571" s="159"/>
      <c r="C4571" s="1" t="s">
        <v>3821</v>
      </c>
      <c r="D4571" s="1"/>
      <c r="E4571" s="1" t="s">
        <v>3826</v>
      </c>
      <c r="F4571" s="1" t="s">
        <v>3808</v>
      </c>
      <c r="G4571" s="1">
        <v>6</v>
      </c>
      <c r="H4571" s="1" t="s">
        <v>19</v>
      </c>
      <c r="I4571" s="1" t="s">
        <v>3790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hidden="1" x14ac:dyDescent="0.25">
      <c r="A4572" s="1">
        <v>10</v>
      </c>
      <c r="B4572" s="159"/>
      <c r="C4572" s="1" t="s">
        <v>3821</v>
      </c>
      <c r="D4572" s="1"/>
      <c r="E4572" s="1" t="s">
        <v>3827</v>
      </c>
      <c r="F4572" s="1" t="s">
        <v>3808</v>
      </c>
      <c r="G4572" s="1">
        <v>4</v>
      </c>
      <c r="H4572" s="1" t="s">
        <v>19</v>
      </c>
      <c r="I4572" s="1" t="s">
        <v>3790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hidden="1" x14ac:dyDescent="0.25">
      <c r="A4573" s="1">
        <v>11</v>
      </c>
      <c r="B4573" s="159"/>
      <c r="C4573" s="1" t="s">
        <v>3858</v>
      </c>
      <c r="D4573" s="1"/>
      <c r="E4573" s="1" t="s">
        <v>3861</v>
      </c>
      <c r="F4573" s="1" t="s">
        <v>3808</v>
      </c>
      <c r="G4573" s="1">
        <v>10</v>
      </c>
      <c r="H4573" s="1" t="s">
        <v>19</v>
      </c>
      <c r="I4573" s="1" t="s">
        <v>3790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hidden="1" x14ac:dyDescent="0.25">
      <c r="A4574" s="1">
        <v>12</v>
      </c>
      <c r="B4574" s="159"/>
      <c r="C4574" s="1" t="s">
        <v>3858</v>
      </c>
      <c r="D4574" s="1"/>
      <c r="E4574" s="1" t="s">
        <v>3862</v>
      </c>
      <c r="F4574" s="1" t="s">
        <v>3808</v>
      </c>
      <c r="G4574" s="1">
        <v>2</v>
      </c>
      <c r="H4574" s="1" t="s">
        <v>19</v>
      </c>
      <c r="I4574" s="1" t="s">
        <v>3790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hidden="1" x14ac:dyDescent="0.25">
      <c r="A4575" s="1">
        <v>13</v>
      </c>
      <c r="B4575" s="159"/>
      <c r="C4575" s="1" t="s">
        <v>3858</v>
      </c>
      <c r="D4575" s="1"/>
      <c r="E4575" s="1" t="s">
        <v>3863</v>
      </c>
      <c r="F4575" s="1" t="s">
        <v>3808</v>
      </c>
      <c r="G4575" s="1">
        <v>2</v>
      </c>
      <c r="H4575" s="1" t="s">
        <v>19</v>
      </c>
      <c r="I4575" s="1" t="s">
        <v>3790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hidden="1" x14ac:dyDescent="0.25">
      <c r="A4576" s="1">
        <v>14</v>
      </c>
      <c r="B4576" s="159"/>
      <c r="C4576" s="1" t="s">
        <v>3864</v>
      </c>
      <c r="D4576" s="1"/>
      <c r="E4576" s="1" t="s">
        <v>3867</v>
      </c>
      <c r="F4576" s="1" t="s">
        <v>3808</v>
      </c>
      <c r="G4576" s="1">
        <v>2</v>
      </c>
      <c r="H4576" s="1" t="s">
        <v>19</v>
      </c>
      <c r="I4576" s="1" t="s">
        <v>3790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hidden="1" x14ac:dyDescent="0.25">
      <c r="A4577" s="1">
        <v>15</v>
      </c>
      <c r="B4577" s="159"/>
      <c r="C4577" s="1" t="s">
        <v>3864</v>
      </c>
      <c r="D4577" s="1"/>
      <c r="E4577" s="1" t="s">
        <v>3868</v>
      </c>
      <c r="F4577" s="1" t="s">
        <v>3808</v>
      </c>
      <c r="G4577" s="1">
        <v>2</v>
      </c>
      <c r="H4577" s="1" t="s">
        <v>19</v>
      </c>
      <c r="I4577" s="1" t="s">
        <v>3790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hidden="1" x14ac:dyDescent="0.25">
      <c r="A4578" s="1">
        <v>16</v>
      </c>
      <c r="B4578" s="159"/>
      <c r="C4578" s="1" t="s">
        <v>3864</v>
      </c>
      <c r="D4578" s="1"/>
      <c r="E4578" s="1" t="s">
        <v>3869</v>
      </c>
      <c r="F4578" s="1" t="s">
        <v>3808</v>
      </c>
      <c r="G4578" s="1">
        <v>2</v>
      </c>
      <c r="H4578" s="1" t="s">
        <v>19</v>
      </c>
      <c r="I4578" s="1" t="s">
        <v>3790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hidden="1" x14ac:dyDescent="0.25">
      <c r="A4579" s="1">
        <v>17</v>
      </c>
      <c r="B4579" s="159"/>
      <c r="C4579" s="1" t="s">
        <v>3864</v>
      </c>
      <c r="D4579" s="1"/>
      <c r="E4579" s="1" t="s">
        <v>3870</v>
      </c>
      <c r="F4579" s="1" t="s">
        <v>3808</v>
      </c>
      <c r="G4579" s="1">
        <v>2</v>
      </c>
      <c r="H4579" s="1" t="s">
        <v>19</v>
      </c>
      <c r="I4579" s="1" t="s">
        <v>3790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hidden="1" x14ac:dyDescent="0.25">
      <c r="A4580" s="1">
        <v>18</v>
      </c>
      <c r="B4580" s="159"/>
      <c r="C4580" s="1" t="s">
        <v>3864</v>
      </c>
      <c r="D4580" s="1"/>
      <c r="E4580" s="1" t="s">
        <v>3871</v>
      </c>
      <c r="F4580" s="1" t="s">
        <v>3808</v>
      </c>
      <c r="G4580" s="1">
        <v>2</v>
      </c>
      <c r="H4580" s="1" t="s">
        <v>19</v>
      </c>
      <c r="I4580" s="1" t="s">
        <v>3790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hidden="1" x14ac:dyDescent="0.25">
      <c r="A4581" s="1">
        <v>19</v>
      </c>
      <c r="B4581" s="159"/>
      <c r="C4581" s="1" t="s">
        <v>3864</v>
      </c>
      <c r="D4581" s="1"/>
      <c r="E4581" s="1" t="s">
        <v>3872</v>
      </c>
      <c r="F4581" s="1" t="s">
        <v>3808</v>
      </c>
      <c r="G4581" s="1">
        <v>4</v>
      </c>
      <c r="H4581" s="1" t="s">
        <v>19</v>
      </c>
      <c r="I4581" s="1" t="s">
        <v>3790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hidden="1" x14ac:dyDescent="0.25">
      <c r="A4582" s="1">
        <v>20</v>
      </c>
      <c r="B4582" s="159"/>
      <c r="C4582" s="1" t="s">
        <v>3873</v>
      </c>
      <c r="D4582" s="1"/>
      <c r="E4582" s="1" t="s">
        <v>3874</v>
      </c>
      <c r="F4582" s="1" t="s">
        <v>3808</v>
      </c>
      <c r="G4582" s="1">
        <v>12</v>
      </c>
      <c r="H4582" s="1" t="s">
        <v>19</v>
      </c>
      <c r="I4582" s="1" t="s">
        <v>3790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hidden="1" x14ac:dyDescent="0.25">
      <c r="A4583" s="1">
        <v>21</v>
      </c>
      <c r="B4583" s="159"/>
      <c r="C4583" s="1" t="s">
        <v>3875</v>
      </c>
      <c r="D4583" s="1"/>
      <c r="E4583" s="1" t="s">
        <v>3878</v>
      </c>
      <c r="F4583" s="1" t="s">
        <v>3808</v>
      </c>
      <c r="G4583" s="1">
        <v>12</v>
      </c>
      <c r="H4583" s="1" t="s">
        <v>19</v>
      </c>
      <c r="I4583" s="1" t="s">
        <v>3790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hidden="1" x14ac:dyDescent="0.25">
      <c r="A4584" s="1">
        <v>22</v>
      </c>
      <c r="B4584" s="159"/>
      <c r="C4584" s="1" t="s">
        <v>3904</v>
      </c>
      <c r="D4584" s="1"/>
      <c r="E4584" s="1" t="s">
        <v>3905</v>
      </c>
      <c r="F4584" s="1" t="s">
        <v>3906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hidden="1" x14ac:dyDescent="0.25">
      <c r="A4585" s="1">
        <v>23</v>
      </c>
      <c r="B4585" s="159"/>
      <c r="C4585" s="1" t="s">
        <v>3904</v>
      </c>
      <c r="D4585" s="1"/>
      <c r="E4585" s="1" t="s">
        <v>3907</v>
      </c>
      <c r="F4585" s="1" t="s">
        <v>3908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hidden="1" x14ac:dyDescent="0.25">
      <c r="A4586" s="1">
        <v>24</v>
      </c>
      <c r="B4586" s="159"/>
      <c r="C4586" s="1" t="s">
        <v>3904</v>
      </c>
      <c r="D4586" s="1"/>
      <c r="E4586" s="1" t="s">
        <v>3907</v>
      </c>
      <c r="F4586" s="1" t="s">
        <v>3908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hidden="1" x14ac:dyDescent="0.25">
      <c r="A4587" s="1">
        <v>1</v>
      </c>
      <c r="B4587" s="159"/>
      <c r="C4587" s="1" t="s">
        <v>3779</v>
      </c>
      <c r="D4587" s="1"/>
      <c r="E4587" s="1" t="s">
        <v>3780</v>
      </c>
      <c r="F4587" s="1" t="s">
        <v>3781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hidden="1" x14ac:dyDescent="0.25">
      <c r="A4588" s="1">
        <v>2</v>
      </c>
      <c r="B4588" s="159"/>
      <c r="C4588" s="1" t="s">
        <v>3779</v>
      </c>
      <c r="D4588" s="1"/>
      <c r="E4588" s="1" t="s">
        <v>3780</v>
      </c>
      <c r="F4588" s="1" t="s">
        <v>3781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hidden="1" x14ac:dyDescent="0.25">
      <c r="A4589" s="1">
        <v>3</v>
      </c>
      <c r="B4589" s="159"/>
      <c r="C4589" s="1" t="s">
        <v>3783</v>
      </c>
      <c r="D4589" s="1"/>
      <c r="E4589" s="1" t="s">
        <v>3784</v>
      </c>
      <c r="F4589" s="1" t="s">
        <v>3781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hidden="1" x14ac:dyDescent="0.25">
      <c r="A4590" s="1">
        <v>4</v>
      </c>
      <c r="B4590" s="159"/>
      <c r="C4590" s="1" t="s">
        <v>3783</v>
      </c>
      <c r="D4590" s="1"/>
      <c r="E4590" s="1" t="s">
        <v>3784</v>
      </c>
      <c r="F4590" s="1" t="s">
        <v>3781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hidden="1" x14ac:dyDescent="0.25">
      <c r="A4591" s="1">
        <v>5</v>
      </c>
      <c r="B4591" s="159"/>
      <c r="C4591" s="1" t="s">
        <v>3913</v>
      </c>
      <c r="D4591" s="1"/>
      <c r="E4591" s="1" t="s">
        <v>3914</v>
      </c>
      <c r="F4591" s="1" t="s">
        <v>3915</v>
      </c>
      <c r="G4591" s="1">
        <v>30</v>
      </c>
      <c r="H4591" s="1" t="s">
        <v>19</v>
      </c>
      <c r="I4591" s="1" t="s">
        <v>3790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hidden="1" x14ac:dyDescent="0.25">
      <c r="A4592" s="1">
        <v>6</v>
      </c>
      <c r="B4592" s="159"/>
      <c r="C4592" s="1" t="s">
        <v>3913</v>
      </c>
      <c r="D4592" s="1"/>
      <c r="E4592" s="1" t="s">
        <v>3917</v>
      </c>
      <c r="F4592" s="1" t="s">
        <v>3918</v>
      </c>
      <c r="G4592" s="1">
        <v>30</v>
      </c>
      <c r="H4592" s="1" t="s">
        <v>19</v>
      </c>
      <c r="I4592" s="1" t="s">
        <v>3790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hidden="1" x14ac:dyDescent="0.25">
      <c r="A4593" s="1">
        <v>7</v>
      </c>
      <c r="B4593" s="159"/>
      <c r="C4593" s="1" t="s">
        <v>3913</v>
      </c>
      <c r="D4593" s="1"/>
      <c r="E4593" s="1" t="s">
        <v>3919</v>
      </c>
      <c r="F4593" s="1" t="s">
        <v>3920</v>
      </c>
      <c r="G4593" s="1">
        <v>40</v>
      </c>
      <c r="H4593" s="1" t="s">
        <v>19</v>
      </c>
      <c r="I4593" s="1" t="s">
        <v>3790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hidden="1" x14ac:dyDescent="0.25">
      <c r="A4594" s="1">
        <v>8</v>
      </c>
      <c r="B4594" s="159"/>
      <c r="C4594" s="1" t="s">
        <v>3913</v>
      </c>
      <c r="D4594" s="1"/>
      <c r="E4594" s="1" t="s">
        <v>3921</v>
      </c>
      <c r="F4594" s="1" t="s">
        <v>3922</v>
      </c>
      <c r="G4594" s="1">
        <v>10</v>
      </c>
      <c r="H4594" s="1" t="s">
        <v>19</v>
      </c>
      <c r="I4594" s="1" t="s">
        <v>3790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hidden="1" x14ac:dyDescent="0.25">
      <c r="A4595" s="1">
        <v>9</v>
      </c>
      <c r="B4595" s="159"/>
      <c r="C4595" s="1" t="s">
        <v>3913</v>
      </c>
      <c r="D4595" s="1"/>
      <c r="E4595" s="1" t="s">
        <v>3923</v>
      </c>
      <c r="F4595" s="1" t="s">
        <v>3924</v>
      </c>
      <c r="G4595" s="1">
        <v>10</v>
      </c>
      <c r="H4595" s="1" t="s">
        <v>19</v>
      </c>
      <c r="I4595" s="1" t="s">
        <v>3790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hidden="1" x14ac:dyDescent="0.25">
      <c r="A4596" s="1">
        <v>10</v>
      </c>
      <c r="B4596" s="159"/>
      <c r="C4596" s="1" t="s">
        <v>3913</v>
      </c>
      <c r="D4596" s="1"/>
      <c r="E4596" s="1" t="s">
        <v>3925</v>
      </c>
      <c r="F4596" s="1" t="s">
        <v>3926</v>
      </c>
      <c r="G4596" s="1">
        <v>22</v>
      </c>
      <c r="H4596" s="1" t="s">
        <v>19</v>
      </c>
      <c r="I4596" s="1" t="s">
        <v>3790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hidden="1" x14ac:dyDescent="0.25">
      <c r="A4597" s="1">
        <v>11</v>
      </c>
      <c r="B4597" s="159"/>
      <c r="C4597" s="1" t="s">
        <v>3913</v>
      </c>
      <c r="D4597" s="1"/>
      <c r="E4597" s="1" t="s">
        <v>3927</v>
      </c>
      <c r="F4597" s="1" t="s">
        <v>3928</v>
      </c>
      <c r="G4597" s="1">
        <v>2</v>
      </c>
      <c r="H4597" s="1" t="s">
        <v>19</v>
      </c>
      <c r="I4597" s="1" t="s">
        <v>3790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hidden="1" x14ac:dyDescent="0.25">
      <c r="A4598" s="1">
        <v>1</v>
      </c>
      <c r="B4598" s="159">
        <v>4057</v>
      </c>
      <c r="C4598" s="1" t="s">
        <v>3773</v>
      </c>
      <c r="D4598" s="1"/>
      <c r="E4598" s="1" t="s">
        <v>3778</v>
      </c>
      <c r="F4598" s="1" t="s">
        <v>3777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hidden="1" x14ac:dyDescent="0.25">
      <c r="A4599" s="1">
        <v>2</v>
      </c>
      <c r="B4599" s="159">
        <v>4058</v>
      </c>
      <c r="C4599" s="1" t="s">
        <v>3773</v>
      </c>
      <c r="D4599" s="1"/>
      <c r="E4599" s="1" t="s">
        <v>3778</v>
      </c>
      <c r="F4599" s="1" t="s">
        <v>3777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hidden="1" x14ac:dyDescent="0.25">
      <c r="A4600" s="1">
        <v>3</v>
      </c>
      <c r="B4600" s="159"/>
      <c r="C4600" s="1" t="s">
        <v>3864</v>
      </c>
      <c r="D4600" s="1"/>
      <c r="E4600" s="1" t="s">
        <v>4252</v>
      </c>
      <c r="F4600" s="1" t="s">
        <v>3804</v>
      </c>
      <c r="G4600" s="1">
        <v>2</v>
      </c>
      <c r="H4600" s="1" t="s">
        <v>19</v>
      </c>
      <c r="I4600" s="1" t="s">
        <v>3790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hidden="1" x14ac:dyDescent="0.25">
      <c r="A4601" s="1">
        <v>4</v>
      </c>
      <c r="B4601" s="159"/>
      <c r="C4601" s="1" t="s">
        <v>3930</v>
      </c>
      <c r="D4601" s="1"/>
      <c r="E4601" s="1" t="s">
        <v>3931</v>
      </c>
      <c r="F4601" s="1" t="s">
        <v>3781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hidden="1" x14ac:dyDescent="0.25">
      <c r="A4602" s="1">
        <v>5</v>
      </c>
      <c r="B4602" s="159"/>
      <c r="C4602" s="1" t="s">
        <v>3930</v>
      </c>
      <c r="D4602" s="1"/>
      <c r="E4602" s="1" t="s">
        <v>3931</v>
      </c>
      <c r="F4602" s="1" t="s">
        <v>3781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hidden="1" x14ac:dyDescent="0.25">
      <c r="A4603" s="1">
        <v>6</v>
      </c>
      <c r="B4603" s="159"/>
      <c r="C4603" s="1" t="s">
        <v>3933</v>
      </c>
      <c r="D4603" s="1"/>
      <c r="E4603" s="1" t="s">
        <v>3934</v>
      </c>
      <c r="F4603" s="1" t="s">
        <v>3781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hidden="1" x14ac:dyDescent="0.25">
      <c r="A4604" s="1">
        <v>7</v>
      </c>
      <c r="B4604" s="159"/>
      <c r="C4604" s="1" t="s">
        <v>3933</v>
      </c>
      <c r="D4604" s="1"/>
      <c r="E4604" s="1" t="s">
        <v>3934</v>
      </c>
      <c r="F4604" s="1" t="s">
        <v>3781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hidden="1" x14ac:dyDescent="0.25">
      <c r="A4605" s="1">
        <v>8</v>
      </c>
      <c r="B4605" s="159"/>
      <c r="C4605" s="1" t="s">
        <v>3935</v>
      </c>
      <c r="D4605" s="1"/>
      <c r="E4605" s="1" t="s">
        <v>3936</v>
      </c>
      <c r="F4605" s="1" t="s">
        <v>3937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hidden="1" x14ac:dyDescent="0.25">
      <c r="A4606" s="1">
        <v>9</v>
      </c>
      <c r="B4606" s="159"/>
      <c r="C4606" s="1" t="s">
        <v>3935</v>
      </c>
      <c r="D4606" s="1"/>
      <c r="E4606" s="1" t="s">
        <v>3938</v>
      </c>
      <c r="F4606" s="1" t="s">
        <v>3937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hidden="1" x14ac:dyDescent="0.25">
      <c r="A4607" s="1">
        <v>10</v>
      </c>
      <c r="B4607" s="159"/>
      <c r="C4607" s="1" t="s">
        <v>3935</v>
      </c>
      <c r="D4607" s="1"/>
      <c r="E4607" s="1" t="s">
        <v>3939</v>
      </c>
      <c r="F4607" s="1" t="s">
        <v>3937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hidden="1" x14ac:dyDescent="0.25">
      <c r="A4608" s="1">
        <v>11</v>
      </c>
      <c r="B4608" s="159"/>
      <c r="C4608" s="1" t="s">
        <v>3935</v>
      </c>
      <c r="D4608" s="1"/>
      <c r="E4608" s="1" t="s">
        <v>3940</v>
      </c>
      <c r="F4608" s="1" t="s">
        <v>3937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hidden="1" x14ac:dyDescent="0.25">
      <c r="A4609" s="1">
        <v>12</v>
      </c>
      <c r="B4609" s="159"/>
      <c r="C4609" s="1" t="s">
        <v>3935</v>
      </c>
      <c r="D4609" s="1"/>
      <c r="E4609" s="1" t="s">
        <v>3942</v>
      </c>
      <c r="F4609" s="1" t="s">
        <v>3937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hidden="1" x14ac:dyDescent="0.25">
      <c r="A4610" s="1">
        <v>13</v>
      </c>
      <c r="B4610" s="159"/>
      <c r="C4610" s="1" t="s">
        <v>3935</v>
      </c>
      <c r="D4610" s="1"/>
      <c r="E4610" s="1" t="s">
        <v>3943</v>
      </c>
      <c r="F4610" s="1" t="s">
        <v>3937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hidden="1" x14ac:dyDescent="0.25">
      <c r="A4611" s="1">
        <v>14</v>
      </c>
      <c r="B4611" s="159"/>
      <c r="C4611" s="1" t="s">
        <v>3935</v>
      </c>
      <c r="D4611" s="1"/>
      <c r="E4611" s="1" t="s">
        <v>3936</v>
      </c>
      <c r="F4611" s="1" t="s">
        <v>3937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hidden="1" x14ac:dyDescent="0.25">
      <c r="A4612" s="1">
        <v>15</v>
      </c>
      <c r="B4612" s="159"/>
      <c r="C4612" s="1" t="s">
        <v>3935</v>
      </c>
      <c r="D4612" s="1"/>
      <c r="E4612" s="1" t="s">
        <v>3938</v>
      </c>
      <c r="F4612" s="1" t="s">
        <v>3937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hidden="1" x14ac:dyDescent="0.25">
      <c r="A4613" s="1">
        <v>16</v>
      </c>
      <c r="B4613" s="159"/>
      <c r="C4613" s="1" t="s">
        <v>3935</v>
      </c>
      <c r="D4613" s="1"/>
      <c r="E4613" s="1" t="s">
        <v>3939</v>
      </c>
      <c r="F4613" s="1" t="s">
        <v>3937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hidden="1" x14ac:dyDescent="0.25">
      <c r="A4614" s="1">
        <v>17</v>
      </c>
      <c r="B4614" s="159"/>
      <c r="C4614" s="1" t="s">
        <v>3935</v>
      </c>
      <c r="D4614" s="1"/>
      <c r="E4614" s="1" t="s">
        <v>3940</v>
      </c>
      <c r="F4614" s="1" t="s">
        <v>3937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hidden="1" x14ac:dyDescent="0.25">
      <c r="A4615" s="1">
        <v>18</v>
      </c>
      <c r="B4615" s="159"/>
      <c r="C4615" s="1" t="s">
        <v>3935</v>
      </c>
      <c r="D4615" s="1"/>
      <c r="E4615" s="1" t="s">
        <v>3942</v>
      </c>
      <c r="F4615" s="1" t="s">
        <v>3937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hidden="1" x14ac:dyDescent="0.25">
      <c r="A4616" s="1">
        <v>19</v>
      </c>
      <c r="B4616" s="159"/>
      <c r="C4616" s="1" t="s">
        <v>3935</v>
      </c>
      <c r="D4616" s="1"/>
      <c r="E4616" s="1" t="s">
        <v>3943</v>
      </c>
      <c r="F4616" s="1" t="s">
        <v>3937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hidden="1" x14ac:dyDescent="0.25">
      <c r="A4617" s="1">
        <v>20</v>
      </c>
      <c r="B4617" s="159"/>
      <c r="C4617" s="1" t="s">
        <v>3971</v>
      </c>
      <c r="D4617" s="1"/>
      <c r="E4617" s="1" t="s">
        <v>3977</v>
      </c>
      <c r="F4617" s="1" t="s">
        <v>3978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hidden="1" x14ac:dyDescent="0.25">
      <c r="A4618" s="1">
        <v>21</v>
      </c>
      <c r="B4618" s="159"/>
      <c r="C4618" s="1" t="s">
        <v>3971</v>
      </c>
      <c r="D4618" s="1"/>
      <c r="E4618" s="1" t="s">
        <v>3977</v>
      </c>
      <c r="F4618" s="1" t="s">
        <v>3978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hidden="1" x14ac:dyDescent="0.25">
      <c r="A4619" s="1">
        <v>22</v>
      </c>
      <c r="B4619" s="159"/>
      <c r="C4619" s="1" t="s">
        <v>3979</v>
      </c>
      <c r="D4619" s="1"/>
      <c r="E4619" s="1" t="s">
        <v>3980</v>
      </c>
      <c r="F4619" s="1" t="s">
        <v>3981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hidden="1" x14ac:dyDescent="0.25">
      <c r="A4620" s="1">
        <v>23</v>
      </c>
      <c r="B4620" s="159"/>
      <c r="C4620" s="1" t="s">
        <v>3979</v>
      </c>
      <c r="D4620" s="1"/>
      <c r="E4620" s="1" t="s">
        <v>3980</v>
      </c>
      <c r="F4620" s="1" t="s">
        <v>3981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hidden="1" x14ac:dyDescent="0.25">
      <c r="A4621" s="1">
        <v>1</v>
      </c>
      <c r="B4621" s="159"/>
      <c r="C4621" s="1" t="s">
        <v>3812</v>
      </c>
      <c r="D4621" s="1"/>
      <c r="E4621" s="1" t="s">
        <v>3813</v>
      </c>
      <c r="F4621" s="1" t="s">
        <v>3814</v>
      </c>
      <c r="G4621" s="1">
        <v>3</v>
      </c>
      <c r="H4621" s="1" t="s">
        <v>19</v>
      </c>
      <c r="I4621" s="1" t="s">
        <v>3790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hidden="1" x14ac:dyDescent="0.25">
      <c r="A4622" s="1">
        <v>2</v>
      </c>
      <c r="B4622" s="159"/>
      <c r="C4622" s="1" t="s">
        <v>3875</v>
      </c>
      <c r="D4622" s="1"/>
      <c r="E4622" s="1" t="s">
        <v>3876</v>
      </c>
      <c r="F4622" s="1" t="s">
        <v>3804</v>
      </c>
      <c r="G4622" s="1">
        <v>2</v>
      </c>
      <c r="H4622" s="1" t="s">
        <v>19</v>
      </c>
      <c r="I4622" s="1" t="s">
        <v>3790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hidden="1" x14ac:dyDescent="0.25">
      <c r="A4623" s="1">
        <v>3</v>
      </c>
      <c r="B4623" s="159"/>
      <c r="C4623" s="1" t="s">
        <v>3875</v>
      </c>
      <c r="D4623" s="1"/>
      <c r="E4623" s="1" t="s">
        <v>3877</v>
      </c>
      <c r="F4623" s="1" t="s">
        <v>3806</v>
      </c>
      <c r="G4623" s="1">
        <v>2</v>
      </c>
      <c r="H4623" s="1" t="s">
        <v>19</v>
      </c>
      <c r="I4623" s="1" t="s">
        <v>3790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hidden="1" x14ac:dyDescent="0.25">
      <c r="A4624" s="1">
        <v>4</v>
      </c>
      <c r="B4624" s="159"/>
      <c r="C4624" s="1" t="s">
        <v>3837</v>
      </c>
      <c r="D4624" s="1"/>
      <c r="E4624" s="1" t="s">
        <v>3840</v>
      </c>
      <c r="F4624" s="1" t="s">
        <v>3818</v>
      </c>
      <c r="G4624" s="1">
        <v>2</v>
      </c>
      <c r="H4624" s="1" t="s">
        <v>19</v>
      </c>
      <c r="I4624" s="1" t="s">
        <v>3790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hidden="1" x14ac:dyDescent="0.25">
      <c r="A4625" s="1">
        <v>5</v>
      </c>
      <c r="B4625" s="159"/>
      <c r="C4625" s="1" t="s">
        <v>3837</v>
      </c>
      <c r="D4625" s="1"/>
      <c r="E4625" s="1" t="s">
        <v>3841</v>
      </c>
      <c r="F4625" s="1" t="s">
        <v>3820</v>
      </c>
      <c r="G4625" s="1">
        <v>2</v>
      </c>
      <c r="H4625" s="1" t="s">
        <v>19</v>
      </c>
      <c r="I4625" s="1" t="s">
        <v>3790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hidden="1" x14ac:dyDescent="0.25">
      <c r="A4626" s="1">
        <v>6</v>
      </c>
      <c r="B4626" s="159"/>
      <c r="C4626" s="1" t="s">
        <v>3842</v>
      </c>
      <c r="D4626" s="1"/>
      <c r="E4626" s="1" t="s">
        <v>3843</v>
      </c>
      <c r="F4626" s="1" t="s">
        <v>3844</v>
      </c>
      <c r="G4626" s="1">
        <v>2</v>
      </c>
      <c r="H4626" s="1" t="s">
        <v>19</v>
      </c>
      <c r="I4626" s="1" t="s">
        <v>3790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hidden="1" x14ac:dyDescent="0.25">
      <c r="A4627" s="1">
        <v>7</v>
      </c>
      <c r="B4627" s="159"/>
      <c r="C4627" s="1" t="s">
        <v>3828</v>
      </c>
      <c r="D4627" s="1"/>
      <c r="E4627" s="1" t="s">
        <v>3829</v>
      </c>
      <c r="F4627" s="1" t="s">
        <v>3814</v>
      </c>
      <c r="G4627" s="1">
        <v>4</v>
      </c>
      <c r="H4627" s="1" t="s">
        <v>19</v>
      </c>
      <c r="I4627" s="1" t="s">
        <v>3790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hidden="1" x14ac:dyDescent="0.25">
      <c r="A4628" s="1">
        <v>8</v>
      </c>
      <c r="B4628" s="159"/>
      <c r="C4628" s="1" t="s">
        <v>3832</v>
      </c>
      <c r="D4628" s="1"/>
      <c r="E4628" s="1" t="s">
        <v>3833</v>
      </c>
      <c r="F4628" s="1" t="s">
        <v>3814</v>
      </c>
      <c r="G4628" s="1">
        <v>2</v>
      </c>
      <c r="H4628" s="1" t="s">
        <v>19</v>
      </c>
      <c r="I4628" s="1" t="s">
        <v>3790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hidden="1" x14ac:dyDescent="0.25">
      <c r="A4629" s="1">
        <v>9</v>
      </c>
      <c r="B4629" s="159"/>
      <c r="C4629" s="1" t="s">
        <v>3832</v>
      </c>
      <c r="D4629" s="1"/>
      <c r="E4629" s="1" t="s">
        <v>3834</v>
      </c>
      <c r="F4629" s="1" t="s">
        <v>3816</v>
      </c>
      <c r="G4629" s="1">
        <v>2</v>
      </c>
      <c r="H4629" s="1" t="s">
        <v>19</v>
      </c>
      <c r="I4629" s="1" t="s">
        <v>3790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hidden="1" x14ac:dyDescent="0.25">
      <c r="A4630" s="1">
        <v>10</v>
      </c>
      <c r="B4630" s="159"/>
      <c r="C4630" s="1" t="s">
        <v>3832</v>
      </c>
      <c r="D4630" s="1"/>
      <c r="E4630" s="1" t="s">
        <v>3835</v>
      </c>
      <c r="F4630" s="1" t="s">
        <v>3818</v>
      </c>
      <c r="G4630" s="1">
        <v>2</v>
      </c>
      <c r="H4630" s="1" t="s">
        <v>19</v>
      </c>
      <c r="I4630" s="1" t="s">
        <v>3790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hidden="1" x14ac:dyDescent="0.25">
      <c r="A4631" s="1">
        <v>11</v>
      </c>
      <c r="B4631" s="159"/>
      <c r="C4631" s="1" t="s">
        <v>3837</v>
      </c>
      <c r="D4631" s="1"/>
      <c r="E4631" s="1" t="s">
        <v>3838</v>
      </c>
      <c r="F4631" s="1" t="s">
        <v>3814</v>
      </c>
      <c r="G4631" s="1">
        <v>2</v>
      </c>
      <c r="H4631" s="1" t="s">
        <v>19</v>
      </c>
      <c r="I4631" s="1" t="s">
        <v>3790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hidden="1" x14ac:dyDescent="0.25">
      <c r="A4632" s="1">
        <v>12</v>
      </c>
      <c r="B4632" s="159"/>
      <c r="C4632" s="1" t="s">
        <v>3812</v>
      </c>
      <c r="D4632" s="1"/>
      <c r="E4632" s="1" t="s">
        <v>3813</v>
      </c>
      <c r="F4632" s="1" t="s">
        <v>3814</v>
      </c>
      <c r="G4632" s="1">
        <v>1</v>
      </c>
      <c r="H4632" s="1" t="s">
        <v>19</v>
      </c>
      <c r="I4632" s="1" t="s">
        <v>3790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hidden="1" x14ac:dyDescent="0.25">
      <c r="A4633" s="1">
        <v>13</v>
      </c>
      <c r="B4633" s="159"/>
      <c r="C4633" s="1" t="s">
        <v>3832</v>
      </c>
      <c r="D4633" s="1"/>
      <c r="E4633" s="1" t="s">
        <v>3836</v>
      </c>
      <c r="F4633" s="1" t="s">
        <v>3820</v>
      </c>
      <c r="G4633" s="1">
        <v>2</v>
      </c>
      <c r="H4633" s="1" t="s">
        <v>19</v>
      </c>
      <c r="I4633" s="1" t="s">
        <v>3790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hidden="1" x14ac:dyDescent="0.25">
      <c r="A4634" s="1">
        <v>14</v>
      </c>
      <c r="B4634" s="159"/>
      <c r="C4634" s="1" t="s">
        <v>3842</v>
      </c>
      <c r="D4634" s="1"/>
      <c r="E4634" s="1" t="s">
        <v>3845</v>
      </c>
      <c r="F4634" s="1" t="s">
        <v>3846</v>
      </c>
      <c r="G4634" s="1">
        <v>4</v>
      </c>
      <c r="H4634" s="1" t="s">
        <v>19</v>
      </c>
      <c r="I4634" s="1" t="s">
        <v>3790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hidden="1" x14ac:dyDescent="0.25">
      <c r="A4635" s="1">
        <v>1</v>
      </c>
      <c r="B4635" s="159"/>
      <c r="C4635" s="1" t="s">
        <v>3864</v>
      </c>
      <c r="D4635" s="1"/>
      <c r="E4635" s="1" t="s">
        <v>3866</v>
      </c>
      <c r="F4635" s="1" t="s">
        <v>3806</v>
      </c>
      <c r="G4635" s="1">
        <v>2</v>
      </c>
      <c r="H4635" s="1" t="s">
        <v>19</v>
      </c>
      <c r="I4635" s="1" t="s">
        <v>3790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hidden="1" x14ac:dyDescent="0.25">
      <c r="A4636" s="1">
        <v>2</v>
      </c>
      <c r="B4636" s="159"/>
      <c r="C4636" s="1" t="s">
        <v>3849</v>
      </c>
      <c r="D4636" s="1"/>
      <c r="E4636" s="1" t="s">
        <v>3850</v>
      </c>
      <c r="F4636" s="1" t="s">
        <v>3814</v>
      </c>
      <c r="G4636" s="1">
        <v>4</v>
      </c>
      <c r="H4636" s="1" t="s">
        <v>19</v>
      </c>
      <c r="I4636" s="1" t="s">
        <v>3790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hidden="1" x14ac:dyDescent="0.25">
      <c r="A4637" s="1">
        <v>3</v>
      </c>
      <c r="B4637" s="159"/>
      <c r="C4637" s="1" t="s">
        <v>3849</v>
      </c>
      <c r="D4637" s="1"/>
      <c r="E4637" s="1" t="s">
        <v>3851</v>
      </c>
      <c r="F4637" s="1" t="s">
        <v>3816</v>
      </c>
      <c r="G4637" s="1">
        <v>2</v>
      </c>
      <c r="H4637" s="1" t="s">
        <v>19</v>
      </c>
      <c r="I4637" s="1" t="s">
        <v>3790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hidden="1" x14ac:dyDescent="0.25">
      <c r="A4638" s="1">
        <v>4</v>
      </c>
      <c r="B4638" s="159"/>
      <c r="C4638" s="1" t="s">
        <v>3849</v>
      </c>
      <c r="D4638" s="1"/>
      <c r="E4638" s="1" t="s">
        <v>3852</v>
      </c>
      <c r="F4638" s="1" t="s">
        <v>3818</v>
      </c>
      <c r="G4638" s="1">
        <v>2</v>
      </c>
      <c r="H4638" s="1" t="s">
        <v>19</v>
      </c>
      <c r="I4638" s="1" t="s">
        <v>3790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hidden="1" x14ac:dyDescent="0.25">
      <c r="A4639" s="1">
        <v>5</v>
      </c>
      <c r="B4639" s="159"/>
      <c r="C4639" s="1" t="s">
        <v>3849</v>
      </c>
      <c r="D4639" s="1"/>
      <c r="E4639" s="1" t="s">
        <v>3853</v>
      </c>
      <c r="F4639" s="1" t="s">
        <v>3820</v>
      </c>
      <c r="G4639" s="1">
        <v>2</v>
      </c>
      <c r="H4639" s="1" t="s">
        <v>19</v>
      </c>
      <c r="I4639" s="1" t="s">
        <v>3790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hidden="1" x14ac:dyDescent="0.25">
      <c r="A4640" s="1">
        <v>6</v>
      </c>
      <c r="B4640" s="159"/>
      <c r="C4640" s="1" t="s">
        <v>3849</v>
      </c>
      <c r="D4640" s="1"/>
      <c r="E4640" s="1" t="s">
        <v>3854</v>
      </c>
      <c r="F4640" s="1" t="s">
        <v>3844</v>
      </c>
      <c r="G4640" s="1">
        <v>2</v>
      </c>
      <c r="H4640" s="1" t="s">
        <v>19</v>
      </c>
      <c r="I4640" s="1" t="s">
        <v>3790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hidden="1" x14ac:dyDescent="0.25">
      <c r="A4641" s="1">
        <v>7</v>
      </c>
      <c r="B4641" s="159"/>
      <c r="C4641" s="1" t="s">
        <v>3802</v>
      </c>
      <c r="D4641" s="1"/>
      <c r="E4641" s="1" t="s">
        <v>3803</v>
      </c>
      <c r="F4641" s="1" t="s">
        <v>3804</v>
      </c>
      <c r="G4641" s="1">
        <v>2</v>
      </c>
      <c r="H4641" s="1" t="s">
        <v>19</v>
      </c>
      <c r="I4641" s="1" t="s">
        <v>3790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hidden="1" x14ac:dyDescent="0.25">
      <c r="A4642" s="1">
        <v>8</v>
      </c>
      <c r="B4642" s="159"/>
      <c r="C4642" s="1" t="s">
        <v>3802</v>
      </c>
      <c r="D4642" s="1"/>
      <c r="E4642" s="1" t="s">
        <v>3805</v>
      </c>
      <c r="F4642" s="1" t="s">
        <v>3806</v>
      </c>
      <c r="G4642" s="1">
        <v>2</v>
      </c>
      <c r="H4642" s="1" t="s">
        <v>19</v>
      </c>
      <c r="I4642" s="1" t="s">
        <v>3790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hidden="1" x14ac:dyDescent="0.25">
      <c r="A4643" s="1">
        <v>9</v>
      </c>
      <c r="B4643" s="159"/>
      <c r="C4643" s="1" t="s">
        <v>3873</v>
      </c>
      <c r="D4643" s="1"/>
      <c r="E4643" s="1" t="s">
        <v>4253</v>
      </c>
      <c r="F4643" s="1" t="s">
        <v>3814</v>
      </c>
      <c r="G4643" s="1">
        <v>4</v>
      </c>
      <c r="H4643" s="1" t="s">
        <v>19</v>
      </c>
      <c r="I4643" s="1" t="s">
        <v>3790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hidden="1" x14ac:dyDescent="0.25">
      <c r="A4644" s="1">
        <v>10</v>
      </c>
      <c r="B4644" s="159"/>
      <c r="C4644" s="1" t="s">
        <v>3873</v>
      </c>
      <c r="D4644" s="1"/>
      <c r="E4644" s="1" t="s">
        <v>4254</v>
      </c>
      <c r="F4644" s="1" t="s">
        <v>3816</v>
      </c>
      <c r="G4644" s="1">
        <v>4</v>
      </c>
      <c r="H4644" s="1" t="s">
        <v>19</v>
      </c>
      <c r="I4644" s="1" t="s">
        <v>3790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hidden="1" x14ac:dyDescent="0.25">
      <c r="A4645" s="1">
        <v>11</v>
      </c>
      <c r="B4645" s="159"/>
      <c r="C4645" s="1" t="s">
        <v>3875</v>
      </c>
      <c r="D4645" s="1"/>
      <c r="E4645" s="1" t="s">
        <v>3877</v>
      </c>
      <c r="F4645" s="1" t="s">
        <v>3879</v>
      </c>
      <c r="G4645" s="1">
        <v>8</v>
      </c>
      <c r="H4645" s="1" t="s">
        <v>19</v>
      </c>
      <c r="I4645" s="1" t="s">
        <v>3790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hidden="1" x14ac:dyDescent="0.25">
      <c r="A4646" s="1">
        <v>12</v>
      </c>
      <c r="B4646" s="159"/>
      <c r="C4646" s="1" t="s">
        <v>3858</v>
      </c>
      <c r="D4646" s="1"/>
      <c r="E4646" s="1" t="s">
        <v>4255</v>
      </c>
      <c r="F4646" s="1" t="s">
        <v>3804</v>
      </c>
      <c r="G4646" s="1">
        <v>2</v>
      </c>
      <c r="H4646" s="1" t="s">
        <v>19</v>
      </c>
      <c r="I4646" s="1" t="s">
        <v>3790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hidden="1" x14ac:dyDescent="0.25">
      <c r="A4647" s="1">
        <v>13</v>
      </c>
      <c r="B4647" s="159"/>
      <c r="C4647" s="1" t="s">
        <v>3873</v>
      </c>
      <c r="D4647" s="1"/>
      <c r="E4647" s="1" t="s">
        <v>4256</v>
      </c>
      <c r="F4647" s="1" t="s">
        <v>3804</v>
      </c>
      <c r="G4647" s="1">
        <v>2</v>
      </c>
      <c r="H4647" s="1" t="s">
        <v>19</v>
      </c>
      <c r="I4647" s="1" t="s">
        <v>3790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hidden="1" x14ac:dyDescent="0.25">
      <c r="A4648" s="1">
        <v>14</v>
      </c>
      <c r="B4648" s="159"/>
      <c r="C4648" s="1" t="s">
        <v>3873</v>
      </c>
      <c r="D4648" s="1"/>
      <c r="E4648" s="1" t="s">
        <v>4257</v>
      </c>
      <c r="F4648" s="1" t="s">
        <v>3806</v>
      </c>
      <c r="G4648" s="1">
        <v>2</v>
      </c>
      <c r="H4648" s="1" t="s">
        <v>19</v>
      </c>
      <c r="I4648" s="1" t="s">
        <v>3790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hidden="1" x14ac:dyDescent="0.25">
      <c r="A4649" s="1">
        <v>15</v>
      </c>
      <c r="B4649" s="159"/>
      <c r="C4649" s="1" t="s">
        <v>3779</v>
      </c>
      <c r="D4649" s="1"/>
      <c r="E4649" s="1" t="s">
        <v>3946</v>
      </c>
      <c r="F4649" s="1" t="s">
        <v>3947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hidden="1" x14ac:dyDescent="0.25">
      <c r="A4650" s="1">
        <v>16</v>
      </c>
      <c r="B4650" s="159"/>
      <c r="C4650" s="1" t="s">
        <v>3779</v>
      </c>
      <c r="D4650" s="1"/>
      <c r="E4650" s="1" t="s">
        <v>3946</v>
      </c>
      <c r="F4650" s="1" t="s">
        <v>3947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hidden="1" x14ac:dyDescent="0.25">
      <c r="A4651" s="1">
        <v>1</v>
      </c>
      <c r="B4651" s="159"/>
      <c r="C4651" s="1" t="s">
        <v>4258</v>
      </c>
      <c r="D4651" s="1"/>
      <c r="E4651" s="1"/>
      <c r="F4651" s="1" t="s">
        <v>4259</v>
      </c>
      <c r="G4651" s="1">
        <v>32</v>
      </c>
      <c r="H4651" s="1" t="s">
        <v>19</v>
      </c>
      <c r="I4651" s="1" t="s">
        <v>4086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hidden="1" x14ac:dyDescent="0.25">
      <c r="A4652" s="1">
        <v>2</v>
      </c>
      <c r="B4652" s="159"/>
      <c r="C4652" s="1" t="s">
        <v>4260</v>
      </c>
      <c r="D4652" s="1"/>
      <c r="E4652" s="1"/>
      <c r="F4652" s="1" t="s">
        <v>4261</v>
      </c>
      <c r="G4652" s="1">
        <v>1144</v>
      </c>
      <c r="H4652" s="1" t="s">
        <v>19</v>
      </c>
      <c r="I4652" s="1" t="s">
        <v>4086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hidden="1" x14ac:dyDescent="0.25">
      <c r="A4653" s="1">
        <v>3</v>
      </c>
      <c r="B4653" s="159"/>
      <c r="C4653" s="1" t="s">
        <v>3948</v>
      </c>
      <c r="D4653" s="1"/>
      <c r="E4653" s="1"/>
      <c r="F4653" s="1" t="s">
        <v>4262</v>
      </c>
      <c r="G4653" s="1">
        <v>264</v>
      </c>
      <c r="H4653" s="1" t="s">
        <v>19</v>
      </c>
      <c r="I4653" s="1" t="s">
        <v>4086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hidden="1" x14ac:dyDescent="0.25">
      <c r="A4654" s="1">
        <v>4</v>
      </c>
      <c r="B4654" s="159"/>
      <c r="C4654" s="1" t="s">
        <v>3948</v>
      </c>
      <c r="D4654" s="1"/>
      <c r="E4654" s="1"/>
      <c r="F4654" s="1" t="s">
        <v>4263</v>
      </c>
      <c r="G4654" s="1">
        <v>672</v>
      </c>
      <c r="H4654" s="1" t="s">
        <v>19</v>
      </c>
      <c r="I4654" s="1" t="s">
        <v>4086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hidden="1" x14ac:dyDescent="0.25">
      <c r="A4655" s="1">
        <v>5</v>
      </c>
      <c r="B4655" s="159"/>
      <c r="C4655" s="1" t="s">
        <v>3880</v>
      </c>
      <c r="D4655" s="1"/>
      <c r="E4655" s="1"/>
      <c r="F4655" s="1" t="s">
        <v>4264</v>
      </c>
      <c r="G4655" s="1">
        <v>8</v>
      </c>
      <c r="H4655" s="1" t="s">
        <v>19</v>
      </c>
      <c r="I4655" s="1" t="s">
        <v>4086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hidden="1" x14ac:dyDescent="0.25">
      <c r="A4656" s="1">
        <v>6</v>
      </c>
      <c r="B4656" s="159"/>
      <c r="C4656" s="1" t="s">
        <v>3909</v>
      </c>
      <c r="D4656" s="1"/>
      <c r="E4656" s="1"/>
      <c r="F4656" s="1" t="s">
        <v>4265</v>
      </c>
      <c r="G4656" s="1">
        <v>8</v>
      </c>
      <c r="H4656" s="1" t="s">
        <v>19</v>
      </c>
      <c r="I4656" s="1" t="s">
        <v>4086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hidden="1" x14ac:dyDescent="0.25">
      <c r="A4657" s="1">
        <v>7</v>
      </c>
      <c r="B4657" s="159"/>
      <c r="C4657" s="1" t="s">
        <v>4266</v>
      </c>
      <c r="D4657" s="1"/>
      <c r="E4657" s="1"/>
      <c r="F4657" s="1" t="s">
        <v>4267</v>
      </c>
      <c r="G4657" s="1">
        <v>4</v>
      </c>
      <c r="H4657" s="1" t="s">
        <v>19</v>
      </c>
      <c r="I4657" s="1" t="s">
        <v>4086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hidden="1" x14ac:dyDescent="0.25">
      <c r="A4658" s="1">
        <v>8</v>
      </c>
      <c r="B4658" s="159"/>
      <c r="C4658" s="1" t="s">
        <v>4266</v>
      </c>
      <c r="D4658" s="1"/>
      <c r="E4658" s="1"/>
      <c r="F4658" s="1" t="s">
        <v>4268</v>
      </c>
      <c r="G4658" s="1">
        <v>40</v>
      </c>
      <c r="H4658" s="1" t="s">
        <v>19</v>
      </c>
      <c r="I4658" s="1" t="s">
        <v>4086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hidden="1" x14ac:dyDescent="0.25">
      <c r="A4659" s="1">
        <v>9</v>
      </c>
      <c r="B4659" s="159"/>
      <c r="C4659" s="1" t="s">
        <v>3979</v>
      </c>
      <c r="D4659" s="1"/>
      <c r="E4659" s="1"/>
      <c r="F4659" s="1" t="s">
        <v>4269</v>
      </c>
      <c r="G4659" s="1">
        <v>50</v>
      </c>
      <c r="H4659" s="1" t="s">
        <v>1253</v>
      </c>
      <c r="I4659" s="1" t="s">
        <v>4086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hidden="1" x14ac:dyDescent="0.25">
      <c r="A4660" s="1">
        <v>10</v>
      </c>
      <c r="B4660" s="159"/>
      <c r="C4660" s="1" t="s">
        <v>3773</v>
      </c>
      <c r="D4660" s="1"/>
      <c r="E4660" s="1"/>
      <c r="F4660" s="1" t="s">
        <v>4242</v>
      </c>
      <c r="G4660" s="1">
        <v>32</v>
      </c>
      <c r="H4660" s="1" t="s">
        <v>19</v>
      </c>
      <c r="I4660" s="1" t="s">
        <v>4086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hidden="1" x14ac:dyDescent="0.25">
      <c r="A4661" s="1">
        <v>11</v>
      </c>
      <c r="B4661" s="159"/>
      <c r="C4661" s="1" t="s">
        <v>4270</v>
      </c>
      <c r="D4661" s="1"/>
      <c r="E4661" s="1"/>
      <c r="F4661" s="1" t="s">
        <v>4271</v>
      </c>
      <c r="G4661" s="1">
        <v>32</v>
      </c>
      <c r="H4661" s="1" t="s">
        <v>19</v>
      </c>
      <c r="I4661" s="1" t="s">
        <v>4086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hidden="1" x14ac:dyDescent="0.25">
      <c r="A4662" s="1">
        <v>12</v>
      </c>
      <c r="B4662" s="159"/>
      <c r="C4662" s="1" t="s">
        <v>4270</v>
      </c>
      <c r="D4662" s="1"/>
      <c r="E4662" s="1"/>
      <c r="F4662" s="1" t="s">
        <v>4272</v>
      </c>
      <c r="G4662" s="1">
        <v>16</v>
      </c>
      <c r="H4662" s="1" t="s">
        <v>19</v>
      </c>
      <c r="I4662" s="1" t="s">
        <v>4086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hidden="1" x14ac:dyDescent="0.25">
      <c r="A4663" s="1">
        <v>13</v>
      </c>
      <c r="B4663" s="159"/>
      <c r="C4663" s="1" t="s">
        <v>4270</v>
      </c>
      <c r="D4663" s="1"/>
      <c r="E4663" s="1"/>
      <c r="F4663" s="1" t="s">
        <v>4273</v>
      </c>
      <c r="G4663" s="1">
        <v>4</v>
      </c>
      <c r="H4663" s="1" t="s">
        <v>19</v>
      </c>
      <c r="I4663" s="1" t="s">
        <v>4086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hidden="1" x14ac:dyDescent="0.25">
      <c r="A4664" s="1">
        <v>14</v>
      </c>
      <c r="B4664" s="159"/>
      <c r="C4664" s="1" t="s">
        <v>4274</v>
      </c>
      <c r="D4664" s="1"/>
      <c r="E4664" s="1"/>
      <c r="F4664" s="1" t="s">
        <v>4275</v>
      </c>
      <c r="G4664" s="1">
        <v>72</v>
      </c>
      <c r="H4664" s="1" t="s">
        <v>19</v>
      </c>
      <c r="I4664" s="1" t="s">
        <v>4086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hidden="1" x14ac:dyDescent="0.25">
      <c r="A4665" s="1">
        <v>15</v>
      </c>
      <c r="B4665" s="159"/>
      <c r="C4665" s="1" t="s">
        <v>4144</v>
      </c>
      <c r="D4665" s="1"/>
      <c r="E4665" s="1"/>
      <c r="F4665" s="1" t="s">
        <v>4276</v>
      </c>
      <c r="G4665" s="1">
        <v>8</v>
      </c>
      <c r="H4665" s="1" t="s">
        <v>19</v>
      </c>
      <c r="I4665" s="1" t="s">
        <v>4086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hidden="1" x14ac:dyDescent="0.25">
      <c r="A4666" s="1">
        <v>16</v>
      </c>
      <c r="B4666" s="159"/>
      <c r="C4666" s="1" t="s">
        <v>4144</v>
      </c>
      <c r="D4666" s="1"/>
      <c r="E4666" s="1"/>
      <c r="F4666" s="1" t="s">
        <v>4277</v>
      </c>
      <c r="G4666" s="1">
        <v>8</v>
      </c>
      <c r="H4666" s="1" t="s">
        <v>19</v>
      </c>
      <c r="I4666" s="1" t="s">
        <v>4086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hidden="1" x14ac:dyDescent="0.25">
      <c r="A4667" s="1">
        <v>17</v>
      </c>
      <c r="B4667" s="159"/>
      <c r="C4667" s="1" t="s">
        <v>4144</v>
      </c>
      <c r="D4667" s="1"/>
      <c r="E4667" s="1"/>
      <c r="F4667" s="1" t="s">
        <v>4278</v>
      </c>
      <c r="G4667" s="1">
        <v>8</v>
      </c>
      <c r="H4667" s="1" t="s">
        <v>19</v>
      </c>
      <c r="I4667" s="1" t="s">
        <v>4086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hidden="1" x14ac:dyDescent="0.25">
      <c r="A4668" s="1">
        <v>18</v>
      </c>
      <c r="B4668" s="159"/>
      <c r="C4668" s="1" t="s">
        <v>4161</v>
      </c>
      <c r="D4668" s="1"/>
      <c r="E4668" s="1"/>
      <c r="F4668" s="1" t="s">
        <v>4279</v>
      </c>
      <c r="G4668" s="1">
        <v>360</v>
      </c>
      <c r="H4668" s="1" t="s">
        <v>19</v>
      </c>
      <c r="I4668" s="1" t="s">
        <v>4086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hidden="1" x14ac:dyDescent="0.25">
      <c r="A4669" s="1">
        <v>19</v>
      </c>
      <c r="B4669" s="159"/>
      <c r="C4669" s="1" t="s">
        <v>4166</v>
      </c>
      <c r="D4669" s="1"/>
      <c r="E4669" s="1"/>
      <c r="F4669" s="1" t="s">
        <v>4280</v>
      </c>
      <c r="G4669" s="1">
        <v>216</v>
      </c>
      <c r="H4669" s="1" t="s">
        <v>19</v>
      </c>
      <c r="I4669" s="1" t="s">
        <v>4086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hidden="1" x14ac:dyDescent="0.25">
      <c r="A4670" s="1">
        <v>20</v>
      </c>
      <c r="B4670" s="159"/>
      <c r="C4670" s="1" t="s">
        <v>4166</v>
      </c>
      <c r="D4670" s="1"/>
      <c r="E4670" s="1"/>
      <c r="F4670" s="1" t="s">
        <v>4281</v>
      </c>
      <c r="G4670" s="1">
        <v>216</v>
      </c>
      <c r="H4670" s="1" t="s">
        <v>19</v>
      </c>
      <c r="I4670" s="1" t="s">
        <v>4086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hidden="1" x14ac:dyDescent="0.25">
      <c r="A4671" s="1">
        <v>21</v>
      </c>
      <c r="B4671" s="159"/>
      <c r="C4671" s="1" t="s">
        <v>4170</v>
      </c>
      <c r="D4671" s="1"/>
      <c r="E4671" s="1"/>
      <c r="F4671" s="1" t="s">
        <v>4282</v>
      </c>
      <c r="G4671" s="1">
        <v>176</v>
      </c>
      <c r="H4671" s="1" t="s">
        <v>19</v>
      </c>
      <c r="I4671" s="1" t="s">
        <v>4086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hidden="1" x14ac:dyDescent="0.25">
      <c r="A4672" s="1">
        <v>22</v>
      </c>
      <c r="B4672" s="159"/>
      <c r="C4672" s="1" t="s">
        <v>4173</v>
      </c>
      <c r="D4672" s="1"/>
      <c r="E4672" s="1"/>
      <c r="F4672" s="1" t="s">
        <v>4283</v>
      </c>
      <c r="G4672" s="1">
        <v>160</v>
      </c>
      <c r="H4672" s="1" t="s">
        <v>19</v>
      </c>
      <c r="I4672" s="1" t="s">
        <v>4086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hidden="1" x14ac:dyDescent="0.25">
      <c r="A4673" s="1">
        <v>23</v>
      </c>
      <c r="B4673" s="159"/>
      <c r="C4673" s="1" t="s">
        <v>4176</v>
      </c>
      <c r="D4673" s="1"/>
      <c r="E4673" s="1"/>
      <c r="F4673" s="1" t="s">
        <v>4284</v>
      </c>
      <c r="G4673" s="1">
        <v>96</v>
      </c>
      <c r="H4673" s="1" t="s">
        <v>19</v>
      </c>
      <c r="I4673" s="1" t="s">
        <v>4086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hidden="1" x14ac:dyDescent="0.25">
      <c r="A4674" s="1">
        <v>24</v>
      </c>
      <c r="B4674" s="159"/>
      <c r="C4674" s="1" t="s">
        <v>4179</v>
      </c>
      <c r="D4674" s="1"/>
      <c r="E4674" s="1"/>
      <c r="F4674" s="1" t="s">
        <v>4285</v>
      </c>
      <c r="G4674" s="1">
        <v>96</v>
      </c>
      <c r="H4674" s="1" t="s">
        <v>19</v>
      </c>
      <c r="I4674" s="1" t="s">
        <v>4086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hidden="1" x14ac:dyDescent="0.25">
      <c r="A4675" s="1">
        <v>25</v>
      </c>
      <c r="B4675" s="159"/>
      <c r="C4675" s="1" t="s">
        <v>4182</v>
      </c>
      <c r="D4675" s="1"/>
      <c r="E4675" s="1"/>
      <c r="F4675" s="1" t="s">
        <v>4286</v>
      </c>
      <c r="G4675" s="1">
        <v>56</v>
      </c>
      <c r="H4675" s="1" t="s">
        <v>19</v>
      </c>
      <c r="I4675" s="1" t="s">
        <v>4086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hidden="1" x14ac:dyDescent="0.25">
      <c r="A4676" s="1">
        <v>26</v>
      </c>
      <c r="B4676" s="159"/>
      <c r="C4676" s="1" t="s">
        <v>4185</v>
      </c>
      <c r="D4676" s="1"/>
      <c r="E4676" s="1"/>
      <c r="F4676" s="1" t="s">
        <v>4287</v>
      </c>
      <c r="G4676" s="1">
        <v>128</v>
      </c>
      <c r="H4676" s="1" t="s">
        <v>19</v>
      </c>
      <c r="I4676" s="1" t="s">
        <v>4086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hidden="1" x14ac:dyDescent="0.25">
      <c r="A4677" s="1">
        <v>27</v>
      </c>
      <c r="B4677" s="159"/>
      <c r="C4677" s="1" t="s">
        <v>4188</v>
      </c>
      <c r="D4677" s="1"/>
      <c r="E4677" s="1"/>
      <c r="F4677" s="1" t="s">
        <v>4288</v>
      </c>
      <c r="G4677" s="1">
        <v>112</v>
      </c>
      <c r="H4677" s="1" t="s">
        <v>19</v>
      </c>
      <c r="I4677" s="1" t="s">
        <v>4086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hidden="1" x14ac:dyDescent="0.25">
      <c r="A4678" s="1">
        <v>28</v>
      </c>
      <c r="B4678" s="159"/>
      <c r="C4678" s="1" t="s">
        <v>4192</v>
      </c>
      <c r="D4678" s="1"/>
      <c r="E4678" s="1"/>
      <c r="F4678" s="1" t="s">
        <v>4289</v>
      </c>
      <c r="G4678" s="1">
        <v>96</v>
      </c>
      <c r="H4678" s="1" t="s">
        <v>19</v>
      </c>
      <c r="I4678" s="1" t="s">
        <v>4086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hidden="1" x14ac:dyDescent="0.25">
      <c r="A4679" s="1">
        <v>29</v>
      </c>
      <c r="B4679" s="159"/>
      <c r="C4679" s="1" t="s">
        <v>4196</v>
      </c>
      <c r="D4679" s="1"/>
      <c r="E4679" s="1"/>
      <c r="F4679" s="1" t="s">
        <v>4290</v>
      </c>
      <c r="G4679" s="1">
        <v>112</v>
      </c>
      <c r="H4679" s="1" t="s">
        <v>19</v>
      </c>
      <c r="I4679" s="1" t="s">
        <v>4086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hidden="1" x14ac:dyDescent="0.25">
      <c r="A4680" s="1">
        <v>30</v>
      </c>
      <c r="B4680" s="159"/>
      <c r="C4680" s="1" t="s">
        <v>4200</v>
      </c>
      <c r="D4680" s="1"/>
      <c r="E4680" s="1"/>
      <c r="F4680" s="1" t="s">
        <v>4291</v>
      </c>
      <c r="G4680" s="1">
        <v>112</v>
      </c>
      <c r="H4680" s="1" t="s">
        <v>19</v>
      </c>
      <c r="I4680" s="1" t="s">
        <v>4086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hidden="1" x14ac:dyDescent="0.25">
      <c r="A4681" s="1">
        <v>31</v>
      </c>
      <c r="B4681" s="159"/>
      <c r="C4681" s="1" t="s">
        <v>4204</v>
      </c>
      <c r="D4681" s="1"/>
      <c r="E4681" s="1"/>
      <c r="F4681" s="1" t="s">
        <v>4291</v>
      </c>
      <c r="G4681" s="1">
        <v>208</v>
      </c>
      <c r="H4681" s="1" t="s">
        <v>19</v>
      </c>
      <c r="I4681" s="1" t="s">
        <v>4086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hidden="1" x14ac:dyDescent="0.25">
      <c r="A4682" s="1">
        <v>32</v>
      </c>
      <c r="B4682" s="159"/>
      <c r="C4682" s="1" t="s">
        <v>4204</v>
      </c>
      <c r="D4682" s="1"/>
      <c r="E4682" s="1"/>
      <c r="F4682" s="1" t="s">
        <v>4292</v>
      </c>
      <c r="G4682" s="1">
        <v>208</v>
      </c>
      <c r="H4682" s="1" t="s">
        <v>19</v>
      </c>
      <c r="I4682" s="1" t="s">
        <v>4086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hidden="1" x14ac:dyDescent="0.25">
      <c r="A4683" s="1">
        <v>33</v>
      </c>
      <c r="B4683" s="159"/>
      <c r="C4683" s="1" t="s">
        <v>4207</v>
      </c>
      <c r="D4683" s="1"/>
      <c r="E4683" s="1"/>
      <c r="F4683" s="1" t="s">
        <v>4293</v>
      </c>
      <c r="G4683" s="1">
        <v>384</v>
      </c>
      <c r="H4683" s="1" t="s">
        <v>19</v>
      </c>
      <c r="I4683" s="1" t="s">
        <v>4086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hidden="1" x14ac:dyDescent="0.25">
      <c r="A4684" s="1">
        <v>34</v>
      </c>
      <c r="B4684" s="159"/>
      <c r="C4684" s="1" t="s">
        <v>4211</v>
      </c>
      <c r="D4684" s="1"/>
      <c r="E4684" s="1"/>
      <c r="F4684" s="1" t="s">
        <v>4294</v>
      </c>
      <c r="G4684" s="1">
        <v>8</v>
      </c>
      <c r="H4684" s="1" t="s">
        <v>19</v>
      </c>
      <c r="I4684" s="1" t="s">
        <v>4086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hidden="1" x14ac:dyDescent="0.25">
      <c r="A4685" s="1">
        <v>35</v>
      </c>
      <c r="B4685" s="159"/>
      <c r="C4685" s="1" t="s">
        <v>4234</v>
      </c>
      <c r="D4685" s="1"/>
      <c r="E4685" s="1"/>
      <c r="F4685" s="1" t="s">
        <v>4295</v>
      </c>
      <c r="G4685" s="1">
        <v>664</v>
      </c>
      <c r="H4685" s="1" t="s">
        <v>19</v>
      </c>
      <c r="I4685" s="1" t="s">
        <v>4086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hidden="1" x14ac:dyDescent="0.25">
      <c r="A4686" s="1">
        <v>36</v>
      </c>
      <c r="B4686" s="159"/>
      <c r="C4686" s="1" t="s">
        <v>3764</v>
      </c>
      <c r="D4686" s="1"/>
      <c r="E4686" s="1" t="s">
        <v>3765</v>
      </c>
      <c r="F4686" s="1" t="s">
        <v>3766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hidden="1" x14ac:dyDescent="0.25">
      <c r="A4687" s="1">
        <v>37</v>
      </c>
      <c r="B4687" s="159"/>
      <c r="C4687" s="1" t="s">
        <v>3764</v>
      </c>
      <c r="D4687" s="1"/>
      <c r="E4687" s="1" t="s">
        <v>3768</v>
      </c>
      <c r="F4687" s="1" t="s">
        <v>3766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hidden="1" x14ac:dyDescent="0.25">
      <c r="A4688" s="1">
        <v>38</v>
      </c>
      <c r="B4688" s="159"/>
      <c r="C4688" s="1" t="s">
        <v>3764</v>
      </c>
      <c r="D4688" s="1"/>
      <c r="E4688" s="1" t="s">
        <v>3765</v>
      </c>
      <c r="F4688" s="1" t="s">
        <v>3766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hidden="1" x14ac:dyDescent="0.25">
      <c r="A4689" s="1">
        <v>39</v>
      </c>
      <c r="B4689" s="159"/>
      <c r="C4689" s="1" t="s">
        <v>3764</v>
      </c>
      <c r="D4689" s="1"/>
      <c r="E4689" s="1" t="s">
        <v>3768</v>
      </c>
      <c r="F4689" s="1" t="s">
        <v>3766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hidden="1" x14ac:dyDescent="0.25">
      <c r="A4690" s="1">
        <v>40</v>
      </c>
      <c r="B4690" s="159"/>
      <c r="C4690" s="1" t="s">
        <v>3773</v>
      </c>
      <c r="D4690" s="1"/>
      <c r="E4690" s="1" t="s">
        <v>3776</v>
      </c>
      <c r="F4690" s="1" t="s">
        <v>3777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hidden="1" x14ac:dyDescent="0.25">
      <c r="A4691" s="1">
        <v>41</v>
      </c>
      <c r="B4691" s="159"/>
      <c r="C4691" s="1" t="s">
        <v>3773</v>
      </c>
      <c r="D4691" s="1"/>
      <c r="E4691" s="1" t="s">
        <v>3776</v>
      </c>
      <c r="F4691" s="1" t="s">
        <v>3777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hidden="1" x14ac:dyDescent="0.25">
      <c r="A4692" s="1">
        <v>42</v>
      </c>
      <c r="B4692" s="159"/>
      <c r="C4692" s="1" t="s">
        <v>3842</v>
      </c>
      <c r="D4692" s="1"/>
      <c r="E4692" s="1" t="s">
        <v>4296</v>
      </c>
      <c r="F4692" s="1" t="s">
        <v>3848</v>
      </c>
      <c r="G4692" s="1">
        <v>4</v>
      </c>
      <c r="H4692" s="1" t="s">
        <v>19</v>
      </c>
      <c r="I4692" s="1" t="s">
        <v>3790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hidden="1" x14ac:dyDescent="0.25">
      <c r="A4693" s="1">
        <v>43</v>
      </c>
      <c r="B4693" s="159"/>
      <c r="C4693" s="1" t="s">
        <v>3900</v>
      </c>
      <c r="D4693" s="1"/>
      <c r="E4693" s="1" t="s">
        <v>3901</v>
      </c>
      <c r="F4693" s="1" t="s">
        <v>3902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hidden="1" x14ac:dyDescent="0.25">
      <c r="A4694" s="1">
        <v>44</v>
      </c>
      <c r="B4694" s="159"/>
      <c r="C4694" s="1" t="s">
        <v>3900</v>
      </c>
      <c r="D4694" s="1"/>
      <c r="E4694" s="1" t="s">
        <v>3901</v>
      </c>
      <c r="F4694" s="1" t="s">
        <v>3902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hidden="1" x14ac:dyDescent="0.25">
      <c r="A4695" s="1">
        <v>45</v>
      </c>
      <c r="B4695" s="159"/>
      <c r="C4695" s="1" t="s">
        <v>3913</v>
      </c>
      <c r="D4695" s="1"/>
      <c r="E4695" s="1" t="s">
        <v>4297</v>
      </c>
      <c r="F4695" s="1" t="s">
        <v>3897</v>
      </c>
      <c r="G4695" s="1">
        <v>60</v>
      </c>
      <c r="H4695" s="1" t="s">
        <v>19</v>
      </c>
      <c r="I4695" s="1" t="s">
        <v>3790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hidden="1" x14ac:dyDescent="0.25">
      <c r="A4696" s="1">
        <v>46</v>
      </c>
      <c r="B4696" s="159"/>
      <c r="C4696" s="1" t="s">
        <v>3935</v>
      </c>
      <c r="D4696" s="1"/>
      <c r="E4696" s="1" t="s">
        <v>3941</v>
      </c>
      <c r="F4696" s="1" t="s">
        <v>3937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hidden="1" x14ac:dyDescent="0.25">
      <c r="A4697" s="1">
        <v>47</v>
      </c>
      <c r="B4697" s="159"/>
      <c r="C4697" s="1" t="s">
        <v>3935</v>
      </c>
      <c r="D4697" s="1"/>
      <c r="E4697" s="1" t="s">
        <v>3941</v>
      </c>
      <c r="F4697" s="1" t="s">
        <v>3937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hidden="1" x14ac:dyDescent="0.25">
      <c r="A4698" s="1">
        <v>48</v>
      </c>
      <c r="B4698" s="159"/>
      <c r="C4698" s="1" t="s">
        <v>3971</v>
      </c>
      <c r="D4698" s="1"/>
      <c r="E4698" s="1" t="s">
        <v>3972</v>
      </c>
      <c r="F4698" s="1" t="s">
        <v>3973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hidden="1" x14ac:dyDescent="0.25">
      <c r="A4699" s="1">
        <v>49</v>
      </c>
      <c r="B4699" s="159"/>
      <c r="C4699" s="1" t="s">
        <v>3971</v>
      </c>
      <c r="D4699" s="1"/>
      <c r="E4699" s="1" t="s">
        <v>3975</v>
      </c>
      <c r="F4699" s="1" t="s">
        <v>3976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hidden="1" x14ac:dyDescent="0.25">
      <c r="A4700" s="1">
        <v>50</v>
      </c>
      <c r="B4700" s="159"/>
      <c r="C4700" s="1" t="s">
        <v>3971</v>
      </c>
      <c r="D4700" s="1"/>
      <c r="E4700" s="1" t="s">
        <v>3975</v>
      </c>
      <c r="F4700" s="1" t="s">
        <v>3976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hidden="1" x14ac:dyDescent="0.25">
      <c r="A4701" s="1">
        <v>51</v>
      </c>
      <c r="B4701" s="159"/>
      <c r="C4701" s="1" t="s">
        <v>3979</v>
      </c>
      <c r="D4701" s="1"/>
      <c r="E4701" s="1" t="s">
        <v>3980</v>
      </c>
      <c r="F4701" s="1" t="s">
        <v>3982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hidden="1" x14ac:dyDescent="0.25">
      <c r="A4702" s="1">
        <v>52</v>
      </c>
      <c r="B4702" s="159"/>
      <c r="C4702" s="1" t="s">
        <v>3979</v>
      </c>
      <c r="D4702" s="1"/>
      <c r="E4702" s="1" t="s">
        <v>3980</v>
      </c>
      <c r="F4702" s="1" t="s">
        <v>3982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hidden="1" x14ac:dyDescent="0.25">
      <c r="A4703" s="1">
        <v>53</v>
      </c>
      <c r="B4703" s="159"/>
      <c r="C4703" s="1" t="s">
        <v>3904</v>
      </c>
      <c r="D4703" s="1"/>
      <c r="E4703" s="1" t="s">
        <v>3905</v>
      </c>
      <c r="F4703" s="1" t="s">
        <v>3906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hidden="1" x14ac:dyDescent="0.25">
      <c r="A4704" s="1">
        <v>54</v>
      </c>
      <c r="B4704" s="159"/>
      <c r="C4704" s="1" t="s">
        <v>3904</v>
      </c>
      <c r="D4704" s="1"/>
      <c r="E4704" s="1" t="s">
        <v>3905</v>
      </c>
      <c r="F4704" s="1" t="s">
        <v>3906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hidden="1" x14ac:dyDescent="0.25">
      <c r="A4705" s="1">
        <v>1</v>
      </c>
      <c r="B4705" s="159"/>
      <c r="C4705" s="1" t="s">
        <v>3812</v>
      </c>
      <c r="D4705" s="1"/>
      <c r="E4705" s="1" t="s">
        <v>3815</v>
      </c>
      <c r="F4705" s="1" t="s">
        <v>3816</v>
      </c>
      <c r="G4705" s="1">
        <v>4</v>
      </c>
      <c r="H4705" s="1" t="s">
        <v>19</v>
      </c>
      <c r="I4705" s="1" t="s">
        <v>3790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hidden="1" x14ac:dyDescent="0.25">
      <c r="A4706" s="1">
        <v>2</v>
      </c>
      <c r="B4706" s="159"/>
      <c r="C4706" s="1" t="s">
        <v>3812</v>
      </c>
      <c r="D4706" s="1"/>
      <c r="E4706" s="1" t="s">
        <v>3817</v>
      </c>
      <c r="F4706" s="1" t="s">
        <v>3818</v>
      </c>
      <c r="G4706" s="1">
        <v>4</v>
      </c>
      <c r="H4706" s="1" t="s">
        <v>19</v>
      </c>
      <c r="I4706" s="1" t="s">
        <v>3790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hidden="1" x14ac:dyDescent="0.25">
      <c r="A4707" s="1">
        <v>3</v>
      </c>
      <c r="B4707" s="159"/>
      <c r="C4707" s="1" t="s">
        <v>3821</v>
      </c>
      <c r="D4707" s="1"/>
      <c r="E4707" s="1" t="s">
        <v>3822</v>
      </c>
      <c r="F4707" s="1" t="s">
        <v>3804</v>
      </c>
      <c r="G4707" s="1">
        <v>2</v>
      </c>
      <c r="H4707" s="1" t="s">
        <v>19</v>
      </c>
      <c r="I4707" s="1" t="s">
        <v>3790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hidden="1" x14ac:dyDescent="0.25">
      <c r="A4708" s="1">
        <v>4</v>
      </c>
      <c r="B4708" s="159"/>
      <c r="C4708" s="1" t="s">
        <v>3821</v>
      </c>
      <c r="D4708" s="1"/>
      <c r="E4708" s="1" t="s">
        <v>3823</v>
      </c>
      <c r="F4708" s="1" t="s">
        <v>3806</v>
      </c>
      <c r="G4708" s="1">
        <v>2</v>
      </c>
      <c r="H4708" s="1" t="s">
        <v>19</v>
      </c>
      <c r="I4708" s="1" t="s">
        <v>3790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hidden="1" x14ac:dyDescent="0.25">
      <c r="A4709" s="1">
        <v>5</v>
      </c>
      <c r="B4709" s="159"/>
      <c r="C4709" s="1" t="s">
        <v>3828</v>
      </c>
      <c r="D4709" s="1"/>
      <c r="E4709" s="1" t="s">
        <v>3830</v>
      </c>
      <c r="F4709" s="1" t="s">
        <v>3816</v>
      </c>
      <c r="G4709" s="1">
        <v>4</v>
      </c>
      <c r="H4709" s="1" t="s">
        <v>19</v>
      </c>
      <c r="I4709" s="1" t="s">
        <v>3790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hidden="1" x14ac:dyDescent="0.25">
      <c r="A4710" s="1">
        <v>6</v>
      </c>
      <c r="B4710" s="159"/>
      <c r="C4710" s="1" t="s">
        <v>3837</v>
      </c>
      <c r="D4710" s="1"/>
      <c r="E4710" s="1" t="s">
        <v>3839</v>
      </c>
      <c r="F4710" s="1" t="s">
        <v>3816</v>
      </c>
      <c r="G4710" s="1">
        <v>4</v>
      </c>
      <c r="H4710" s="1" t="s">
        <v>19</v>
      </c>
      <c r="I4710" s="1" t="s">
        <v>3790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hidden="1" x14ac:dyDescent="0.25">
      <c r="A4711" s="1">
        <v>7</v>
      </c>
      <c r="B4711" s="159"/>
      <c r="C4711" s="1" t="s">
        <v>3858</v>
      </c>
      <c r="D4711" s="1"/>
      <c r="E4711" s="1" t="s">
        <v>3860</v>
      </c>
      <c r="F4711" s="1" t="s">
        <v>3806</v>
      </c>
      <c r="G4711" s="1">
        <v>2</v>
      </c>
      <c r="H4711" s="1" t="s">
        <v>19</v>
      </c>
      <c r="I4711" s="1" t="s">
        <v>3790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hidden="1" x14ac:dyDescent="0.25">
      <c r="A4712" s="1">
        <v>8</v>
      </c>
      <c r="B4712" s="159"/>
      <c r="C4712" s="1" t="s">
        <v>3971</v>
      </c>
      <c r="D4712" s="1"/>
      <c r="E4712" s="1" t="s">
        <v>3972</v>
      </c>
      <c r="F4712" s="1" t="s">
        <v>3973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hidden="1" x14ac:dyDescent="0.25">
      <c r="A4713" s="1">
        <v>9</v>
      </c>
      <c r="B4713" s="159"/>
      <c r="C4713" s="1" t="s">
        <v>3773</v>
      </c>
      <c r="D4713" s="1"/>
      <c r="E4713" s="1" t="s">
        <v>4002</v>
      </c>
      <c r="F4713" s="1" t="s">
        <v>4003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hidden="1" x14ac:dyDescent="0.25">
      <c r="A4714" s="1">
        <v>10</v>
      </c>
      <c r="B4714" s="159"/>
      <c r="C4714" s="1" t="s">
        <v>3773</v>
      </c>
      <c r="D4714" s="1"/>
      <c r="E4714" s="1" t="s">
        <v>4002</v>
      </c>
      <c r="F4714" s="1" t="s">
        <v>4003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hidden="1" x14ac:dyDescent="0.25">
      <c r="A4715" s="1">
        <v>1</v>
      </c>
      <c r="B4715" s="159">
        <v>3720</v>
      </c>
      <c r="C4715" s="1" t="s">
        <v>226</v>
      </c>
      <c r="D4715" s="1" t="s">
        <v>4445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4446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hidden="1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3737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hidden="1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3737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hidden="1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3737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hidden="1" x14ac:dyDescent="0.25">
      <c r="A4719" s="1">
        <v>4</v>
      </c>
      <c r="B4719" s="159">
        <v>3422</v>
      </c>
      <c r="C4719" s="1" t="s">
        <v>4328</v>
      </c>
      <c r="D4719" s="1"/>
      <c r="E4719" s="1"/>
      <c r="F4719" s="1" t="s">
        <v>4329</v>
      </c>
      <c r="G4719" s="1">
        <v>2</v>
      </c>
      <c r="H4719" s="1" t="s">
        <v>19</v>
      </c>
      <c r="I4719" s="1" t="s">
        <v>3737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hidden="1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4332</v>
      </c>
      <c r="G4720" s="1">
        <v>1</v>
      </c>
      <c r="H4720" s="1" t="s">
        <v>19</v>
      </c>
      <c r="I4720" s="1" t="s">
        <v>3737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hidden="1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4333</v>
      </c>
      <c r="G4721" s="1">
        <v>1</v>
      </c>
      <c r="H4721" s="1" t="s">
        <v>19</v>
      </c>
      <c r="I4721" s="1" t="s">
        <v>3737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hidden="1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4334</v>
      </c>
      <c r="G4722" s="1">
        <v>1</v>
      </c>
      <c r="H4722" s="1" t="s">
        <v>19</v>
      </c>
      <c r="I4722" s="1" t="s">
        <v>3737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hidden="1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4335</v>
      </c>
      <c r="G4723" s="1">
        <v>1</v>
      </c>
      <c r="H4723" s="1" t="s">
        <v>19</v>
      </c>
      <c r="I4723" s="1" t="s">
        <v>3737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hidden="1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4336</v>
      </c>
      <c r="G4724" s="1">
        <v>1</v>
      </c>
      <c r="H4724" s="1" t="s">
        <v>19</v>
      </c>
      <c r="I4724" s="1" t="s">
        <v>3737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hidden="1" x14ac:dyDescent="0.25">
      <c r="A4725" s="1">
        <v>10</v>
      </c>
      <c r="B4725" s="159">
        <v>3435</v>
      </c>
      <c r="C4725" s="1" t="s">
        <v>4449</v>
      </c>
      <c r="D4725" s="1"/>
      <c r="E4725" s="1"/>
      <c r="F4725" s="1" t="s">
        <v>4450</v>
      </c>
      <c r="G4725" s="1">
        <v>1</v>
      </c>
      <c r="H4725" s="1" t="s">
        <v>19</v>
      </c>
      <c r="I4725" s="1" t="s">
        <v>3737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hidden="1" x14ac:dyDescent="0.25">
      <c r="A4726" s="1">
        <v>11</v>
      </c>
      <c r="B4726" s="159">
        <v>3437</v>
      </c>
      <c r="C4726" s="1" t="s">
        <v>4451</v>
      </c>
      <c r="D4726" s="1"/>
      <c r="E4726" s="1"/>
      <c r="F4726" s="1" t="s">
        <v>4452</v>
      </c>
      <c r="G4726" s="1">
        <v>2</v>
      </c>
      <c r="H4726" s="1" t="s">
        <v>19</v>
      </c>
      <c r="I4726" s="1" t="s">
        <v>3737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hidden="1" x14ac:dyDescent="0.25">
      <c r="A4727" s="1">
        <v>12</v>
      </c>
      <c r="B4727" s="159">
        <v>3438</v>
      </c>
      <c r="C4727" s="1" t="s">
        <v>4453</v>
      </c>
      <c r="D4727" s="1"/>
      <c r="E4727" s="1"/>
      <c r="F4727" s="1" t="s">
        <v>4454</v>
      </c>
      <c r="G4727" s="1">
        <v>2</v>
      </c>
      <c r="H4727" s="1" t="s">
        <v>19</v>
      </c>
      <c r="I4727" s="1" t="s">
        <v>3737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hidden="1" x14ac:dyDescent="0.25">
      <c r="A4728" s="1">
        <v>13</v>
      </c>
      <c r="B4728" s="159">
        <v>3439</v>
      </c>
      <c r="C4728" s="1" t="s">
        <v>4343</v>
      </c>
      <c r="D4728" s="1"/>
      <c r="E4728" s="1" t="s">
        <v>2</v>
      </c>
      <c r="F4728" s="1" t="s">
        <v>4344</v>
      </c>
      <c r="G4728" s="1">
        <v>1</v>
      </c>
      <c r="H4728" s="1" t="s">
        <v>19</v>
      </c>
      <c r="I4728" s="1" t="s">
        <v>3737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hidden="1" x14ac:dyDescent="0.25">
      <c r="A4729" s="1">
        <v>14</v>
      </c>
      <c r="B4729" s="159">
        <v>3440</v>
      </c>
      <c r="C4729" s="1" t="s">
        <v>4345</v>
      </c>
      <c r="D4729" s="1"/>
      <c r="E4729" s="1" t="s">
        <v>2</v>
      </c>
      <c r="F4729" s="1" t="s">
        <v>4346</v>
      </c>
      <c r="G4729" s="1">
        <v>1</v>
      </c>
      <c r="H4729" s="1" t="s">
        <v>19</v>
      </c>
      <c r="I4729" s="1" t="s">
        <v>3737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hidden="1" x14ac:dyDescent="0.25">
      <c r="A4730" s="1">
        <v>15</v>
      </c>
      <c r="B4730" s="159">
        <v>3441</v>
      </c>
      <c r="C4730" s="1" t="s">
        <v>4345</v>
      </c>
      <c r="D4730" s="1"/>
      <c r="E4730" s="1" t="s">
        <v>43</v>
      </c>
      <c r="F4730" s="1" t="s">
        <v>4347</v>
      </c>
      <c r="G4730" s="1">
        <v>1</v>
      </c>
      <c r="H4730" s="1" t="s">
        <v>19</v>
      </c>
      <c r="I4730" s="1" t="s">
        <v>3737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hidden="1" x14ac:dyDescent="0.25">
      <c r="A4731" s="1">
        <v>16</v>
      </c>
      <c r="B4731" s="159">
        <v>3442</v>
      </c>
      <c r="C4731" s="1" t="s">
        <v>4345</v>
      </c>
      <c r="D4731" s="1"/>
      <c r="E4731" s="1" t="s">
        <v>746</v>
      </c>
      <c r="F4731" s="1" t="s">
        <v>4348</v>
      </c>
      <c r="G4731" s="1">
        <v>1</v>
      </c>
      <c r="H4731" s="1" t="s">
        <v>19</v>
      </c>
      <c r="I4731" s="1" t="s">
        <v>3737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hidden="1" x14ac:dyDescent="0.25">
      <c r="A4732" s="1">
        <v>17</v>
      </c>
      <c r="B4732" s="159">
        <v>3443</v>
      </c>
      <c r="C4732" s="1" t="s">
        <v>4349</v>
      </c>
      <c r="D4732" s="1"/>
      <c r="E4732" s="1" t="s">
        <v>2</v>
      </c>
      <c r="F4732" s="1" t="s">
        <v>4350</v>
      </c>
      <c r="G4732" s="1">
        <v>1</v>
      </c>
      <c r="H4732" s="1" t="s">
        <v>19</v>
      </c>
      <c r="I4732" s="1" t="s">
        <v>3737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hidden="1" x14ac:dyDescent="0.25">
      <c r="A4733" s="1">
        <v>18</v>
      </c>
      <c r="B4733" s="159">
        <v>3444</v>
      </c>
      <c r="C4733" s="1" t="s">
        <v>4349</v>
      </c>
      <c r="D4733" s="1"/>
      <c r="E4733" s="1" t="s">
        <v>43</v>
      </c>
      <c r="F4733" s="1" t="s">
        <v>4351</v>
      </c>
      <c r="G4733" s="1">
        <v>1</v>
      </c>
      <c r="H4733" s="1" t="s">
        <v>19</v>
      </c>
      <c r="I4733" s="1" t="s">
        <v>3737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hidden="1" x14ac:dyDescent="0.25">
      <c r="A4734" s="1">
        <v>19</v>
      </c>
      <c r="B4734" s="159">
        <v>3464</v>
      </c>
      <c r="C4734" s="1" t="s">
        <v>4371</v>
      </c>
      <c r="D4734" s="1"/>
      <c r="E4734" s="1"/>
      <c r="F4734" s="1" t="s">
        <v>4372</v>
      </c>
      <c r="G4734" s="1">
        <v>1</v>
      </c>
      <c r="H4734" s="1" t="s">
        <v>19</v>
      </c>
      <c r="I4734" s="1" t="s">
        <v>3737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hidden="1" x14ac:dyDescent="0.25">
      <c r="A4735" s="1">
        <v>20</v>
      </c>
      <c r="B4735" s="159">
        <v>3465</v>
      </c>
      <c r="C4735" s="1" t="s">
        <v>4373</v>
      </c>
      <c r="D4735" s="1"/>
      <c r="E4735" s="1"/>
      <c r="F4735" s="1" t="s">
        <v>4374</v>
      </c>
      <c r="G4735" s="1">
        <v>1</v>
      </c>
      <c r="H4735" s="1" t="s">
        <v>19</v>
      </c>
      <c r="I4735" s="1" t="s">
        <v>3737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hidden="1" x14ac:dyDescent="0.25">
      <c r="A4736" s="1">
        <v>21</v>
      </c>
      <c r="B4736" s="159">
        <v>3469</v>
      </c>
      <c r="C4736" s="1" t="s">
        <v>4381</v>
      </c>
      <c r="D4736" s="1"/>
      <c r="E4736" s="1" t="s">
        <v>2</v>
      </c>
      <c r="F4736" s="1" t="s">
        <v>4382</v>
      </c>
      <c r="G4736" s="1">
        <v>1</v>
      </c>
      <c r="H4736" s="1" t="s">
        <v>19</v>
      </c>
      <c r="I4736" s="1" t="s">
        <v>3737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hidden="1" x14ac:dyDescent="0.25">
      <c r="A4737" s="1">
        <v>22</v>
      </c>
      <c r="B4737" s="159">
        <v>3469</v>
      </c>
      <c r="C4737" s="1" t="s">
        <v>4381</v>
      </c>
      <c r="D4737" s="1"/>
      <c r="E4737" s="1" t="s">
        <v>43</v>
      </c>
      <c r="F4737" s="1" t="s">
        <v>4455</v>
      </c>
      <c r="G4737" s="1">
        <v>1</v>
      </c>
      <c r="H4737" s="1" t="s">
        <v>19</v>
      </c>
      <c r="I4737" s="1" t="s">
        <v>3737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hidden="1" x14ac:dyDescent="0.25">
      <c r="A4738" s="1">
        <v>23</v>
      </c>
      <c r="B4738" s="159">
        <v>3470</v>
      </c>
      <c r="C4738" s="1" t="s">
        <v>4381</v>
      </c>
      <c r="D4738" s="1"/>
      <c r="E4738" s="1" t="s">
        <v>746</v>
      </c>
      <c r="F4738" s="1" t="s">
        <v>4383</v>
      </c>
      <c r="G4738" s="1">
        <v>1</v>
      </c>
      <c r="H4738" s="1" t="s">
        <v>19</v>
      </c>
      <c r="I4738" s="1" t="s">
        <v>3737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hidden="1" x14ac:dyDescent="0.25">
      <c r="A4739" s="1">
        <v>24</v>
      </c>
      <c r="B4739" s="159">
        <v>3471</v>
      </c>
      <c r="C4739" s="1" t="s">
        <v>4381</v>
      </c>
      <c r="D4739" s="1"/>
      <c r="E4739" s="1" t="s">
        <v>1101</v>
      </c>
      <c r="F4739" s="1" t="s">
        <v>4384</v>
      </c>
      <c r="G4739" s="1">
        <v>1</v>
      </c>
      <c r="H4739" s="1" t="s">
        <v>19</v>
      </c>
      <c r="I4739" s="1" t="s">
        <v>3737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hidden="1" x14ac:dyDescent="0.25">
      <c r="A4740" s="1">
        <v>25</v>
      </c>
      <c r="B4740" s="159">
        <v>3472</v>
      </c>
      <c r="C4740" s="1" t="s">
        <v>4381</v>
      </c>
      <c r="D4740" s="1"/>
      <c r="E4740" s="1" t="s">
        <v>100</v>
      </c>
      <c r="F4740" s="1" t="s">
        <v>4385</v>
      </c>
      <c r="G4740" s="1">
        <v>1</v>
      </c>
      <c r="H4740" s="1" t="s">
        <v>19</v>
      </c>
      <c r="I4740" s="1" t="s">
        <v>3737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hidden="1" x14ac:dyDescent="0.25">
      <c r="A4741" s="1">
        <v>26</v>
      </c>
      <c r="B4741" s="159">
        <v>3473</v>
      </c>
      <c r="C4741" s="1" t="s">
        <v>4381</v>
      </c>
      <c r="D4741" s="1"/>
      <c r="E4741" s="1" t="s">
        <v>173</v>
      </c>
      <c r="F4741" s="1" t="s">
        <v>4386</v>
      </c>
      <c r="G4741" s="1">
        <v>1</v>
      </c>
      <c r="H4741" s="1" t="s">
        <v>19</v>
      </c>
      <c r="I4741" s="1" t="s">
        <v>3737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hidden="1" x14ac:dyDescent="0.25">
      <c r="A4742" s="1">
        <v>27</v>
      </c>
      <c r="B4742" s="159">
        <v>3474</v>
      </c>
      <c r="C4742" s="1" t="s">
        <v>4381</v>
      </c>
      <c r="D4742" s="1"/>
      <c r="E4742" s="1" t="s">
        <v>461</v>
      </c>
      <c r="F4742" s="1" t="s">
        <v>4387</v>
      </c>
      <c r="G4742" s="1">
        <v>1</v>
      </c>
      <c r="H4742" s="1" t="s">
        <v>19</v>
      </c>
      <c r="I4742" s="1" t="s">
        <v>3737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hidden="1" x14ac:dyDescent="0.25">
      <c r="A4743" s="1">
        <v>28</v>
      </c>
      <c r="B4743" s="159">
        <v>3475</v>
      </c>
      <c r="C4743" s="1" t="s">
        <v>4381</v>
      </c>
      <c r="D4743" s="1"/>
      <c r="E4743" s="1" t="s">
        <v>464</v>
      </c>
      <c r="F4743" s="1" t="s">
        <v>4388</v>
      </c>
      <c r="G4743" s="1">
        <v>1</v>
      </c>
      <c r="H4743" s="1" t="s">
        <v>19</v>
      </c>
      <c r="I4743" s="1" t="s">
        <v>3737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hidden="1" x14ac:dyDescent="0.25">
      <c r="A4744" s="1">
        <v>29</v>
      </c>
      <c r="B4744" s="159">
        <v>3476</v>
      </c>
      <c r="C4744" s="1" t="s">
        <v>4381</v>
      </c>
      <c r="D4744" s="1"/>
      <c r="E4744" s="1" t="s">
        <v>1102</v>
      </c>
      <c r="F4744" s="1" t="s">
        <v>4389</v>
      </c>
      <c r="G4744" s="1">
        <v>1</v>
      </c>
      <c r="H4744" s="1" t="s">
        <v>19</v>
      </c>
      <c r="I4744" s="1" t="s">
        <v>3737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hidden="1" x14ac:dyDescent="0.25">
      <c r="A4745" s="1">
        <v>30</v>
      </c>
      <c r="B4745" s="159">
        <v>3477</v>
      </c>
      <c r="C4745" s="1" t="s">
        <v>4381</v>
      </c>
      <c r="D4745" s="1"/>
      <c r="E4745" s="1" t="s">
        <v>1103</v>
      </c>
      <c r="F4745" s="1" t="s">
        <v>4390</v>
      </c>
      <c r="G4745" s="1">
        <v>1</v>
      </c>
      <c r="H4745" s="1" t="s">
        <v>19</v>
      </c>
      <c r="I4745" s="1" t="s">
        <v>3737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hidden="1" x14ac:dyDescent="0.25">
      <c r="A4746" s="1">
        <v>31</v>
      </c>
      <c r="B4746" s="159">
        <v>3478</v>
      </c>
      <c r="C4746" s="1" t="s">
        <v>4381</v>
      </c>
      <c r="D4746" s="1"/>
      <c r="E4746" s="1" t="s">
        <v>1105</v>
      </c>
      <c r="F4746" s="1" t="s">
        <v>4391</v>
      </c>
      <c r="G4746" s="1">
        <v>2</v>
      </c>
      <c r="H4746" s="1" t="s">
        <v>19</v>
      </c>
      <c r="I4746" s="1" t="s">
        <v>3737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hidden="1" x14ac:dyDescent="0.25">
      <c r="A4747" s="1">
        <v>32</v>
      </c>
      <c r="B4747" s="159">
        <v>3479</v>
      </c>
      <c r="C4747" s="1" t="s">
        <v>4392</v>
      </c>
      <c r="D4747" s="1"/>
      <c r="E4747" s="1"/>
      <c r="F4747" s="1" t="s">
        <v>4393</v>
      </c>
      <c r="G4747" s="1">
        <v>1</v>
      </c>
      <c r="H4747" s="1" t="s">
        <v>19</v>
      </c>
      <c r="I4747" s="1" t="s">
        <v>3737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hidden="1" x14ac:dyDescent="0.25">
      <c r="A4748" s="1">
        <v>33</v>
      </c>
      <c r="B4748" s="159">
        <v>3481</v>
      </c>
      <c r="C4748" s="1" t="s">
        <v>4396</v>
      </c>
      <c r="D4748" s="1"/>
      <c r="E4748" s="1"/>
      <c r="F4748" s="1" t="s">
        <v>4397</v>
      </c>
      <c r="G4748" s="1">
        <v>4</v>
      </c>
      <c r="H4748" s="1" t="s">
        <v>19</v>
      </c>
      <c r="I4748" s="1" t="s">
        <v>3737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hidden="1" x14ac:dyDescent="0.25">
      <c r="A4749" s="1">
        <v>34</v>
      </c>
      <c r="B4749" s="204">
        <v>4347</v>
      </c>
      <c r="C4749" s="1" t="s">
        <v>4456</v>
      </c>
      <c r="D4749" s="1"/>
      <c r="E4749" s="1"/>
      <c r="F4749" s="1" t="s">
        <v>4457</v>
      </c>
      <c r="G4749" s="1">
        <v>2</v>
      </c>
      <c r="H4749" s="1" t="s">
        <v>19</v>
      </c>
      <c r="I4749" s="1" t="s">
        <v>3737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hidden="1" x14ac:dyDescent="0.25">
      <c r="A4750" s="1">
        <v>35</v>
      </c>
      <c r="B4750" s="159">
        <v>4348</v>
      </c>
      <c r="C4750" s="1" t="s">
        <v>4456</v>
      </c>
      <c r="D4750" s="1"/>
      <c r="E4750" s="1"/>
      <c r="F4750" s="1" t="s">
        <v>4458</v>
      </c>
      <c r="G4750" s="1">
        <v>1</v>
      </c>
      <c r="H4750" s="1" t="s">
        <v>19</v>
      </c>
      <c r="I4750" s="1" t="s">
        <v>3737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hidden="1" x14ac:dyDescent="0.25">
      <c r="A4751" s="1">
        <v>36</v>
      </c>
      <c r="B4751" s="204">
        <v>4349</v>
      </c>
      <c r="C4751" s="1" t="s">
        <v>4456</v>
      </c>
      <c r="D4751" s="1"/>
      <c r="E4751" s="1"/>
      <c r="F4751" s="1" t="s">
        <v>4459</v>
      </c>
      <c r="G4751" s="1">
        <v>1</v>
      </c>
      <c r="H4751" s="1" t="s">
        <v>19</v>
      </c>
      <c r="I4751" s="1" t="s">
        <v>3737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hidden="1" x14ac:dyDescent="0.25">
      <c r="A4752" s="1">
        <v>37</v>
      </c>
      <c r="B4752" s="159">
        <v>4350</v>
      </c>
      <c r="C4752" s="1" t="s">
        <v>4460</v>
      </c>
      <c r="D4752" s="1"/>
      <c r="E4752" s="1"/>
      <c r="F4752" s="1" t="s">
        <v>4461</v>
      </c>
      <c r="G4752" s="1">
        <v>1</v>
      </c>
      <c r="H4752" s="1" t="s">
        <v>19</v>
      </c>
      <c r="I4752" s="1" t="s">
        <v>3737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hidden="1" x14ac:dyDescent="0.25">
      <c r="A4753" s="1">
        <v>38</v>
      </c>
      <c r="B4753" s="204">
        <v>4351</v>
      </c>
      <c r="C4753" s="1" t="s">
        <v>4392</v>
      </c>
      <c r="D4753" s="1"/>
      <c r="E4753" s="1"/>
      <c r="F4753" s="1" t="s">
        <v>4462</v>
      </c>
      <c r="G4753" s="1">
        <v>1</v>
      </c>
      <c r="H4753" s="1" t="s">
        <v>19</v>
      </c>
      <c r="I4753" s="1" t="s">
        <v>3737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hidden="1" x14ac:dyDescent="0.25">
      <c r="A4754" s="1">
        <v>39</v>
      </c>
      <c r="B4754" s="159">
        <v>4352</v>
      </c>
      <c r="C4754" s="1" t="s">
        <v>4392</v>
      </c>
      <c r="D4754" s="1"/>
      <c r="E4754" s="1"/>
      <c r="F4754" s="1" t="s">
        <v>4463</v>
      </c>
      <c r="G4754" s="1">
        <v>4</v>
      </c>
      <c r="H4754" s="1" t="s">
        <v>19</v>
      </c>
      <c r="I4754" s="1" t="s">
        <v>3737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hidden="1" x14ac:dyDescent="0.25">
      <c r="A4755" s="1">
        <v>40</v>
      </c>
      <c r="B4755" s="204">
        <v>4353</v>
      </c>
      <c r="C4755" s="1" t="s">
        <v>4392</v>
      </c>
      <c r="D4755" s="1"/>
      <c r="E4755" s="1"/>
      <c r="F4755" s="1" t="s">
        <v>4464</v>
      </c>
      <c r="G4755" s="1">
        <v>2</v>
      </c>
      <c r="H4755" s="1" t="s">
        <v>19</v>
      </c>
      <c r="I4755" s="1" t="s">
        <v>3737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hidden="1" x14ac:dyDescent="0.25">
      <c r="A4756" s="1">
        <v>41</v>
      </c>
      <c r="B4756" s="159">
        <v>4354</v>
      </c>
      <c r="C4756" s="1" t="s">
        <v>4460</v>
      </c>
      <c r="D4756" s="1"/>
      <c r="E4756" s="1"/>
      <c r="F4756" s="1" t="s">
        <v>4465</v>
      </c>
      <c r="G4756" s="1">
        <v>110</v>
      </c>
      <c r="H4756" s="1" t="s">
        <v>1253</v>
      </c>
      <c r="I4756" s="1" t="s">
        <v>3737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hidden="1" x14ac:dyDescent="0.25">
      <c r="A4757" s="1">
        <v>42</v>
      </c>
      <c r="B4757" s="204">
        <v>4355</v>
      </c>
      <c r="C4757" s="1" t="s">
        <v>4466</v>
      </c>
      <c r="D4757" s="1"/>
      <c r="E4757" s="1"/>
      <c r="F4757" s="1" t="s">
        <v>4467</v>
      </c>
      <c r="G4757" s="1">
        <v>40</v>
      </c>
      <c r="H4757" s="1" t="s">
        <v>19</v>
      </c>
      <c r="I4757" s="1" t="s">
        <v>3737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hidden="1" x14ac:dyDescent="0.25">
      <c r="A4758" s="1">
        <v>43</v>
      </c>
      <c r="B4758" s="159">
        <v>4356</v>
      </c>
      <c r="C4758" s="1" t="s">
        <v>4466</v>
      </c>
      <c r="D4758" s="1"/>
      <c r="E4758" s="1"/>
      <c r="F4758" s="1" t="s">
        <v>4468</v>
      </c>
      <c r="G4758" s="1">
        <v>40</v>
      </c>
      <c r="H4758" s="1" t="s">
        <v>19</v>
      </c>
      <c r="I4758" s="1" t="s">
        <v>3737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hidden="1" x14ac:dyDescent="0.25">
      <c r="A4759" s="1">
        <v>44</v>
      </c>
      <c r="B4759" s="204">
        <v>4357</v>
      </c>
      <c r="C4759" s="1" t="s">
        <v>4466</v>
      </c>
      <c r="D4759" s="1"/>
      <c r="E4759" s="1"/>
      <c r="F4759" s="1" t="s">
        <v>4469</v>
      </c>
      <c r="G4759" s="1">
        <v>40</v>
      </c>
      <c r="H4759" s="1" t="s">
        <v>19</v>
      </c>
      <c r="I4759" s="1" t="s">
        <v>3737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hidden="1" x14ac:dyDescent="0.25">
      <c r="A4760" s="1">
        <v>45</v>
      </c>
      <c r="B4760" s="159">
        <v>4358</v>
      </c>
      <c r="C4760" s="1" t="s">
        <v>4470</v>
      </c>
      <c r="D4760" s="1"/>
      <c r="E4760" s="1"/>
      <c r="F4760" s="1" t="s">
        <v>4471</v>
      </c>
      <c r="G4760" s="1">
        <v>1</v>
      </c>
      <c r="H4760" s="1" t="s">
        <v>19</v>
      </c>
      <c r="I4760" s="1" t="s">
        <v>3737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hidden="1" x14ac:dyDescent="0.25">
      <c r="A4761" s="1">
        <v>46</v>
      </c>
      <c r="B4761" s="204">
        <v>4359</v>
      </c>
      <c r="C4761" s="1" t="s">
        <v>4472</v>
      </c>
      <c r="D4761" s="1"/>
      <c r="E4761" s="1"/>
      <c r="F4761" s="1" t="s">
        <v>4473</v>
      </c>
      <c r="G4761" s="1">
        <v>18</v>
      </c>
      <c r="H4761" s="1" t="s">
        <v>19</v>
      </c>
      <c r="I4761" s="1" t="s">
        <v>3737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hidden="1" x14ac:dyDescent="0.25">
      <c r="A4762" s="1">
        <v>47</v>
      </c>
      <c r="B4762" s="159">
        <v>4360</v>
      </c>
      <c r="C4762" s="1" t="s">
        <v>4472</v>
      </c>
      <c r="D4762" s="1"/>
      <c r="E4762" s="1"/>
      <c r="F4762" s="1" t="s">
        <v>4474</v>
      </c>
      <c r="G4762" s="1">
        <v>18</v>
      </c>
      <c r="H4762" s="1" t="s">
        <v>19</v>
      </c>
      <c r="I4762" s="1" t="s">
        <v>3737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hidden="1" x14ac:dyDescent="0.25">
      <c r="A4763" s="1">
        <v>48</v>
      </c>
      <c r="B4763" s="204">
        <v>4361</v>
      </c>
      <c r="C4763" s="1" t="s">
        <v>4472</v>
      </c>
      <c r="D4763" s="1"/>
      <c r="E4763" s="1"/>
      <c r="F4763" s="1" t="s">
        <v>4475</v>
      </c>
      <c r="G4763" s="1">
        <v>5</v>
      </c>
      <c r="H4763" s="1" t="s">
        <v>19</v>
      </c>
      <c r="I4763" s="1" t="s">
        <v>3737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hidden="1" x14ac:dyDescent="0.25">
      <c r="A4764" s="1">
        <v>49</v>
      </c>
      <c r="B4764" s="159">
        <v>4362</v>
      </c>
      <c r="C4764" s="1" t="s">
        <v>4472</v>
      </c>
      <c r="D4764" s="1"/>
      <c r="E4764" s="1"/>
      <c r="F4764" s="1" t="s">
        <v>4476</v>
      </c>
      <c r="G4764" s="1">
        <v>3</v>
      </c>
      <c r="H4764" s="1" t="s">
        <v>19</v>
      </c>
      <c r="I4764" s="1" t="s">
        <v>3737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hidden="1" x14ac:dyDescent="0.25">
      <c r="A4765" s="1">
        <v>50</v>
      </c>
      <c r="B4765" s="204">
        <v>4363</v>
      </c>
      <c r="C4765" s="1" t="s">
        <v>4472</v>
      </c>
      <c r="D4765" s="1"/>
      <c r="E4765" s="1"/>
      <c r="F4765" s="1" t="s">
        <v>4477</v>
      </c>
      <c r="G4765" s="1">
        <v>3</v>
      </c>
      <c r="H4765" s="1" t="s">
        <v>19</v>
      </c>
      <c r="I4765" s="1" t="s">
        <v>3737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hidden="1" x14ac:dyDescent="0.25">
      <c r="A4766" s="1">
        <v>51</v>
      </c>
      <c r="B4766" s="159">
        <v>4364</v>
      </c>
      <c r="C4766" s="1" t="s">
        <v>4472</v>
      </c>
      <c r="D4766" s="1"/>
      <c r="E4766" s="1"/>
      <c r="F4766" s="1" t="s">
        <v>4478</v>
      </c>
      <c r="G4766" s="1">
        <v>10</v>
      </c>
      <c r="H4766" s="1" t="s">
        <v>19</v>
      </c>
      <c r="I4766" s="1" t="s">
        <v>3737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hidden="1" x14ac:dyDescent="0.25">
      <c r="A4767" s="1">
        <v>52</v>
      </c>
      <c r="B4767" s="204">
        <v>4365</v>
      </c>
      <c r="C4767" s="1" t="s">
        <v>4472</v>
      </c>
      <c r="D4767" s="1"/>
      <c r="E4767" s="1"/>
      <c r="F4767" s="1" t="s">
        <v>4479</v>
      </c>
      <c r="G4767" s="1">
        <v>10</v>
      </c>
      <c r="H4767" s="1" t="s">
        <v>19</v>
      </c>
      <c r="I4767" s="1" t="s">
        <v>3737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hidden="1" x14ac:dyDescent="0.25">
      <c r="A4768" s="1">
        <v>53</v>
      </c>
      <c r="B4768" s="159">
        <v>4366</v>
      </c>
      <c r="C4768" s="1" t="s">
        <v>4472</v>
      </c>
      <c r="D4768" s="1"/>
      <c r="E4768" s="1"/>
      <c r="F4768" s="1" t="s">
        <v>4480</v>
      </c>
      <c r="G4768" s="1">
        <v>2</v>
      </c>
      <c r="H4768" s="1" t="s">
        <v>19</v>
      </c>
      <c r="I4768" s="1" t="s">
        <v>3737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hidden="1" x14ac:dyDescent="0.25">
      <c r="A4769" s="1">
        <v>54</v>
      </c>
      <c r="B4769" s="204">
        <v>4367</v>
      </c>
      <c r="C4769" s="1" t="s">
        <v>4472</v>
      </c>
      <c r="D4769" s="1"/>
      <c r="E4769" s="1"/>
      <c r="F4769" s="1" t="s">
        <v>4481</v>
      </c>
      <c r="G4769" s="1">
        <v>4</v>
      </c>
      <c r="H4769" s="1" t="s">
        <v>19</v>
      </c>
      <c r="I4769" s="1" t="s">
        <v>3737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hidden="1" x14ac:dyDescent="0.25">
      <c r="A4770" s="1">
        <v>55</v>
      </c>
      <c r="B4770" s="159">
        <v>4368</v>
      </c>
      <c r="C4770" s="1" t="s">
        <v>4472</v>
      </c>
      <c r="D4770" s="1"/>
      <c r="E4770" s="1"/>
      <c r="F4770" s="1" t="s">
        <v>4482</v>
      </c>
      <c r="G4770" s="1">
        <v>2</v>
      </c>
      <c r="H4770" s="1" t="s">
        <v>19</v>
      </c>
      <c r="I4770" s="1" t="s">
        <v>3737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hidden="1" x14ac:dyDescent="0.25">
      <c r="A4771" s="1">
        <v>56</v>
      </c>
      <c r="B4771" s="204">
        <v>4369</v>
      </c>
      <c r="C4771" s="1" t="s">
        <v>4472</v>
      </c>
      <c r="D4771" s="1"/>
      <c r="E4771" s="1"/>
      <c r="F4771" s="1" t="s">
        <v>4483</v>
      </c>
      <c r="G4771" s="1">
        <v>8</v>
      </c>
      <c r="H4771" s="1" t="s">
        <v>19</v>
      </c>
      <c r="I4771" s="1" t="s">
        <v>3737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hidden="1" x14ac:dyDescent="0.25">
      <c r="A4772" s="1">
        <v>57</v>
      </c>
      <c r="B4772" s="159">
        <v>4370</v>
      </c>
      <c r="C4772" s="1" t="s">
        <v>4472</v>
      </c>
      <c r="D4772" s="1"/>
      <c r="E4772" s="1"/>
      <c r="F4772" s="1" t="s">
        <v>4484</v>
      </c>
      <c r="G4772" s="1">
        <v>1</v>
      </c>
      <c r="H4772" s="1" t="s">
        <v>19</v>
      </c>
      <c r="I4772" s="1" t="s">
        <v>3737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hidden="1" x14ac:dyDescent="0.25">
      <c r="A4773" s="1">
        <v>58</v>
      </c>
      <c r="B4773" s="204">
        <v>4371</v>
      </c>
      <c r="C4773" s="1" t="s">
        <v>4472</v>
      </c>
      <c r="D4773" s="1"/>
      <c r="E4773" s="1"/>
      <c r="F4773" s="1" t="s">
        <v>4485</v>
      </c>
      <c r="G4773" s="1">
        <v>71</v>
      </c>
      <c r="H4773" s="1" t="s">
        <v>4486</v>
      </c>
      <c r="I4773" s="1" t="s">
        <v>3737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hidden="1" x14ac:dyDescent="0.25">
      <c r="A4774" s="1">
        <v>59</v>
      </c>
      <c r="B4774" s="159">
        <v>4372</v>
      </c>
      <c r="C4774" s="1" t="s">
        <v>4472</v>
      </c>
      <c r="D4774" s="1"/>
      <c r="E4774" s="1"/>
      <c r="F4774" s="1" t="s">
        <v>4487</v>
      </c>
      <c r="G4774" s="1">
        <v>10</v>
      </c>
      <c r="H4774" s="1" t="s">
        <v>4486</v>
      </c>
      <c r="I4774" s="1" t="s">
        <v>3737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hidden="1" x14ac:dyDescent="0.25">
      <c r="A4775" s="1">
        <v>60</v>
      </c>
      <c r="B4775" s="204">
        <v>4373</v>
      </c>
      <c r="C4775" s="1" t="s">
        <v>4472</v>
      </c>
      <c r="D4775" s="1"/>
      <c r="E4775" s="1"/>
      <c r="F4775" s="1" t="s">
        <v>4488</v>
      </c>
      <c r="G4775" s="1">
        <v>18</v>
      </c>
      <c r="H4775" s="1" t="s">
        <v>4486</v>
      </c>
      <c r="I4775" s="1" t="s">
        <v>3737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hidden="1" x14ac:dyDescent="0.25">
      <c r="A4776" s="1">
        <v>61</v>
      </c>
      <c r="B4776" s="159">
        <v>4374</v>
      </c>
      <c r="C4776" s="1" t="s">
        <v>4472</v>
      </c>
      <c r="D4776" s="1"/>
      <c r="E4776" s="1"/>
      <c r="F4776" s="1" t="s">
        <v>4489</v>
      </c>
      <c r="G4776" s="1">
        <v>50</v>
      </c>
      <c r="H4776" s="1" t="s">
        <v>4486</v>
      </c>
      <c r="I4776" s="1" t="s">
        <v>3737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hidden="1" x14ac:dyDescent="0.25">
      <c r="A4777" s="1">
        <v>62</v>
      </c>
      <c r="B4777" s="204">
        <v>4375</v>
      </c>
      <c r="C4777" s="1" t="s">
        <v>4472</v>
      </c>
      <c r="D4777" s="1"/>
      <c r="E4777" s="1"/>
      <c r="F4777" s="1" t="s">
        <v>4490</v>
      </c>
      <c r="G4777" s="1">
        <v>60</v>
      </c>
      <c r="H4777" s="1" t="s">
        <v>4486</v>
      </c>
      <c r="I4777" s="1" t="s">
        <v>3737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hidden="1" x14ac:dyDescent="0.25">
      <c r="A4778" s="1">
        <v>63</v>
      </c>
      <c r="B4778" s="159">
        <v>4376</v>
      </c>
      <c r="C4778" s="1" t="s">
        <v>4472</v>
      </c>
      <c r="D4778" s="1"/>
      <c r="E4778" s="1"/>
      <c r="F4778" s="1" t="s">
        <v>4491</v>
      </c>
      <c r="G4778" s="1">
        <v>15</v>
      </c>
      <c r="H4778" s="1" t="s">
        <v>4486</v>
      </c>
      <c r="I4778" s="1" t="s">
        <v>3737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hidden="1" x14ac:dyDescent="0.25">
      <c r="A4779" s="1">
        <v>64</v>
      </c>
      <c r="B4779" s="204">
        <v>4377</v>
      </c>
      <c r="C4779" s="1" t="s">
        <v>4472</v>
      </c>
      <c r="D4779" s="1"/>
      <c r="E4779" s="1"/>
      <c r="F4779" s="1" t="s">
        <v>4492</v>
      </c>
      <c r="G4779" s="1">
        <v>52</v>
      </c>
      <c r="H4779" s="1" t="s">
        <v>4486</v>
      </c>
      <c r="I4779" s="1" t="s">
        <v>3737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hidden="1" x14ac:dyDescent="0.25">
      <c r="A4780" s="1">
        <v>65</v>
      </c>
      <c r="B4780" s="159">
        <v>4378</v>
      </c>
      <c r="C4780" s="1" t="s">
        <v>4472</v>
      </c>
      <c r="D4780" s="1"/>
      <c r="E4780" s="1"/>
      <c r="F4780" s="1" t="s">
        <v>4493</v>
      </c>
      <c r="G4780" s="1">
        <v>78</v>
      </c>
      <c r="H4780" s="1" t="s">
        <v>4486</v>
      </c>
      <c r="I4780" s="1" t="s">
        <v>3737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hidden="1" x14ac:dyDescent="0.25">
      <c r="A4781" s="1">
        <v>66</v>
      </c>
      <c r="B4781" s="204">
        <v>4379</v>
      </c>
      <c r="C4781" s="1" t="s">
        <v>4472</v>
      </c>
      <c r="D4781" s="1"/>
      <c r="E4781" s="1"/>
      <c r="F4781" s="1" t="s">
        <v>4494</v>
      </c>
      <c r="G4781" s="1">
        <v>26</v>
      </c>
      <c r="H4781" s="1" t="s">
        <v>4486</v>
      </c>
      <c r="I4781" s="1" t="s">
        <v>3737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hidden="1" x14ac:dyDescent="0.25">
      <c r="A4782" s="1">
        <v>67</v>
      </c>
      <c r="B4782" s="159">
        <v>4380</v>
      </c>
      <c r="C4782" s="1" t="s">
        <v>4472</v>
      </c>
      <c r="D4782" s="1"/>
      <c r="E4782" s="1"/>
      <c r="F4782" s="1" t="s">
        <v>4495</v>
      </c>
      <c r="G4782" s="1">
        <v>60</v>
      </c>
      <c r="H4782" s="1" t="s">
        <v>4486</v>
      </c>
      <c r="I4782" s="1" t="s">
        <v>3737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hidden="1" x14ac:dyDescent="0.25">
      <c r="A4783" s="1">
        <v>68</v>
      </c>
      <c r="B4783" s="204">
        <v>4381</v>
      </c>
      <c r="C4783" s="1" t="s">
        <v>4472</v>
      </c>
      <c r="D4783" s="1"/>
      <c r="E4783" s="1"/>
      <c r="F4783" s="1" t="s">
        <v>4496</v>
      </c>
      <c r="G4783" s="1">
        <v>52</v>
      </c>
      <c r="H4783" s="1" t="s">
        <v>4486</v>
      </c>
      <c r="I4783" s="1" t="s">
        <v>3737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hidden="1" x14ac:dyDescent="0.25">
      <c r="A4784" s="1">
        <v>69</v>
      </c>
      <c r="B4784" s="159">
        <v>4382</v>
      </c>
      <c r="C4784" s="1" t="s">
        <v>4472</v>
      </c>
      <c r="D4784" s="1"/>
      <c r="E4784" s="1"/>
      <c r="F4784" s="1" t="s">
        <v>4497</v>
      </c>
      <c r="G4784" s="1">
        <v>26</v>
      </c>
      <c r="H4784" s="1" t="s">
        <v>4486</v>
      </c>
      <c r="I4784" s="1" t="s">
        <v>3737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hidden="1" x14ac:dyDescent="0.25">
      <c r="A4785" s="1">
        <v>70</v>
      </c>
      <c r="B4785" s="204">
        <v>4383</v>
      </c>
      <c r="C4785" s="1" t="s">
        <v>4472</v>
      </c>
      <c r="D4785" s="1"/>
      <c r="E4785" s="1"/>
      <c r="F4785" s="1" t="s">
        <v>4498</v>
      </c>
      <c r="G4785" s="1">
        <v>3</v>
      </c>
      <c r="H4785" s="1" t="s">
        <v>4486</v>
      </c>
      <c r="I4785" s="1" t="s">
        <v>3737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hidden="1" x14ac:dyDescent="0.25">
      <c r="A4786" s="1">
        <v>71</v>
      </c>
      <c r="B4786" s="159">
        <v>4384</v>
      </c>
      <c r="C4786" s="1" t="s">
        <v>4472</v>
      </c>
      <c r="D4786" s="1"/>
      <c r="E4786" s="1"/>
      <c r="F4786" s="1" t="s">
        <v>4499</v>
      </c>
      <c r="G4786" s="1">
        <v>20</v>
      </c>
      <c r="H4786" s="1" t="s">
        <v>4486</v>
      </c>
      <c r="I4786" s="1" t="s">
        <v>3737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hidden="1" x14ac:dyDescent="0.25">
      <c r="A4787" s="1">
        <v>72</v>
      </c>
      <c r="B4787" s="204">
        <v>4385</v>
      </c>
      <c r="C4787" s="1" t="s">
        <v>4472</v>
      </c>
      <c r="D4787" s="1"/>
      <c r="E4787" s="1"/>
      <c r="F4787" s="1" t="s">
        <v>4500</v>
      </c>
      <c r="G4787" s="1">
        <v>6</v>
      </c>
      <c r="H4787" s="1" t="s">
        <v>4486</v>
      </c>
      <c r="I4787" s="1" t="s">
        <v>3737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hidden="1" x14ac:dyDescent="0.25">
      <c r="A4788" s="1">
        <v>73</v>
      </c>
      <c r="B4788" s="159">
        <v>4386</v>
      </c>
      <c r="C4788" s="1" t="s">
        <v>4472</v>
      </c>
      <c r="D4788" s="1"/>
      <c r="E4788" s="1"/>
      <c r="F4788" s="1" t="s">
        <v>4501</v>
      </c>
      <c r="G4788" s="1">
        <v>3</v>
      </c>
      <c r="H4788" s="1" t="s">
        <v>4486</v>
      </c>
      <c r="I4788" s="1" t="s">
        <v>3737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hidden="1" x14ac:dyDescent="0.25">
      <c r="A4789" s="1">
        <v>74</v>
      </c>
      <c r="B4789" s="204">
        <v>4387</v>
      </c>
      <c r="C4789" s="1" t="s">
        <v>4472</v>
      </c>
      <c r="D4789" s="1"/>
      <c r="E4789" s="1"/>
      <c r="F4789" s="1" t="s">
        <v>4502</v>
      </c>
      <c r="G4789" s="1">
        <v>6</v>
      </c>
      <c r="H4789" s="1" t="s">
        <v>4486</v>
      </c>
      <c r="I4789" s="1" t="s">
        <v>3737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hidden="1" x14ac:dyDescent="0.25">
      <c r="A4790" s="1">
        <v>75</v>
      </c>
      <c r="B4790" s="159">
        <v>4388</v>
      </c>
      <c r="C4790" s="1" t="s">
        <v>4472</v>
      </c>
      <c r="D4790" s="1"/>
      <c r="E4790" s="1"/>
      <c r="F4790" s="1" t="s">
        <v>4503</v>
      </c>
      <c r="G4790" s="1">
        <v>15</v>
      </c>
      <c r="H4790" s="1" t="s">
        <v>4486</v>
      </c>
      <c r="I4790" s="1" t="s">
        <v>3737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hidden="1" x14ac:dyDescent="0.25">
      <c r="A4791" s="1">
        <v>76</v>
      </c>
      <c r="B4791" s="204">
        <v>4389</v>
      </c>
      <c r="C4791" s="1" t="s">
        <v>4472</v>
      </c>
      <c r="D4791" s="1"/>
      <c r="E4791" s="1"/>
      <c r="F4791" s="1" t="s">
        <v>4504</v>
      </c>
      <c r="G4791" s="1">
        <v>12</v>
      </c>
      <c r="H4791" s="1" t="s">
        <v>4486</v>
      </c>
      <c r="I4791" s="1" t="s">
        <v>3737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hidden="1" x14ac:dyDescent="0.25">
      <c r="A4792" s="1">
        <v>77</v>
      </c>
      <c r="B4792" s="159">
        <v>4390</v>
      </c>
      <c r="C4792" s="1" t="s">
        <v>4460</v>
      </c>
      <c r="D4792" s="1"/>
      <c r="E4792" s="1"/>
      <c r="F4792" s="1" t="s">
        <v>4505</v>
      </c>
      <c r="G4792" s="1">
        <v>4</v>
      </c>
      <c r="H4792" s="1" t="s">
        <v>19</v>
      </c>
      <c r="I4792" s="1" t="s">
        <v>3737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hidden="1" x14ac:dyDescent="0.25">
      <c r="A4793" s="1">
        <v>78</v>
      </c>
      <c r="B4793" s="204">
        <v>4391</v>
      </c>
      <c r="C4793" s="1" t="s">
        <v>4472</v>
      </c>
      <c r="D4793" s="1"/>
      <c r="E4793" s="1"/>
      <c r="F4793" s="1" t="s">
        <v>4506</v>
      </c>
      <c r="G4793" s="1">
        <v>1</v>
      </c>
      <c r="H4793" s="1" t="s">
        <v>19</v>
      </c>
      <c r="I4793" s="1" t="s">
        <v>4472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hidden="1" x14ac:dyDescent="0.25">
      <c r="A4794" s="1">
        <v>79</v>
      </c>
      <c r="B4794" s="159">
        <v>4392</v>
      </c>
      <c r="C4794" s="1" t="s">
        <v>4472</v>
      </c>
      <c r="D4794" s="1"/>
      <c r="E4794" s="1"/>
      <c r="F4794" s="1" t="s">
        <v>4448</v>
      </c>
      <c r="G4794" s="1">
        <v>1</v>
      </c>
      <c r="H4794" s="1" t="s">
        <v>19</v>
      </c>
      <c r="I4794" s="1" t="s">
        <v>4472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hidden="1" x14ac:dyDescent="0.25">
      <c r="A4795" s="1">
        <v>80</v>
      </c>
      <c r="B4795" s="204">
        <v>4393</v>
      </c>
      <c r="C4795" s="1" t="s">
        <v>4507</v>
      </c>
      <c r="D4795" s="1"/>
      <c r="E4795" s="1"/>
      <c r="F4795" s="1" t="s">
        <v>4508</v>
      </c>
      <c r="G4795" s="1">
        <v>1</v>
      </c>
      <c r="H4795" s="1" t="s">
        <v>19</v>
      </c>
      <c r="I4795" s="1" t="s">
        <v>4507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hidden="1" x14ac:dyDescent="0.25">
      <c r="A4796" s="1">
        <v>81</v>
      </c>
      <c r="B4796" s="159">
        <v>4394</v>
      </c>
      <c r="C4796" s="1" t="s">
        <v>4507</v>
      </c>
      <c r="D4796" s="1"/>
      <c r="E4796" s="1"/>
      <c r="F4796" s="1" t="s">
        <v>4509</v>
      </c>
      <c r="G4796" s="1">
        <v>1</v>
      </c>
      <c r="H4796" s="1" t="s">
        <v>19</v>
      </c>
      <c r="I4796" s="1" t="s">
        <v>4507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hidden="1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 t="s">
        <v>6</v>
      </c>
    </row>
    <row r="4829" spans="1:15" ht="20.25" hidden="1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 t="s">
        <v>6</v>
      </c>
    </row>
    <row r="4830" spans="1:15" ht="20.25" hidden="1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4555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 t="s">
        <v>6</v>
      </c>
    </row>
    <row r="4831" spans="1:15" ht="20.25" hidden="1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4555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 t="s">
        <v>6</v>
      </c>
    </row>
    <row r="4832" spans="1:15" ht="20.25" hidden="1" x14ac:dyDescent="0.25">
      <c r="A4832" s="1">
        <v>5</v>
      </c>
      <c r="B4832" t="s">
        <v>4693</v>
      </c>
      <c r="C4832" s="1" t="s">
        <v>4556</v>
      </c>
      <c r="D4832" s="1"/>
      <c r="E4832" s="1"/>
      <c r="F4832" s="1" t="s">
        <v>4557</v>
      </c>
      <c r="G4832" s="1">
        <v>16</v>
      </c>
      <c r="H4832" s="1" t="s">
        <v>4558</v>
      </c>
      <c r="I4832" s="1" t="s">
        <v>4556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 t="s">
        <v>6</v>
      </c>
    </row>
    <row r="4833" spans="1:15" ht="20.25" hidden="1" x14ac:dyDescent="0.25">
      <c r="A4833" s="1">
        <v>6</v>
      </c>
      <c r="B4833" t="s">
        <v>4694</v>
      </c>
      <c r="C4833" s="1" t="s">
        <v>4556</v>
      </c>
      <c r="D4833" s="1"/>
      <c r="E4833" s="1"/>
      <c r="F4833" s="1" t="s">
        <v>4559</v>
      </c>
      <c r="G4833" s="1">
        <v>8</v>
      </c>
      <c r="H4833" s="1" t="s">
        <v>4558</v>
      </c>
      <c r="I4833" s="1" t="s">
        <v>4556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 t="s">
        <v>6</v>
      </c>
    </row>
    <row r="4834" spans="1:15" ht="20.25" hidden="1" x14ac:dyDescent="0.25">
      <c r="A4834" s="1">
        <v>7</v>
      </c>
      <c r="B4834" t="s">
        <v>4695</v>
      </c>
      <c r="C4834" s="1" t="s">
        <v>4556</v>
      </c>
      <c r="D4834" s="1"/>
      <c r="E4834" s="1"/>
      <c r="F4834" s="1" t="s">
        <v>4560</v>
      </c>
      <c r="G4834" s="1">
        <v>7</v>
      </c>
      <c r="H4834" s="1" t="s">
        <v>4558</v>
      </c>
      <c r="I4834" s="1" t="s">
        <v>4556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 t="s">
        <v>6</v>
      </c>
    </row>
    <row r="4835" spans="1:15" ht="20.25" hidden="1" x14ac:dyDescent="0.25">
      <c r="A4835" s="1">
        <v>8</v>
      </c>
      <c r="B4835" t="s">
        <v>4696</v>
      </c>
      <c r="C4835" s="1" t="s">
        <v>4556</v>
      </c>
      <c r="D4835" s="1"/>
      <c r="E4835" s="1"/>
      <c r="F4835" s="1" t="s">
        <v>4561</v>
      </c>
      <c r="G4835" s="1">
        <v>3</v>
      </c>
      <c r="H4835" s="1" t="s">
        <v>4562</v>
      </c>
      <c r="I4835" s="1" t="s">
        <v>4556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 t="s">
        <v>6</v>
      </c>
    </row>
    <row r="4836" spans="1:15" ht="20.25" hidden="1" x14ac:dyDescent="0.25">
      <c r="A4836" s="1">
        <v>9</v>
      </c>
      <c r="B4836" t="s">
        <v>4697</v>
      </c>
      <c r="C4836" s="1" t="s">
        <v>4556</v>
      </c>
      <c r="D4836" s="1"/>
      <c r="E4836" s="1"/>
      <c r="F4836" s="1" t="s">
        <v>4563</v>
      </c>
      <c r="G4836" s="1">
        <v>3</v>
      </c>
      <c r="H4836" s="1" t="s">
        <v>4562</v>
      </c>
      <c r="I4836" s="1" t="s">
        <v>4556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 t="s">
        <v>6</v>
      </c>
    </row>
    <row r="4837" spans="1:15" ht="20.25" hidden="1" x14ac:dyDescent="0.25">
      <c r="A4837" s="1">
        <v>10</v>
      </c>
      <c r="B4837" t="s">
        <v>4698</v>
      </c>
      <c r="C4837" s="1" t="s">
        <v>4556</v>
      </c>
      <c r="D4837" s="1"/>
      <c r="E4837" s="1"/>
      <c r="F4837" s="1" t="s">
        <v>4564</v>
      </c>
      <c r="G4837" s="1">
        <v>2</v>
      </c>
      <c r="H4837" s="1" t="s">
        <v>4562</v>
      </c>
      <c r="I4837" s="1" t="s">
        <v>4556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 t="s">
        <v>6</v>
      </c>
    </row>
    <row r="4838" spans="1:15" ht="20.25" hidden="1" x14ac:dyDescent="0.25">
      <c r="A4838" s="1">
        <v>11</v>
      </c>
      <c r="B4838" t="s">
        <v>4699</v>
      </c>
      <c r="C4838" s="1" t="s">
        <v>4556</v>
      </c>
      <c r="D4838" s="1"/>
      <c r="E4838" s="1"/>
      <c r="F4838" s="1" t="s">
        <v>4565</v>
      </c>
      <c r="G4838" s="1">
        <v>6</v>
      </c>
      <c r="H4838" s="1" t="s">
        <v>4562</v>
      </c>
      <c r="I4838" s="1" t="s">
        <v>4556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 t="s">
        <v>6</v>
      </c>
    </row>
    <row r="4839" spans="1:15" ht="20.25" hidden="1" x14ac:dyDescent="0.25">
      <c r="A4839" s="1">
        <v>12</v>
      </c>
      <c r="B4839" t="s">
        <v>4700</v>
      </c>
      <c r="C4839" s="1" t="s">
        <v>4556</v>
      </c>
      <c r="D4839" s="1"/>
      <c r="E4839" s="1"/>
      <c r="F4839" s="1" t="s">
        <v>4566</v>
      </c>
      <c r="G4839" s="1">
        <v>2</v>
      </c>
      <c r="H4839" s="1" t="s">
        <v>4558</v>
      </c>
      <c r="I4839" s="1" t="s">
        <v>4556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 t="s">
        <v>6</v>
      </c>
    </row>
    <row r="4840" spans="1:15" ht="20.25" hidden="1" x14ac:dyDescent="0.25">
      <c r="A4840" s="1">
        <v>13</v>
      </c>
      <c r="B4840" t="s">
        <v>4701</v>
      </c>
      <c r="C4840" s="1" t="s">
        <v>4556</v>
      </c>
      <c r="D4840" s="1"/>
      <c r="E4840" s="1"/>
      <c r="F4840" s="1" t="s">
        <v>4567</v>
      </c>
      <c r="G4840" s="1">
        <v>6</v>
      </c>
      <c r="H4840" s="1" t="s">
        <v>4558</v>
      </c>
      <c r="I4840" s="1" t="s">
        <v>4556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 t="s">
        <v>6</v>
      </c>
    </row>
    <row r="4841" spans="1:15" ht="20.25" hidden="1" x14ac:dyDescent="0.25">
      <c r="A4841" s="1">
        <v>14</v>
      </c>
      <c r="B4841" t="s">
        <v>4702</v>
      </c>
      <c r="C4841" s="1" t="s">
        <v>4556</v>
      </c>
      <c r="D4841" s="1"/>
      <c r="E4841" s="1"/>
      <c r="F4841" s="1" t="s">
        <v>4568</v>
      </c>
      <c r="G4841" s="1">
        <v>2</v>
      </c>
      <c r="H4841" s="1" t="s">
        <v>4558</v>
      </c>
      <c r="I4841" s="1" t="s">
        <v>4556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 t="s">
        <v>6</v>
      </c>
    </row>
    <row r="4842" spans="1:15" ht="20.25" hidden="1" x14ac:dyDescent="0.25">
      <c r="A4842" s="1">
        <v>15</v>
      </c>
      <c r="B4842" t="s">
        <v>4703</v>
      </c>
      <c r="C4842" s="1" t="s">
        <v>4556</v>
      </c>
      <c r="D4842" s="1"/>
      <c r="E4842" s="1"/>
      <c r="F4842" s="1" t="s">
        <v>4569</v>
      </c>
      <c r="G4842" s="1">
        <v>2</v>
      </c>
      <c r="H4842" s="1" t="s">
        <v>4558</v>
      </c>
      <c r="I4842" s="1" t="s">
        <v>4556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 t="s">
        <v>6</v>
      </c>
    </row>
    <row r="4843" spans="1:15" ht="20.25" hidden="1" x14ac:dyDescent="0.25">
      <c r="A4843" s="1">
        <v>16</v>
      </c>
      <c r="B4843" t="s">
        <v>4704</v>
      </c>
      <c r="C4843" s="1" t="s">
        <v>4556</v>
      </c>
      <c r="D4843" s="1"/>
      <c r="E4843" s="1"/>
      <c r="F4843" s="1" t="s">
        <v>4570</v>
      </c>
      <c r="G4843" s="1">
        <v>4</v>
      </c>
      <c r="H4843" s="1" t="s">
        <v>4562</v>
      </c>
      <c r="I4843" s="1" t="s">
        <v>4556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 t="s">
        <v>6</v>
      </c>
    </row>
    <row r="4844" spans="1:15" ht="20.25" hidden="1" x14ac:dyDescent="0.25">
      <c r="A4844" s="1">
        <v>17</v>
      </c>
      <c r="B4844" t="s">
        <v>4705</v>
      </c>
      <c r="C4844" s="1" t="s">
        <v>4556</v>
      </c>
      <c r="D4844" s="1"/>
      <c r="E4844" s="1"/>
      <c r="F4844" s="1" t="s">
        <v>4571</v>
      </c>
      <c r="G4844" s="1">
        <v>2</v>
      </c>
      <c r="H4844" s="1" t="s">
        <v>4562</v>
      </c>
      <c r="I4844" s="1" t="s">
        <v>4556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 t="s">
        <v>6</v>
      </c>
    </row>
    <row r="4845" spans="1:15" ht="20.25" hidden="1" x14ac:dyDescent="0.25">
      <c r="A4845" s="1">
        <v>18</v>
      </c>
      <c r="B4845" t="s">
        <v>4706</v>
      </c>
      <c r="C4845" s="1" t="s">
        <v>4556</v>
      </c>
      <c r="D4845" s="1"/>
      <c r="E4845" s="1"/>
      <c r="F4845" s="1" t="s">
        <v>4572</v>
      </c>
      <c r="G4845" s="1">
        <v>3</v>
      </c>
      <c r="H4845" s="1" t="s">
        <v>4562</v>
      </c>
      <c r="I4845" s="1" t="s">
        <v>4556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 t="s">
        <v>6</v>
      </c>
    </row>
    <row r="4846" spans="1:15" ht="20.25" hidden="1" x14ac:dyDescent="0.25">
      <c r="A4846" s="1">
        <v>19</v>
      </c>
      <c r="B4846" t="s">
        <v>4707</v>
      </c>
      <c r="C4846" s="1" t="s">
        <v>4556</v>
      </c>
      <c r="D4846" s="1"/>
      <c r="E4846" s="1"/>
      <c r="F4846" s="1" t="s">
        <v>4573</v>
      </c>
      <c r="G4846" s="1">
        <v>5</v>
      </c>
      <c r="H4846" s="1" t="s">
        <v>4562</v>
      </c>
      <c r="I4846" s="1" t="s">
        <v>4556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 t="s">
        <v>6</v>
      </c>
    </row>
    <row r="4847" spans="1:15" ht="20.25" hidden="1" x14ac:dyDescent="0.25">
      <c r="A4847" s="1">
        <v>20</v>
      </c>
      <c r="B4847" t="s">
        <v>4708</v>
      </c>
      <c r="C4847" s="1" t="s">
        <v>4556</v>
      </c>
      <c r="D4847" s="1"/>
      <c r="E4847" s="1"/>
      <c r="F4847" s="1" t="s">
        <v>4574</v>
      </c>
      <c r="G4847" s="1">
        <v>7</v>
      </c>
      <c r="H4847" s="1" t="s">
        <v>4562</v>
      </c>
      <c r="I4847" s="1" t="s">
        <v>4556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 t="s">
        <v>6</v>
      </c>
    </row>
    <row r="4848" spans="1:15" ht="20.25" hidden="1" x14ac:dyDescent="0.25">
      <c r="A4848" s="1">
        <v>21</v>
      </c>
      <c r="B4848" t="s">
        <v>4709</v>
      </c>
      <c r="C4848" s="1" t="s">
        <v>4556</v>
      </c>
      <c r="D4848" s="1"/>
      <c r="E4848" s="1"/>
      <c r="F4848" s="1" t="s">
        <v>4575</v>
      </c>
      <c r="G4848" s="1">
        <v>32</v>
      </c>
      <c r="H4848" s="1" t="s">
        <v>4558</v>
      </c>
      <c r="I4848" s="1" t="s">
        <v>4556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 t="s">
        <v>6</v>
      </c>
    </row>
    <row r="4849" spans="1:15" ht="20.25" hidden="1" x14ac:dyDescent="0.25">
      <c r="A4849" s="1">
        <v>22</v>
      </c>
      <c r="B4849" t="s">
        <v>4710</v>
      </c>
      <c r="C4849" s="1" t="s">
        <v>4556</v>
      </c>
      <c r="D4849" s="1"/>
      <c r="E4849" s="1"/>
      <c r="F4849" s="1" t="s">
        <v>4576</v>
      </c>
      <c r="G4849" s="1">
        <v>16</v>
      </c>
      <c r="H4849" s="1" t="s">
        <v>4558</v>
      </c>
      <c r="I4849" s="1" t="s">
        <v>4556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 t="s">
        <v>6</v>
      </c>
    </row>
    <row r="4850" spans="1:15" ht="20.25" hidden="1" x14ac:dyDescent="0.25">
      <c r="A4850" s="1">
        <v>23</v>
      </c>
      <c r="B4850" t="s">
        <v>4711</v>
      </c>
      <c r="C4850" s="1" t="s">
        <v>4556</v>
      </c>
      <c r="D4850" s="1"/>
      <c r="E4850" s="1"/>
      <c r="F4850" s="1" t="s">
        <v>4577</v>
      </c>
      <c r="G4850" s="1">
        <v>14</v>
      </c>
      <c r="H4850" s="1" t="s">
        <v>4562</v>
      </c>
      <c r="I4850" s="1" t="s">
        <v>4556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 t="s">
        <v>6</v>
      </c>
    </row>
    <row r="4851" spans="1:15" ht="20.25" hidden="1" x14ac:dyDescent="0.25">
      <c r="A4851" s="1">
        <v>24</v>
      </c>
      <c r="B4851" t="s">
        <v>4712</v>
      </c>
      <c r="C4851" s="1" t="s">
        <v>4578</v>
      </c>
      <c r="D4851" s="1"/>
      <c r="E4851" s="1"/>
      <c r="F4851" s="1" t="s">
        <v>4579</v>
      </c>
      <c r="G4851" s="1">
        <v>16</v>
      </c>
      <c r="H4851" s="1" t="s">
        <v>4558</v>
      </c>
      <c r="I4851" s="1" t="s">
        <v>4578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 t="s">
        <v>6</v>
      </c>
    </row>
    <row r="4852" spans="1:15" ht="20.25" hidden="1" x14ac:dyDescent="0.25">
      <c r="A4852" s="1">
        <v>25</v>
      </c>
      <c r="B4852" t="s">
        <v>4713</v>
      </c>
      <c r="C4852" s="1" t="s">
        <v>4578</v>
      </c>
      <c r="D4852" s="1"/>
      <c r="E4852" s="1"/>
      <c r="F4852" s="1" t="s">
        <v>4580</v>
      </c>
      <c r="G4852" s="1">
        <v>8</v>
      </c>
      <c r="H4852" s="1" t="s">
        <v>4558</v>
      </c>
      <c r="I4852" s="1" t="s">
        <v>4578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 t="s">
        <v>6</v>
      </c>
    </row>
    <row r="4853" spans="1:15" ht="20.25" hidden="1" x14ac:dyDescent="0.25">
      <c r="A4853" s="1">
        <v>26</v>
      </c>
      <c r="B4853" t="s">
        <v>4714</v>
      </c>
      <c r="C4853" s="1" t="s">
        <v>4578</v>
      </c>
      <c r="D4853" s="1"/>
      <c r="E4853" s="1"/>
      <c r="F4853" s="1" t="s">
        <v>4581</v>
      </c>
      <c r="G4853" s="1">
        <v>7</v>
      </c>
      <c r="H4853" s="1" t="s">
        <v>4558</v>
      </c>
      <c r="I4853" s="1" t="s">
        <v>4578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 t="s">
        <v>6</v>
      </c>
    </row>
    <row r="4854" spans="1:15" ht="20.25" hidden="1" x14ac:dyDescent="0.25">
      <c r="A4854" s="1">
        <v>27</v>
      </c>
      <c r="B4854" t="s">
        <v>4715</v>
      </c>
      <c r="C4854" s="1" t="s">
        <v>4578</v>
      </c>
      <c r="D4854" s="1"/>
      <c r="E4854" s="1"/>
      <c r="F4854" s="1" t="s">
        <v>4582</v>
      </c>
      <c r="G4854" s="1">
        <v>3</v>
      </c>
      <c r="H4854" s="1" t="s">
        <v>4562</v>
      </c>
      <c r="I4854" s="1" t="s">
        <v>4578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 t="s">
        <v>6</v>
      </c>
    </row>
    <row r="4855" spans="1:15" ht="20.25" hidden="1" x14ac:dyDescent="0.25">
      <c r="A4855" s="1">
        <v>28</v>
      </c>
      <c r="B4855" t="s">
        <v>4716</v>
      </c>
      <c r="C4855" s="1" t="s">
        <v>4578</v>
      </c>
      <c r="D4855" s="1"/>
      <c r="E4855" s="1"/>
      <c r="F4855" s="1" t="s">
        <v>4583</v>
      </c>
      <c r="G4855" s="1">
        <v>3</v>
      </c>
      <c r="H4855" s="1" t="s">
        <v>4562</v>
      </c>
      <c r="I4855" s="1" t="s">
        <v>4578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 t="s">
        <v>6</v>
      </c>
    </row>
    <row r="4856" spans="1:15" ht="20.25" hidden="1" x14ac:dyDescent="0.25">
      <c r="A4856" s="1">
        <v>29</v>
      </c>
      <c r="B4856" t="s">
        <v>4717</v>
      </c>
      <c r="C4856" s="1" t="s">
        <v>4578</v>
      </c>
      <c r="D4856" s="1"/>
      <c r="E4856" s="1"/>
      <c r="F4856" s="1" t="s">
        <v>4584</v>
      </c>
      <c r="G4856" s="1">
        <v>2</v>
      </c>
      <c r="H4856" s="1" t="s">
        <v>4562</v>
      </c>
      <c r="I4856" s="1" t="s">
        <v>4578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 t="s">
        <v>6</v>
      </c>
    </row>
    <row r="4857" spans="1:15" ht="20.25" hidden="1" x14ac:dyDescent="0.25">
      <c r="A4857" s="1">
        <v>30</v>
      </c>
      <c r="B4857" t="s">
        <v>4718</v>
      </c>
      <c r="C4857" s="1" t="s">
        <v>4578</v>
      </c>
      <c r="D4857" s="1"/>
      <c r="E4857" s="1"/>
      <c r="F4857" s="1" t="s">
        <v>4585</v>
      </c>
      <c r="G4857" s="1">
        <v>6</v>
      </c>
      <c r="H4857" s="1" t="s">
        <v>4562</v>
      </c>
      <c r="I4857" s="1" t="s">
        <v>4578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 t="s">
        <v>6</v>
      </c>
    </row>
    <row r="4858" spans="1:15" ht="20.25" hidden="1" x14ac:dyDescent="0.25">
      <c r="A4858" s="1">
        <v>31</v>
      </c>
      <c r="B4858" t="s">
        <v>4719</v>
      </c>
      <c r="C4858" s="1" t="s">
        <v>4578</v>
      </c>
      <c r="D4858" s="1"/>
      <c r="E4858" s="1"/>
      <c r="F4858" s="1" t="s">
        <v>4586</v>
      </c>
      <c r="G4858" s="1">
        <v>2</v>
      </c>
      <c r="H4858" s="1" t="s">
        <v>4558</v>
      </c>
      <c r="I4858" s="1" t="s">
        <v>4578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 t="s">
        <v>6</v>
      </c>
    </row>
    <row r="4859" spans="1:15" ht="20.25" hidden="1" x14ac:dyDescent="0.25">
      <c r="A4859" s="1">
        <v>32</v>
      </c>
      <c r="B4859" t="s">
        <v>4720</v>
      </c>
      <c r="C4859" s="1" t="s">
        <v>4578</v>
      </c>
      <c r="D4859" s="1"/>
      <c r="E4859" s="1"/>
      <c r="F4859" s="1" t="s">
        <v>4587</v>
      </c>
      <c r="G4859" s="1">
        <v>6</v>
      </c>
      <c r="H4859" s="1" t="s">
        <v>4558</v>
      </c>
      <c r="I4859" s="1" t="s">
        <v>4578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 t="s">
        <v>6</v>
      </c>
    </row>
    <row r="4860" spans="1:15" ht="20.25" hidden="1" x14ac:dyDescent="0.25">
      <c r="A4860" s="1">
        <v>33</v>
      </c>
      <c r="B4860" t="s">
        <v>4721</v>
      </c>
      <c r="C4860" s="1" t="s">
        <v>4578</v>
      </c>
      <c r="D4860" s="1"/>
      <c r="E4860" s="1"/>
      <c r="F4860" s="1" t="s">
        <v>4588</v>
      </c>
      <c r="G4860" s="1">
        <v>2</v>
      </c>
      <c r="H4860" s="1" t="s">
        <v>4558</v>
      </c>
      <c r="I4860" s="1" t="s">
        <v>4578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 t="s">
        <v>6</v>
      </c>
    </row>
    <row r="4861" spans="1:15" ht="20.25" hidden="1" x14ac:dyDescent="0.25">
      <c r="A4861" s="1">
        <v>34</v>
      </c>
      <c r="B4861" t="s">
        <v>4722</v>
      </c>
      <c r="C4861" s="1" t="s">
        <v>4578</v>
      </c>
      <c r="D4861" s="1"/>
      <c r="E4861" s="1"/>
      <c r="F4861" s="1" t="s">
        <v>4589</v>
      </c>
      <c r="G4861" s="1">
        <v>2</v>
      </c>
      <c r="H4861" s="1" t="s">
        <v>4558</v>
      </c>
      <c r="I4861" s="1" t="s">
        <v>4578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 t="s">
        <v>6</v>
      </c>
    </row>
    <row r="4862" spans="1:15" ht="20.25" hidden="1" x14ac:dyDescent="0.25">
      <c r="A4862" s="1">
        <v>35</v>
      </c>
      <c r="B4862" t="s">
        <v>4723</v>
      </c>
      <c r="C4862" s="1" t="s">
        <v>4578</v>
      </c>
      <c r="D4862" s="1"/>
      <c r="E4862" s="1"/>
      <c r="F4862" s="1" t="s">
        <v>4590</v>
      </c>
      <c r="G4862" s="1">
        <v>4</v>
      </c>
      <c r="H4862" s="1" t="s">
        <v>4562</v>
      </c>
      <c r="I4862" s="1" t="s">
        <v>4578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 t="s">
        <v>6</v>
      </c>
    </row>
    <row r="4863" spans="1:15" ht="20.25" hidden="1" x14ac:dyDescent="0.25">
      <c r="A4863" s="1">
        <v>36</v>
      </c>
      <c r="B4863" t="s">
        <v>4724</v>
      </c>
      <c r="C4863" s="1" t="s">
        <v>4578</v>
      </c>
      <c r="D4863" s="1"/>
      <c r="E4863" s="1"/>
      <c r="F4863" s="1" t="s">
        <v>4591</v>
      </c>
      <c r="G4863" s="1">
        <v>2</v>
      </c>
      <c r="H4863" s="1" t="s">
        <v>4562</v>
      </c>
      <c r="I4863" s="1" t="s">
        <v>4578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 t="s">
        <v>6</v>
      </c>
    </row>
    <row r="4864" spans="1:15" ht="20.25" hidden="1" x14ac:dyDescent="0.25">
      <c r="A4864" s="1">
        <v>37</v>
      </c>
      <c r="B4864" t="s">
        <v>4725</v>
      </c>
      <c r="C4864" s="1" t="s">
        <v>4578</v>
      </c>
      <c r="D4864" s="1"/>
      <c r="E4864" s="1"/>
      <c r="F4864" s="1" t="s">
        <v>4592</v>
      </c>
      <c r="G4864" s="1">
        <v>3</v>
      </c>
      <c r="H4864" s="1" t="s">
        <v>4562</v>
      </c>
      <c r="I4864" s="1" t="s">
        <v>4578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 t="s">
        <v>6</v>
      </c>
    </row>
    <row r="4865" spans="1:15" ht="20.25" hidden="1" x14ac:dyDescent="0.25">
      <c r="A4865" s="1">
        <v>38</v>
      </c>
      <c r="B4865" t="s">
        <v>4726</v>
      </c>
      <c r="C4865" s="1" t="s">
        <v>4578</v>
      </c>
      <c r="D4865" s="1"/>
      <c r="E4865" s="1"/>
      <c r="F4865" s="1" t="s">
        <v>4593</v>
      </c>
      <c r="G4865" s="1">
        <v>5</v>
      </c>
      <c r="H4865" s="1" t="s">
        <v>4562</v>
      </c>
      <c r="I4865" s="1" t="s">
        <v>4578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 t="s">
        <v>6</v>
      </c>
    </row>
    <row r="4866" spans="1:15" ht="20.25" hidden="1" x14ac:dyDescent="0.25">
      <c r="A4866" s="1">
        <v>39</v>
      </c>
      <c r="B4866" t="s">
        <v>4727</v>
      </c>
      <c r="C4866" s="1" t="s">
        <v>4578</v>
      </c>
      <c r="D4866" s="1"/>
      <c r="E4866" s="1"/>
      <c r="F4866" s="1" t="s">
        <v>4594</v>
      </c>
      <c r="G4866" s="1">
        <v>7</v>
      </c>
      <c r="H4866" s="1" t="s">
        <v>4562</v>
      </c>
      <c r="I4866" s="1" t="s">
        <v>4578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 t="s">
        <v>6</v>
      </c>
    </row>
    <row r="4867" spans="1:15" ht="20.25" hidden="1" x14ac:dyDescent="0.25">
      <c r="A4867" s="1">
        <v>40</v>
      </c>
      <c r="B4867" t="s">
        <v>4728</v>
      </c>
      <c r="C4867" s="1" t="s">
        <v>4578</v>
      </c>
      <c r="D4867" s="1"/>
      <c r="E4867" s="1"/>
      <c r="F4867" s="1" t="s">
        <v>4595</v>
      </c>
      <c r="G4867" s="1">
        <v>32</v>
      </c>
      <c r="H4867" s="1" t="s">
        <v>4558</v>
      </c>
      <c r="I4867" s="1" t="s">
        <v>4578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 t="s">
        <v>6</v>
      </c>
    </row>
    <row r="4868" spans="1:15" ht="20.25" hidden="1" x14ac:dyDescent="0.25">
      <c r="A4868" s="1">
        <v>41</v>
      </c>
      <c r="B4868" t="s">
        <v>4729</v>
      </c>
      <c r="C4868" s="1" t="s">
        <v>4578</v>
      </c>
      <c r="D4868" s="1"/>
      <c r="E4868" s="1"/>
      <c r="F4868" s="1" t="s">
        <v>4596</v>
      </c>
      <c r="G4868" s="1">
        <v>16</v>
      </c>
      <c r="H4868" s="1" t="s">
        <v>4558</v>
      </c>
      <c r="I4868" s="1" t="s">
        <v>4578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 t="s">
        <v>6</v>
      </c>
    </row>
    <row r="4869" spans="1:15" ht="20.25" hidden="1" x14ac:dyDescent="0.25">
      <c r="A4869" s="1">
        <v>42</v>
      </c>
      <c r="B4869" t="s">
        <v>4730</v>
      </c>
      <c r="C4869" s="1" t="s">
        <v>4578</v>
      </c>
      <c r="D4869" s="1"/>
      <c r="E4869" s="1"/>
      <c r="F4869" s="1" t="s">
        <v>4597</v>
      </c>
      <c r="G4869" s="1">
        <v>14</v>
      </c>
      <c r="H4869" s="1" t="s">
        <v>4562</v>
      </c>
      <c r="I4869" s="1" t="s">
        <v>4578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 t="s">
        <v>6</v>
      </c>
    </row>
    <row r="4870" spans="1:15" ht="20.25" hidden="1" x14ac:dyDescent="0.25">
      <c r="A4870" s="1">
        <v>43</v>
      </c>
      <c r="B4870" t="s">
        <v>4731</v>
      </c>
      <c r="C4870" s="1" t="s">
        <v>4578</v>
      </c>
      <c r="D4870" s="1"/>
      <c r="E4870" s="1"/>
      <c r="F4870" s="1" t="s">
        <v>4598</v>
      </c>
      <c r="G4870" s="1">
        <v>130</v>
      </c>
      <c r="H4870" s="1" t="s">
        <v>1105</v>
      </c>
      <c r="I4870" s="1" t="s">
        <v>4578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 t="s">
        <v>6</v>
      </c>
    </row>
    <row r="4871" spans="1:15" ht="20.25" hidden="1" x14ac:dyDescent="0.25">
      <c r="A4871" s="1">
        <v>44</v>
      </c>
      <c r="B4871" t="s">
        <v>4732</v>
      </c>
      <c r="C4871" s="1" t="s">
        <v>4578</v>
      </c>
      <c r="D4871" s="1"/>
      <c r="E4871" s="1"/>
      <c r="F4871" s="1" t="s">
        <v>4599</v>
      </c>
      <c r="G4871" s="1">
        <v>250</v>
      </c>
      <c r="H4871" s="1" t="s">
        <v>1105</v>
      </c>
      <c r="I4871" s="1" t="s">
        <v>4578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 t="s">
        <v>6</v>
      </c>
    </row>
    <row r="4872" spans="1:15" ht="20.25" hidden="1" x14ac:dyDescent="0.25">
      <c r="A4872" s="1">
        <v>45</v>
      </c>
      <c r="B4872" t="s">
        <v>4733</v>
      </c>
      <c r="C4872" s="1" t="s">
        <v>4578</v>
      </c>
      <c r="D4872" s="1"/>
      <c r="E4872" s="1"/>
      <c r="F4872" s="1" t="s">
        <v>4600</v>
      </c>
      <c r="G4872" s="1">
        <v>5</v>
      </c>
      <c r="H4872" s="1" t="s">
        <v>1105</v>
      </c>
      <c r="I4872" s="1" t="s">
        <v>4578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 t="s">
        <v>6</v>
      </c>
    </row>
    <row r="4873" spans="1:15" ht="20.25" hidden="1" x14ac:dyDescent="0.25">
      <c r="A4873" s="1">
        <v>46</v>
      </c>
      <c r="B4873" t="s">
        <v>4734</v>
      </c>
      <c r="C4873" s="1" t="s">
        <v>4578</v>
      </c>
      <c r="D4873" s="1"/>
      <c r="E4873" s="1"/>
      <c r="F4873" s="1" t="s">
        <v>4601</v>
      </c>
      <c r="G4873" s="1">
        <v>6</v>
      </c>
      <c r="H4873" s="1" t="s">
        <v>4558</v>
      </c>
      <c r="I4873" s="1" t="s">
        <v>4578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 t="s">
        <v>6</v>
      </c>
    </row>
    <row r="4874" spans="1:15" ht="20.25" hidden="1" x14ac:dyDescent="0.25">
      <c r="A4874" s="1">
        <v>47</v>
      </c>
      <c r="B4874" t="s">
        <v>4735</v>
      </c>
      <c r="C4874" s="1" t="s">
        <v>4578</v>
      </c>
      <c r="D4874" s="1"/>
      <c r="E4874" s="1"/>
      <c r="F4874" s="1" t="s">
        <v>4602</v>
      </c>
      <c r="G4874" s="1">
        <v>6</v>
      </c>
      <c r="H4874" s="1" t="s">
        <v>4562</v>
      </c>
      <c r="I4874" s="1" t="s">
        <v>4578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 t="s">
        <v>6</v>
      </c>
    </row>
    <row r="4875" spans="1:15" ht="20.25" hidden="1" x14ac:dyDescent="0.25">
      <c r="A4875" s="1">
        <v>48</v>
      </c>
      <c r="B4875" t="s">
        <v>4736</v>
      </c>
      <c r="C4875" s="1" t="s">
        <v>4578</v>
      </c>
      <c r="D4875" s="1"/>
      <c r="E4875" s="1"/>
      <c r="F4875" s="1" t="s">
        <v>4603</v>
      </c>
      <c r="G4875" s="1">
        <v>4</v>
      </c>
      <c r="H4875" s="1" t="s">
        <v>1105</v>
      </c>
      <c r="I4875" s="1" t="s">
        <v>4578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 t="s">
        <v>6</v>
      </c>
    </row>
    <row r="4876" spans="1:15" ht="20.25" hidden="1" x14ac:dyDescent="0.25">
      <c r="A4876" s="1">
        <v>49</v>
      </c>
      <c r="B4876" t="s">
        <v>4737</v>
      </c>
      <c r="C4876" s="1" t="s">
        <v>4578</v>
      </c>
      <c r="D4876" s="1"/>
      <c r="E4876" s="1"/>
      <c r="F4876" s="1" t="s">
        <v>4604</v>
      </c>
      <c r="G4876" s="1">
        <v>3</v>
      </c>
      <c r="H4876" s="1" t="s">
        <v>4558</v>
      </c>
      <c r="I4876" s="1" t="s">
        <v>4578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 t="s">
        <v>6</v>
      </c>
    </row>
    <row r="4877" spans="1:15" ht="20.25" hidden="1" x14ac:dyDescent="0.25">
      <c r="A4877" s="1">
        <v>50</v>
      </c>
      <c r="B4877" t="s">
        <v>4738</v>
      </c>
      <c r="C4877" s="1" t="s">
        <v>4578</v>
      </c>
      <c r="D4877" s="1"/>
      <c r="E4877" s="1"/>
      <c r="F4877" s="1" t="s">
        <v>4605</v>
      </c>
      <c r="G4877" s="1">
        <v>3</v>
      </c>
      <c r="H4877" s="1" t="s">
        <v>4558</v>
      </c>
      <c r="I4877" s="1" t="s">
        <v>4578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 t="s">
        <v>6</v>
      </c>
    </row>
    <row r="4878" spans="1:15" ht="20.25" hidden="1" x14ac:dyDescent="0.25">
      <c r="A4878" s="1">
        <v>51</v>
      </c>
      <c r="B4878" t="s">
        <v>4739</v>
      </c>
      <c r="C4878" s="1" t="s">
        <v>4578</v>
      </c>
      <c r="D4878" s="1"/>
      <c r="E4878" s="1"/>
      <c r="F4878" s="1" t="s">
        <v>4606</v>
      </c>
      <c r="G4878" s="1">
        <v>5</v>
      </c>
      <c r="H4878" s="1" t="s">
        <v>4562</v>
      </c>
      <c r="I4878" s="1" t="s">
        <v>4578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 t="s">
        <v>6</v>
      </c>
    </row>
    <row r="4879" spans="1:15" ht="20.25" hidden="1" x14ac:dyDescent="0.25">
      <c r="A4879" s="1">
        <v>52</v>
      </c>
      <c r="B4879" t="s">
        <v>4740</v>
      </c>
      <c r="C4879" s="1" t="s">
        <v>4578</v>
      </c>
      <c r="D4879" s="1"/>
      <c r="E4879" s="1"/>
      <c r="F4879" s="1" t="s">
        <v>4607</v>
      </c>
      <c r="G4879" s="1">
        <v>2</v>
      </c>
      <c r="H4879" s="1" t="s">
        <v>4562</v>
      </c>
      <c r="I4879" s="1" t="s">
        <v>4578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 t="s">
        <v>6</v>
      </c>
    </row>
    <row r="4880" spans="1:15" ht="20.25" hidden="1" x14ac:dyDescent="0.25">
      <c r="A4880" s="1">
        <v>53</v>
      </c>
      <c r="B4880" t="s">
        <v>4741</v>
      </c>
      <c r="C4880" s="1" t="s">
        <v>4578</v>
      </c>
      <c r="D4880" s="1"/>
      <c r="E4880" s="1"/>
      <c r="F4880" s="1" t="s">
        <v>4608</v>
      </c>
      <c r="G4880" s="1">
        <v>1</v>
      </c>
      <c r="H4880" s="1" t="s">
        <v>4562</v>
      </c>
      <c r="I4880" s="1" t="s">
        <v>4578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 t="s">
        <v>6</v>
      </c>
    </row>
    <row r="4881" spans="1:15" ht="20.25" hidden="1" x14ac:dyDescent="0.25">
      <c r="A4881" s="1">
        <v>54</v>
      </c>
      <c r="B4881" t="s">
        <v>4742</v>
      </c>
      <c r="C4881" s="1" t="s">
        <v>4556</v>
      </c>
      <c r="D4881" s="1"/>
      <c r="E4881" s="1"/>
      <c r="F4881" s="1" t="s">
        <v>4609</v>
      </c>
      <c r="G4881" s="1">
        <v>130</v>
      </c>
      <c r="H4881" s="1" t="s">
        <v>1105</v>
      </c>
      <c r="I4881" s="1" t="s">
        <v>4556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 t="s">
        <v>6</v>
      </c>
    </row>
    <row r="4882" spans="1:15" ht="20.25" hidden="1" x14ac:dyDescent="0.25">
      <c r="A4882" s="1">
        <v>55</v>
      </c>
      <c r="B4882" t="s">
        <v>4743</v>
      </c>
      <c r="C4882" s="1" t="s">
        <v>4556</v>
      </c>
      <c r="D4882" s="1"/>
      <c r="E4882" s="1"/>
      <c r="F4882" s="1" t="s">
        <v>4610</v>
      </c>
      <c r="G4882" s="1">
        <v>250</v>
      </c>
      <c r="H4882" s="1" t="s">
        <v>1105</v>
      </c>
      <c r="I4882" s="1" t="s">
        <v>4556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 t="s">
        <v>6</v>
      </c>
    </row>
    <row r="4883" spans="1:15" ht="20.25" hidden="1" x14ac:dyDescent="0.25">
      <c r="A4883" s="1">
        <v>56</v>
      </c>
      <c r="B4883" t="s">
        <v>4744</v>
      </c>
      <c r="C4883" s="1" t="s">
        <v>4556</v>
      </c>
      <c r="D4883" s="1"/>
      <c r="E4883" s="1"/>
      <c r="F4883" s="1" t="s">
        <v>4611</v>
      </c>
      <c r="G4883" s="1">
        <v>5</v>
      </c>
      <c r="H4883" s="1" t="s">
        <v>1105</v>
      </c>
      <c r="I4883" s="1" t="s">
        <v>4556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 t="s">
        <v>6</v>
      </c>
    </row>
    <row r="4884" spans="1:15" ht="20.25" hidden="1" x14ac:dyDescent="0.25">
      <c r="A4884" s="1">
        <v>57</v>
      </c>
      <c r="B4884" t="s">
        <v>4745</v>
      </c>
      <c r="C4884" s="1" t="s">
        <v>4556</v>
      </c>
      <c r="D4884" s="1"/>
      <c r="E4884" s="1"/>
      <c r="F4884" s="1" t="s">
        <v>4612</v>
      </c>
      <c r="G4884" s="1">
        <v>6</v>
      </c>
      <c r="H4884" s="1" t="s">
        <v>4558</v>
      </c>
      <c r="I4884" s="1" t="s">
        <v>4556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 t="s">
        <v>6</v>
      </c>
    </row>
    <row r="4885" spans="1:15" ht="20.25" hidden="1" x14ac:dyDescent="0.25">
      <c r="A4885" s="1">
        <v>58</v>
      </c>
      <c r="B4885" t="s">
        <v>4746</v>
      </c>
      <c r="C4885" s="1" t="s">
        <v>4556</v>
      </c>
      <c r="D4885" s="1"/>
      <c r="E4885" s="1"/>
      <c r="F4885" s="1" t="s">
        <v>4613</v>
      </c>
      <c r="G4885" s="1">
        <v>6</v>
      </c>
      <c r="H4885" s="1" t="s">
        <v>4562</v>
      </c>
      <c r="I4885" s="1" t="s">
        <v>4556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 t="s">
        <v>6</v>
      </c>
    </row>
    <row r="4886" spans="1:15" ht="20.25" hidden="1" x14ac:dyDescent="0.25">
      <c r="A4886" s="1">
        <v>59</v>
      </c>
      <c r="B4886" t="s">
        <v>4747</v>
      </c>
      <c r="C4886" s="1" t="s">
        <v>4556</v>
      </c>
      <c r="D4886" s="1"/>
      <c r="E4886" s="1"/>
      <c r="F4886" s="1" t="s">
        <v>4614</v>
      </c>
      <c r="G4886" s="1">
        <v>4</v>
      </c>
      <c r="H4886" s="1" t="s">
        <v>1105</v>
      </c>
      <c r="I4886" s="1" t="s">
        <v>4556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 t="s">
        <v>6</v>
      </c>
    </row>
    <row r="4887" spans="1:15" ht="20.25" hidden="1" x14ac:dyDescent="0.25">
      <c r="A4887" s="1">
        <v>60</v>
      </c>
      <c r="B4887" t="s">
        <v>4748</v>
      </c>
      <c r="C4887" s="1" t="s">
        <v>4556</v>
      </c>
      <c r="D4887" s="1"/>
      <c r="E4887" s="1"/>
      <c r="F4887" s="1" t="s">
        <v>4615</v>
      </c>
      <c r="G4887" s="1">
        <v>3</v>
      </c>
      <c r="H4887" s="1" t="s">
        <v>4558</v>
      </c>
      <c r="I4887" s="1" t="s">
        <v>4556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 t="s">
        <v>6</v>
      </c>
    </row>
    <row r="4888" spans="1:15" ht="20.25" hidden="1" x14ac:dyDescent="0.25">
      <c r="A4888" s="1">
        <v>61</v>
      </c>
      <c r="B4888" t="s">
        <v>4749</v>
      </c>
      <c r="C4888" s="1" t="s">
        <v>4556</v>
      </c>
      <c r="D4888" s="1"/>
      <c r="E4888" s="1"/>
      <c r="F4888" s="1" t="s">
        <v>4616</v>
      </c>
      <c r="G4888" s="1">
        <v>3</v>
      </c>
      <c r="H4888" s="1" t="s">
        <v>4558</v>
      </c>
      <c r="I4888" s="1" t="s">
        <v>4556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 t="s">
        <v>6</v>
      </c>
    </row>
    <row r="4889" spans="1:15" ht="20.25" hidden="1" x14ac:dyDescent="0.25">
      <c r="A4889" s="1">
        <v>62</v>
      </c>
      <c r="B4889" t="s">
        <v>4750</v>
      </c>
      <c r="C4889" s="1" t="s">
        <v>4556</v>
      </c>
      <c r="D4889" s="1"/>
      <c r="E4889" s="1"/>
      <c r="F4889" s="1" t="s">
        <v>4617</v>
      </c>
      <c r="G4889" s="1">
        <v>5</v>
      </c>
      <c r="H4889" s="1" t="s">
        <v>4562</v>
      </c>
      <c r="I4889" s="1" t="s">
        <v>4556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 t="s">
        <v>6</v>
      </c>
    </row>
    <row r="4890" spans="1:15" ht="20.25" hidden="1" x14ac:dyDescent="0.25">
      <c r="A4890" s="1">
        <v>63</v>
      </c>
      <c r="B4890" t="s">
        <v>4751</v>
      </c>
      <c r="C4890" s="1" t="s">
        <v>4556</v>
      </c>
      <c r="D4890" s="1"/>
      <c r="E4890" s="1"/>
      <c r="F4890" s="1" t="s">
        <v>4618</v>
      </c>
      <c r="G4890" s="1">
        <v>2</v>
      </c>
      <c r="H4890" s="1" t="s">
        <v>4562</v>
      </c>
      <c r="I4890" s="1" t="s">
        <v>4556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 t="s">
        <v>6</v>
      </c>
    </row>
    <row r="4891" spans="1:15" ht="20.25" hidden="1" x14ac:dyDescent="0.25">
      <c r="A4891" s="1">
        <v>64</v>
      </c>
      <c r="B4891" t="s">
        <v>4752</v>
      </c>
      <c r="C4891" s="1" t="s">
        <v>4556</v>
      </c>
      <c r="D4891" s="1"/>
      <c r="E4891" s="1"/>
      <c r="F4891" s="1" t="s">
        <v>4619</v>
      </c>
      <c r="G4891" s="1">
        <v>1</v>
      </c>
      <c r="H4891" s="1" t="s">
        <v>4562</v>
      </c>
      <c r="I4891" s="1" t="s">
        <v>4556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 t="s">
        <v>6</v>
      </c>
    </row>
    <row r="4892" spans="1:15" ht="20.25" hidden="1" x14ac:dyDescent="0.25">
      <c r="A4892" s="1">
        <v>65</v>
      </c>
      <c r="B4892" t="s">
        <v>4753</v>
      </c>
      <c r="C4892" s="1" t="s">
        <v>4578</v>
      </c>
      <c r="D4892" s="1"/>
      <c r="E4892" s="1"/>
      <c r="F4892" s="1" t="s">
        <v>4620</v>
      </c>
      <c r="G4892" s="1">
        <v>1</v>
      </c>
      <c r="H4892" s="1" t="s">
        <v>4558</v>
      </c>
      <c r="I4892" s="1" t="s">
        <v>4578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 t="s">
        <v>6</v>
      </c>
    </row>
    <row r="4893" spans="1:15" ht="20.25" hidden="1" x14ac:dyDescent="0.25">
      <c r="A4893" s="1">
        <v>66</v>
      </c>
      <c r="B4893" t="s">
        <v>4754</v>
      </c>
      <c r="C4893" s="1" t="s">
        <v>4578</v>
      </c>
      <c r="D4893" s="1"/>
      <c r="E4893" s="1"/>
      <c r="F4893" s="1" t="s">
        <v>4621</v>
      </c>
      <c r="G4893" s="1">
        <v>2</v>
      </c>
      <c r="H4893" s="1" t="s">
        <v>4562</v>
      </c>
      <c r="I4893" s="1" t="s">
        <v>4578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 t="s">
        <v>6</v>
      </c>
    </row>
    <row r="4894" spans="1:15" ht="20.25" hidden="1" x14ac:dyDescent="0.25">
      <c r="A4894" s="1">
        <v>67</v>
      </c>
      <c r="B4894" t="s">
        <v>4755</v>
      </c>
      <c r="C4894" s="1" t="s">
        <v>4578</v>
      </c>
      <c r="D4894" s="1"/>
      <c r="E4894" s="1"/>
      <c r="F4894" s="1" t="s">
        <v>4622</v>
      </c>
      <c r="G4894" s="1">
        <v>4</v>
      </c>
      <c r="H4894" s="1" t="s">
        <v>4562</v>
      </c>
      <c r="I4894" s="1" t="s">
        <v>4578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 t="s">
        <v>6</v>
      </c>
    </row>
    <row r="4895" spans="1:15" ht="20.25" hidden="1" x14ac:dyDescent="0.25">
      <c r="A4895" s="1">
        <v>68</v>
      </c>
      <c r="B4895" t="s">
        <v>4756</v>
      </c>
      <c r="C4895" s="1" t="s">
        <v>4578</v>
      </c>
      <c r="D4895" s="1"/>
      <c r="E4895" s="1"/>
      <c r="F4895" s="1" t="s">
        <v>4623</v>
      </c>
      <c r="G4895" s="1">
        <v>1</v>
      </c>
      <c r="H4895" s="1" t="s">
        <v>4562</v>
      </c>
      <c r="I4895" s="1" t="s">
        <v>4578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 t="s">
        <v>6</v>
      </c>
    </row>
    <row r="4896" spans="1:15" ht="20.25" hidden="1" x14ac:dyDescent="0.25">
      <c r="A4896" s="1">
        <v>69</v>
      </c>
      <c r="B4896" t="s">
        <v>4757</v>
      </c>
      <c r="C4896" s="1" t="s">
        <v>4578</v>
      </c>
      <c r="D4896" s="1"/>
      <c r="E4896" s="1"/>
      <c r="F4896" s="1" t="s">
        <v>4624</v>
      </c>
      <c r="G4896" s="1">
        <v>1</v>
      </c>
      <c r="H4896" s="1" t="s">
        <v>4558</v>
      </c>
      <c r="I4896" s="1" t="s">
        <v>4578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 t="s">
        <v>6</v>
      </c>
    </row>
    <row r="4897" spans="1:15" ht="20.25" hidden="1" x14ac:dyDescent="0.25">
      <c r="A4897" s="1">
        <v>70</v>
      </c>
      <c r="B4897" t="s">
        <v>4758</v>
      </c>
      <c r="C4897" s="1" t="s">
        <v>4578</v>
      </c>
      <c r="D4897" s="1"/>
      <c r="E4897" s="1"/>
      <c r="F4897" s="1" t="s">
        <v>4625</v>
      </c>
      <c r="G4897" s="1">
        <v>2</v>
      </c>
      <c r="H4897" s="1" t="s">
        <v>4562</v>
      </c>
      <c r="I4897" s="1" t="s">
        <v>4578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 t="s">
        <v>6</v>
      </c>
    </row>
    <row r="4898" spans="1:15" ht="20.25" hidden="1" x14ac:dyDescent="0.25">
      <c r="A4898" s="1">
        <v>71</v>
      </c>
      <c r="B4898" t="s">
        <v>4759</v>
      </c>
      <c r="C4898" s="1" t="s">
        <v>4578</v>
      </c>
      <c r="D4898" s="1"/>
      <c r="E4898" s="1"/>
      <c r="F4898" s="1" t="s">
        <v>4626</v>
      </c>
      <c r="G4898" s="1">
        <v>4</v>
      </c>
      <c r="H4898" s="1" t="s">
        <v>4562</v>
      </c>
      <c r="I4898" s="1" t="s">
        <v>4578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 t="s">
        <v>6</v>
      </c>
    </row>
    <row r="4899" spans="1:15" ht="20.25" hidden="1" x14ac:dyDescent="0.25">
      <c r="A4899" s="1">
        <v>72</v>
      </c>
      <c r="B4899" t="s">
        <v>4760</v>
      </c>
      <c r="C4899" s="1" t="s">
        <v>4578</v>
      </c>
      <c r="D4899" s="1"/>
      <c r="E4899" s="1"/>
      <c r="F4899" s="1" t="s">
        <v>4627</v>
      </c>
      <c r="G4899" s="1">
        <v>1</v>
      </c>
      <c r="H4899" s="1" t="s">
        <v>4562</v>
      </c>
      <c r="I4899" s="1" t="s">
        <v>4578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 t="s">
        <v>6</v>
      </c>
    </row>
    <row r="4900" spans="1:15" ht="20.25" hidden="1" x14ac:dyDescent="0.25">
      <c r="A4900" s="1">
        <v>73</v>
      </c>
      <c r="B4900" t="s">
        <v>4761</v>
      </c>
      <c r="C4900" s="1" t="s">
        <v>4578</v>
      </c>
      <c r="D4900" s="1"/>
      <c r="E4900" s="1"/>
      <c r="F4900" s="1" t="s">
        <v>4628</v>
      </c>
      <c r="G4900" s="1">
        <v>2</v>
      </c>
      <c r="H4900" s="1" t="s">
        <v>4562</v>
      </c>
      <c r="I4900" s="1" t="s">
        <v>4578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 t="s">
        <v>6</v>
      </c>
    </row>
    <row r="4901" spans="1:15" ht="20.25" hidden="1" x14ac:dyDescent="0.25">
      <c r="A4901" s="1">
        <v>74</v>
      </c>
      <c r="B4901" t="s">
        <v>4762</v>
      </c>
      <c r="C4901" s="1" t="s">
        <v>4578</v>
      </c>
      <c r="D4901" s="1"/>
      <c r="E4901" s="1"/>
      <c r="F4901" s="1" t="s">
        <v>4629</v>
      </c>
      <c r="G4901" s="1">
        <v>1</v>
      </c>
      <c r="H4901" s="1" t="s">
        <v>4562</v>
      </c>
      <c r="I4901" s="1" t="s">
        <v>4578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 t="s">
        <v>6</v>
      </c>
    </row>
    <row r="4902" spans="1:15" ht="20.25" hidden="1" x14ac:dyDescent="0.25">
      <c r="A4902" s="1">
        <v>75</v>
      </c>
      <c r="B4902" t="s">
        <v>4763</v>
      </c>
      <c r="C4902" s="1" t="s">
        <v>4578</v>
      </c>
      <c r="D4902" s="1"/>
      <c r="E4902" s="1"/>
      <c r="F4902" s="1" t="s">
        <v>4628</v>
      </c>
      <c r="G4902" s="1">
        <v>2</v>
      </c>
      <c r="H4902" s="1" t="s">
        <v>4562</v>
      </c>
      <c r="I4902" s="1" t="s">
        <v>4578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 t="s">
        <v>6</v>
      </c>
    </row>
    <row r="4903" spans="1:15" ht="20.25" hidden="1" x14ac:dyDescent="0.25">
      <c r="A4903" s="1">
        <v>76</v>
      </c>
      <c r="B4903" t="s">
        <v>4764</v>
      </c>
      <c r="C4903" s="1" t="s">
        <v>4578</v>
      </c>
      <c r="D4903" s="1"/>
      <c r="E4903" s="1"/>
      <c r="F4903" s="1" t="s">
        <v>4629</v>
      </c>
      <c r="G4903" s="1">
        <v>1</v>
      </c>
      <c r="H4903" s="1" t="s">
        <v>4562</v>
      </c>
      <c r="I4903" s="1" t="s">
        <v>4578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 t="s">
        <v>6</v>
      </c>
    </row>
    <row r="4904" spans="1:15" ht="20.25" hidden="1" x14ac:dyDescent="0.25">
      <c r="A4904" s="1">
        <v>77</v>
      </c>
      <c r="B4904" t="s">
        <v>4765</v>
      </c>
      <c r="C4904" s="1" t="s">
        <v>3773</v>
      </c>
      <c r="D4904" s="1"/>
      <c r="E4904" s="1"/>
      <c r="F4904" s="1" t="s">
        <v>4630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 t="s">
        <v>6</v>
      </c>
    </row>
    <row r="4905" spans="1:15" ht="20.25" hidden="1" x14ac:dyDescent="0.25">
      <c r="A4905" s="1">
        <v>78</v>
      </c>
      <c r="B4905" t="s">
        <v>4766</v>
      </c>
      <c r="C4905" s="1" t="s">
        <v>4166</v>
      </c>
      <c r="D4905" s="1"/>
      <c r="E4905" s="1"/>
      <c r="F4905" s="1" t="s">
        <v>4631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 t="s">
        <v>6</v>
      </c>
    </row>
    <row r="4906" spans="1:15" ht="20.25" hidden="1" x14ac:dyDescent="0.25">
      <c r="A4906" s="1">
        <v>79</v>
      </c>
      <c r="B4906" t="s">
        <v>4767</v>
      </c>
      <c r="C4906" s="1" t="s">
        <v>4204</v>
      </c>
      <c r="D4906" s="1"/>
      <c r="E4906" s="1"/>
      <c r="F4906" s="1" t="s">
        <v>4631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 t="s">
        <v>6</v>
      </c>
    </row>
    <row r="4907" spans="1:15" ht="20.25" hidden="1" x14ac:dyDescent="0.25">
      <c r="A4907" s="1">
        <v>80</v>
      </c>
      <c r="B4907" t="s">
        <v>4768</v>
      </c>
      <c r="C4907" s="1" t="s">
        <v>4632</v>
      </c>
      <c r="D4907" s="1"/>
      <c r="E4907" s="1"/>
      <c r="F4907" s="1" t="s">
        <v>4633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 t="s">
        <v>6</v>
      </c>
    </row>
    <row r="4908" spans="1:15" ht="20.25" hidden="1" x14ac:dyDescent="0.25">
      <c r="A4908" s="1">
        <v>81</v>
      </c>
      <c r="B4908" t="s">
        <v>4769</v>
      </c>
      <c r="C4908" s="1" t="s">
        <v>4632</v>
      </c>
      <c r="D4908" s="1"/>
      <c r="E4908" s="1"/>
      <c r="F4908" s="1" t="s">
        <v>4633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 t="s">
        <v>6</v>
      </c>
    </row>
    <row r="4909" spans="1:15" ht="20.25" hidden="1" x14ac:dyDescent="0.25">
      <c r="A4909" s="1">
        <v>82</v>
      </c>
      <c r="B4909" t="s">
        <v>4770</v>
      </c>
      <c r="C4909" s="1" t="s">
        <v>4632</v>
      </c>
      <c r="D4909" s="1"/>
      <c r="E4909" s="1"/>
      <c r="F4909" s="1" t="s">
        <v>4634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 t="s">
        <v>6</v>
      </c>
    </row>
    <row r="4910" spans="1:15" ht="20.25" hidden="1" x14ac:dyDescent="0.25">
      <c r="A4910" s="1">
        <v>83</v>
      </c>
      <c r="B4910" t="s">
        <v>4771</v>
      </c>
      <c r="C4910" s="1" t="s">
        <v>4632</v>
      </c>
      <c r="D4910" s="1"/>
      <c r="E4910" s="1"/>
      <c r="F4910" s="1" t="s">
        <v>4634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 t="s">
        <v>6</v>
      </c>
    </row>
    <row r="4911" spans="1:15" ht="20.25" hidden="1" x14ac:dyDescent="0.25">
      <c r="A4911" s="1">
        <v>84</v>
      </c>
      <c r="B4911" t="s">
        <v>4772</v>
      </c>
      <c r="C4911" s="1" t="s">
        <v>3802</v>
      </c>
      <c r="D4911" s="1"/>
      <c r="E4911" s="1"/>
      <c r="F4911" s="1" t="s">
        <v>4635</v>
      </c>
      <c r="G4911" s="1">
        <v>232</v>
      </c>
      <c r="H4911" s="1" t="s">
        <v>19</v>
      </c>
      <c r="I4911" s="1" t="s">
        <v>4086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 t="s">
        <v>6</v>
      </c>
    </row>
    <row r="4912" spans="1:15" ht="20.25" hidden="1" x14ac:dyDescent="0.25">
      <c r="A4912" s="1">
        <v>85</v>
      </c>
      <c r="B4912" t="s">
        <v>4773</v>
      </c>
      <c r="C4912" s="1" t="s">
        <v>3821</v>
      </c>
      <c r="D4912" s="1"/>
      <c r="E4912" s="1"/>
      <c r="F4912" s="1" t="s">
        <v>4636</v>
      </c>
      <c r="G4912" s="1">
        <v>96</v>
      </c>
      <c r="H4912" s="1" t="s">
        <v>19</v>
      </c>
      <c r="I4912" s="1" t="s">
        <v>4086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 t="s">
        <v>6</v>
      </c>
    </row>
    <row r="4913" spans="1:15" ht="20.25" hidden="1" x14ac:dyDescent="0.25">
      <c r="A4913" s="1">
        <v>86</v>
      </c>
      <c r="B4913" t="s">
        <v>4774</v>
      </c>
      <c r="C4913" s="1" t="s">
        <v>3858</v>
      </c>
      <c r="D4913" s="1"/>
      <c r="E4913" s="1"/>
      <c r="F4913" s="1" t="s">
        <v>4637</v>
      </c>
      <c r="G4913" s="1">
        <v>218</v>
      </c>
      <c r="H4913" s="1" t="s">
        <v>19</v>
      </c>
      <c r="I4913" s="1" t="s">
        <v>4086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 t="s">
        <v>6</v>
      </c>
    </row>
    <row r="4914" spans="1:15" ht="20.25" hidden="1" x14ac:dyDescent="0.25">
      <c r="A4914" s="1">
        <v>87</v>
      </c>
      <c r="B4914" t="s">
        <v>4775</v>
      </c>
      <c r="C4914" s="1" t="s">
        <v>4638</v>
      </c>
      <c r="D4914" s="1"/>
      <c r="E4914" s="1"/>
      <c r="F4914" s="1" t="s">
        <v>4639</v>
      </c>
      <c r="G4914" s="1">
        <v>58</v>
      </c>
      <c r="H4914" s="1" t="s">
        <v>19</v>
      </c>
      <c r="I4914" s="1" t="s">
        <v>4086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 t="s">
        <v>6</v>
      </c>
    </row>
    <row r="4915" spans="1:15" ht="20.25" hidden="1" x14ac:dyDescent="0.25">
      <c r="A4915" s="1">
        <v>88</v>
      </c>
      <c r="B4915" t="s">
        <v>4776</v>
      </c>
      <c r="C4915" s="1" t="s">
        <v>4638</v>
      </c>
      <c r="D4915" s="1"/>
      <c r="E4915" s="1"/>
      <c r="F4915" s="1" t="s">
        <v>4640</v>
      </c>
      <c r="G4915" s="1">
        <v>2</v>
      </c>
      <c r="H4915" s="1" t="s">
        <v>19</v>
      </c>
      <c r="I4915" s="1" t="s">
        <v>4086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 t="s">
        <v>6</v>
      </c>
    </row>
    <row r="4916" spans="1:15" ht="20.25" hidden="1" x14ac:dyDescent="0.25">
      <c r="A4916" s="1">
        <v>89</v>
      </c>
      <c r="B4916" t="s">
        <v>4777</v>
      </c>
      <c r="C4916" s="1" t="s">
        <v>4638</v>
      </c>
      <c r="D4916" s="1"/>
      <c r="E4916" s="1"/>
      <c r="F4916" s="1" t="s">
        <v>4641</v>
      </c>
      <c r="G4916" s="1">
        <v>2</v>
      </c>
      <c r="H4916" s="1" t="s">
        <v>19</v>
      </c>
      <c r="I4916" s="1" t="s">
        <v>4086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 t="s">
        <v>6</v>
      </c>
    </row>
    <row r="4917" spans="1:15" ht="20.25" hidden="1" x14ac:dyDescent="0.25">
      <c r="A4917" s="1">
        <v>90</v>
      </c>
      <c r="B4917" t="s">
        <v>4778</v>
      </c>
      <c r="C4917" s="1" t="s">
        <v>4638</v>
      </c>
      <c r="D4917" s="1"/>
      <c r="E4917" s="1"/>
      <c r="F4917" s="1" t="s">
        <v>4642</v>
      </c>
      <c r="G4917" s="1">
        <v>2</v>
      </c>
      <c r="H4917" s="1" t="s">
        <v>19</v>
      </c>
      <c r="I4917" s="1" t="s">
        <v>4086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 t="s">
        <v>6</v>
      </c>
    </row>
    <row r="4918" spans="1:15" ht="20.25" hidden="1" x14ac:dyDescent="0.25">
      <c r="A4918" s="1">
        <v>91</v>
      </c>
      <c r="B4918" t="s">
        <v>4779</v>
      </c>
      <c r="C4918" s="1" t="s">
        <v>4638</v>
      </c>
      <c r="D4918" s="1"/>
      <c r="E4918" s="1"/>
      <c r="F4918" s="1" t="s">
        <v>4643</v>
      </c>
      <c r="G4918" s="1">
        <v>2</v>
      </c>
      <c r="H4918" s="1" t="s">
        <v>19</v>
      </c>
      <c r="I4918" s="1" t="s">
        <v>4086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 t="s">
        <v>6</v>
      </c>
    </row>
    <row r="4919" spans="1:15" ht="20.25" hidden="1" x14ac:dyDescent="0.25">
      <c r="A4919" s="1">
        <v>92</v>
      </c>
      <c r="B4919" t="s">
        <v>4780</v>
      </c>
      <c r="C4919" s="1" t="s">
        <v>4638</v>
      </c>
      <c r="D4919" s="1"/>
      <c r="E4919" s="1"/>
      <c r="F4919" s="1" t="s">
        <v>4644</v>
      </c>
      <c r="G4919" s="1">
        <v>2</v>
      </c>
      <c r="H4919" s="1" t="s">
        <v>19</v>
      </c>
      <c r="I4919" s="1" t="s">
        <v>4086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 t="s">
        <v>6</v>
      </c>
    </row>
    <row r="4920" spans="1:15" ht="20.25" hidden="1" x14ac:dyDescent="0.25">
      <c r="A4920" s="1">
        <v>93</v>
      </c>
      <c r="B4920" t="s">
        <v>4781</v>
      </c>
      <c r="C4920" s="1" t="s">
        <v>4638</v>
      </c>
      <c r="D4920" s="1"/>
      <c r="E4920" s="1"/>
      <c r="F4920" s="1" t="s">
        <v>4645</v>
      </c>
      <c r="G4920" s="1">
        <v>2</v>
      </c>
      <c r="H4920" s="1" t="s">
        <v>19</v>
      </c>
      <c r="I4920" s="1" t="s">
        <v>4086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 t="s">
        <v>6</v>
      </c>
    </row>
    <row r="4921" spans="1:15" ht="20.25" hidden="1" x14ac:dyDescent="0.25">
      <c r="A4921" s="1">
        <v>94</v>
      </c>
      <c r="B4921" t="s">
        <v>4782</v>
      </c>
      <c r="C4921" s="1" t="s">
        <v>3802</v>
      </c>
      <c r="D4921" s="1"/>
      <c r="E4921" s="1"/>
      <c r="F4921" s="1" t="s">
        <v>4646</v>
      </c>
      <c r="G4921" s="1">
        <v>4</v>
      </c>
      <c r="H4921" s="1" t="s">
        <v>19</v>
      </c>
      <c r="I4921" s="1" t="s">
        <v>4086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 t="s">
        <v>6</v>
      </c>
    </row>
    <row r="4922" spans="1:15" ht="20.25" hidden="1" x14ac:dyDescent="0.25">
      <c r="A4922" s="1">
        <v>95</v>
      </c>
      <c r="B4922" t="s">
        <v>4783</v>
      </c>
      <c r="C4922" s="1" t="s">
        <v>3802</v>
      </c>
      <c r="D4922" s="1"/>
      <c r="E4922" s="1"/>
      <c r="F4922" s="1" t="s">
        <v>4647</v>
      </c>
      <c r="G4922" s="1">
        <v>4</v>
      </c>
      <c r="H4922" s="1" t="s">
        <v>19</v>
      </c>
      <c r="I4922" s="1" t="s">
        <v>4086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 t="s">
        <v>6</v>
      </c>
    </row>
    <row r="4923" spans="1:15" ht="20.25" hidden="1" x14ac:dyDescent="0.25">
      <c r="A4923" s="1">
        <v>96</v>
      </c>
      <c r="B4923" t="s">
        <v>4784</v>
      </c>
      <c r="C4923" s="1" t="s">
        <v>3802</v>
      </c>
      <c r="D4923" s="1"/>
      <c r="E4923" s="1"/>
      <c r="F4923" s="1" t="s">
        <v>4648</v>
      </c>
      <c r="G4923" s="1">
        <v>4</v>
      </c>
      <c r="H4923" s="1" t="s">
        <v>19</v>
      </c>
      <c r="I4923" s="1" t="s">
        <v>4086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 t="s">
        <v>6</v>
      </c>
    </row>
    <row r="4924" spans="1:15" ht="20.25" hidden="1" x14ac:dyDescent="0.25">
      <c r="A4924" s="1">
        <v>97</v>
      </c>
      <c r="B4924" t="s">
        <v>4785</v>
      </c>
      <c r="C4924" s="1" t="s">
        <v>3802</v>
      </c>
      <c r="D4924" s="1"/>
      <c r="E4924" s="1"/>
      <c r="F4924" s="1" t="s">
        <v>4649</v>
      </c>
      <c r="G4924" s="1">
        <v>4</v>
      </c>
      <c r="H4924" s="1" t="s">
        <v>19</v>
      </c>
      <c r="I4924" s="1" t="s">
        <v>4086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 t="s">
        <v>6</v>
      </c>
    </row>
    <row r="4925" spans="1:15" ht="20.25" hidden="1" x14ac:dyDescent="0.25">
      <c r="A4925" s="1">
        <v>98</v>
      </c>
      <c r="B4925" t="s">
        <v>4786</v>
      </c>
      <c r="C4925" s="1" t="s">
        <v>3802</v>
      </c>
      <c r="D4925" s="1"/>
      <c r="E4925" s="1"/>
      <c r="F4925" s="1" t="s">
        <v>4650</v>
      </c>
      <c r="G4925" s="1">
        <v>4</v>
      </c>
      <c r="H4925" s="1" t="s">
        <v>19</v>
      </c>
      <c r="I4925" s="1" t="s">
        <v>4086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 t="s">
        <v>6</v>
      </c>
    </row>
    <row r="4926" spans="1:15" ht="20.25" hidden="1" x14ac:dyDescent="0.25">
      <c r="A4926" s="1">
        <v>99</v>
      </c>
      <c r="B4926" t="s">
        <v>4787</v>
      </c>
      <c r="C4926" s="1" t="s">
        <v>3802</v>
      </c>
      <c r="D4926" s="1"/>
      <c r="E4926" s="1"/>
      <c r="F4926" s="1" t="s">
        <v>4651</v>
      </c>
      <c r="G4926" s="1">
        <v>8</v>
      </c>
      <c r="H4926" s="1" t="s">
        <v>19</v>
      </c>
      <c r="I4926" s="1" t="s">
        <v>4086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 t="s">
        <v>6</v>
      </c>
    </row>
    <row r="4927" spans="1:15" ht="20.25" hidden="1" x14ac:dyDescent="0.25">
      <c r="A4927" s="1">
        <v>100</v>
      </c>
      <c r="B4927" t="s">
        <v>4788</v>
      </c>
      <c r="C4927" s="1" t="s">
        <v>3821</v>
      </c>
      <c r="D4927" s="1"/>
      <c r="E4927" s="1"/>
      <c r="F4927" s="1" t="s">
        <v>4652</v>
      </c>
      <c r="G4927" s="1">
        <v>4</v>
      </c>
      <c r="H4927" s="1" t="s">
        <v>19</v>
      </c>
      <c r="I4927" s="1" t="s">
        <v>4086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 t="s">
        <v>6</v>
      </c>
    </row>
    <row r="4928" spans="1:15" ht="20.25" hidden="1" x14ac:dyDescent="0.25">
      <c r="A4928" s="1">
        <v>101</v>
      </c>
      <c r="B4928" t="s">
        <v>4789</v>
      </c>
      <c r="C4928" s="1" t="s">
        <v>3821</v>
      </c>
      <c r="D4928" s="1"/>
      <c r="E4928" s="1"/>
      <c r="F4928" s="1" t="s">
        <v>4653</v>
      </c>
      <c r="G4928" s="1">
        <v>12</v>
      </c>
      <c r="H4928" s="1" t="s">
        <v>19</v>
      </c>
      <c r="I4928" s="1" t="s">
        <v>4086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 t="s">
        <v>6</v>
      </c>
    </row>
    <row r="4929" spans="1:15" ht="20.25" hidden="1" x14ac:dyDescent="0.25">
      <c r="A4929" s="1">
        <v>102</v>
      </c>
      <c r="B4929" t="s">
        <v>4790</v>
      </c>
      <c r="C4929" s="1" t="s">
        <v>3821</v>
      </c>
      <c r="D4929" s="1"/>
      <c r="E4929" s="1"/>
      <c r="F4929" s="1" t="s">
        <v>4654</v>
      </c>
      <c r="G4929" s="1">
        <v>4</v>
      </c>
      <c r="H4929" s="1" t="s">
        <v>19</v>
      </c>
      <c r="I4929" s="1" t="s">
        <v>4086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 t="s">
        <v>6</v>
      </c>
    </row>
    <row r="4930" spans="1:15" ht="20.25" hidden="1" x14ac:dyDescent="0.25">
      <c r="A4930" s="1">
        <v>103</v>
      </c>
      <c r="B4930" t="s">
        <v>4791</v>
      </c>
      <c r="C4930" s="1" t="s">
        <v>3821</v>
      </c>
      <c r="D4930" s="1"/>
      <c r="E4930" s="1"/>
      <c r="F4930" s="1" t="s">
        <v>4654</v>
      </c>
      <c r="G4930" s="1">
        <v>4</v>
      </c>
      <c r="H4930" s="1" t="s">
        <v>19</v>
      </c>
      <c r="I4930" s="1" t="s">
        <v>4086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 t="s">
        <v>6</v>
      </c>
    </row>
    <row r="4931" spans="1:15" ht="20.25" hidden="1" x14ac:dyDescent="0.25">
      <c r="A4931" s="1">
        <v>104</v>
      </c>
      <c r="B4931" t="s">
        <v>4792</v>
      </c>
      <c r="C4931" s="1" t="s">
        <v>3875</v>
      </c>
      <c r="D4931" s="1"/>
      <c r="E4931" s="1"/>
      <c r="F4931" s="1" t="s">
        <v>4655</v>
      </c>
      <c r="G4931" s="1">
        <v>4</v>
      </c>
      <c r="H4931" s="1" t="s">
        <v>19</v>
      </c>
      <c r="I4931" s="1" t="s">
        <v>4086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 t="s">
        <v>6</v>
      </c>
    </row>
    <row r="4932" spans="1:15" ht="20.25" hidden="1" x14ac:dyDescent="0.25">
      <c r="A4932" s="1">
        <v>105</v>
      </c>
      <c r="B4932" t="s">
        <v>4793</v>
      </c>
      <c r="C4932" s="1" t="s">
        <v>3875</v>
      </c>
      <c r="D4932" s="1"/>
      <c r="E4932" s="1"/>
      <c r="F4932" s="1" t="s">
        <v>4656</v>
      </c>
      <c r="G4932" s="1">
        <v>20</v>
      </c>
      <c r="H4932" s="1" t="s">
        <v>19</v>
      </c>
      <c r="I4932" s="1" t="s">
        <v>4086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 t="s">
        <v>6</v>
      </c>
    </row>
    <row r="4933" spans="1:15" ht="20.25" hidden="1" x14ac:dyDescent="0.25">
      <c r="A4933" s="1">
        <v>106</v>
      </c>
      <c r="B4933" t="s">
        <v>4794</v>
      </c>
      <c r="C4933" s="1" t="s">
        <v>3858</v>
      </c>
      <c r="D4933" s="1"/>
      <c r="E4933" s="1"/>
      <c r="F4933" s="1" t="s">
        <v>4657</v>
      </c>
      <c r="G4933" s="1">
        <v>2</v>
      </c>
      <c r="H4933" s="1" t="s">
        <v>19</v>
      </c>
      <c r="I4933" s="1" t="s">
        <v>4086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 t="s">
        <v>6</v>
      </c>
    </row>
    <row r="4934" spans="1:15" ht="20.25" hidden="1" x14ac:dyDescent="0.25">
      <c r="A4934" s="1">
        <v>107</v>
      </c>
      <c r="B4934" t="s">
        <v>4795</v>
      </c>
      <c r="C4934" s="1" t="s">
        <v>3858</v>
      </c>
      <c r="D4934" s="1"/>
      <c r="E4934" s="1"/>
      <c r="F4934" s="1" t="s">
        <v>4657</v>
      </c>
      <c r="G4934" s="1">
        <v>22</v>
      </c>
      <c r="H4934" s="1" t="s">
        <v>19</v>
      </c>
      <c r="I4934" s="1" t="s">
        <v>4086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 t="s">
        <v>6</v>
      </c>
    </row>
    <row r="4935" spans="1:15" ht="20.25" hidden="1" x14ac:dyDescent="0.25">
      <c r="A4935" s="1">
        <v>108</v>
      </c>
      <c r="B4935" t="s">
        <v>4796</v>
      </c>
      <c r="C4935" s="1" t="s">
        <v>3858</v>
      </c>
      <c r="D4935" s="1"/>
      <c r="E4935" s="1"/>
      <c r="F4935" s="1" t="s">
        <v>4658</v>
      </c>
      <c r="G4935" s="1">
        <v>2</v>
      </c>
      <c r="H4935" s="1" t="s">
        <v>19</v>
      </c>
      <c r="I4935" s="1" t="s">
        <v>4086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 t="s">
        <v>6</v>
      </c>
    </row>
    <row r="4936" spans="1:15" ht="20.25" hidden="1" x14ac:dyDescent="0.25">
      <c r="A4936" s="1">
        <v>109</v>
      </c>
      <c r="B4936" t="s">
        <v>4797</v>
      </c>
      <c r="C4936" s="1" t="s">
        <v>3858</v>
      </c>
      <c r="D4936" s="1"/>
      <c r="E4936" s="1"/>
      <c r="F4936" s="1" t="s">
        <v>4658</v>
      </c>
      <c r="G4936" s="1">
        <v>2</v>
      </c>
      <c r="H4936" s="1" t="s">
        <v>19</v>
      </c>
      <c r="I4936" s="1" t="s">
        <v>4086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 t="s">
        <v>6</v>
      </c>
    </row>
    <row r="4937" spans="1:15" ht="20.25" hidden="1" x14ac:dyDescent="0.25">
      <c r="A4937" s="1">
        <v>110</v>
      </c>
      <c r="B4937" t="s">
        <v>4798</v>
      </c>
      <c r="C4937" s="1" t="s">
        <v>3864</v>
      </c>
      <c r="D4937" s="1"/>
      <c r="E4937" s="1"/>
      <c r="F4937" s="1" t="s">
        <v>4659</v>
      </c>
      <c r="G4937" s="1">
        <v>2</v>
      </c>
      <c r="H4937" s="1" t="s">
        <v>19</v>
      </c>
      <c r="I4937" s="1" t="s">
        <v>4086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 t="s">
        <v>6</v>
      </c>
    </row>
    <row r="4938" spans="1:15" ht="20.25" hidden="1" x14ac:dyDescent="0.25">
      <c r="A4938" s="1">
        <v>111</v>
      </c>
      <c r="B4938" t="s">
        <v>4799</v>
      </c>
      <c r="C4938" s="1" t="s">
        <v>3864</v>
      </c>
      <c r="D4938" s="1"/>
      <c r="E4938" s="1"/>
      <c r="F4938" s="1" t="s">
        <v>4660</v>
      </c>
      <c r="G4938" s="1">
        <v>2</v>
      </c>
      <c r="H4938" s="1" t="s">
        <v>19</v>
      </c>
      <c r="I4938" s="1" t="s">
        <v>4086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 t="s">
        <v>6</v>
      </c>
    </row>
    <row r="4939" spans="1:15" ht="20.25" hidden="1" x14ac:dyDescent="0.25">
      <c r="A4939" s="1">
        <v>112</v>
      </c>
      <c r="B4939" t="s">
        <v>4800</v>
      </c>
      <c r="C4939" s="1" t="s">
        <v>3864</v>
      </c>
      <c r="D4939" s="1"/>
      <c r="E4939" s="1"/>
      <c r="F4939" s="1" t="s">
        <v>4661</v>
      </c>
      <c r="G4939" s="1">
        <v>4</v>
      </c>
      <c r="H4939" s="1" t="s">
        <v>19</v>
      </c>
      <c r="I4939" s="1" t="s">
        <v>4086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 t="s">
        <v>6</v>
      </c>
    </row>
    <row r="4940" spans="1:15" ht="20.25" hidden="1" x14ac:dyDescent="0.25">
      <c r="A4940" s="1">
        <v>113</v>
      </c>
      <c r="B4940" t="s">
        <v>4801</v>
      </c>
      <c r="C4940" s="1" t="s">
        <v>3864</v>
      </c>
      <c r="D4940" s="1"/>
      <c r="E4940" s="1"/>
      <c r="F4940" s="1" t="s">
        <v>4662</v>
      </c>
      <c r="G4940" s="1">
        <v>4</v>
      </c>
      <c r="H4940" s="1" t="s">
        <v>19</v>
      </c>
      <c r="I4940" s="1" t="s">
        <v>4086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 t="s">
        <v>6</v>
      </c>
    </row>
    <row r="4941" spans="1:15" ht="20.25" hidden="1" x14ac:dyDescent="0.25">
      <c r="A4941" s="1">
        <v>114</v>
      </c>
      <c r="B4941" t="s">
        <v>4802</v>
      </c>
      <c r="C4941" s="1" t="s">
        <v>3864</v>
      </c>
      <c r="D4941" s="1"/>
      <c r="E4941" s="1"/>
      <c r="F4941" s="1" t="s">
        <v>4663</v>
      </c>
      <c r="G4941" s="1">
        <v>6</v>
      </c>
      <c r="H4941" s="1" t="s">
        <v>19</v>
      </c>
      <c r="I4941" s="1" t="s">
        <v>4086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 t="s">
        <v>6</v>
      </c>
    </row>
    <row r="4942" spans="1:15" ht="20.25" hidden="1" x14ac:dyDescent="0.25">
      <c r="A4942" s="1">
        <v>115</v>
      </c>
      <c r="B4942" t="s">
        <v>4803</v>
      </c>
      <c r="C4942" s="1" t="s">
        <v>3864</v>
      </c>
      <c r="D4942" s="1"/>
      <c r="E4942" s="1"/>
      <c r="F4942" s="1" t="s">
        <v>4664</v>
      </c>
      <c r="G4942" s="1">
        <v>2</v>
      </c>
      <c r="H4942" s="1" t="s">
        <v>19</v>
      </c>
      <c r="I4942" s="1" t="s">
        <v>4086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 t="s">
        <v>6</v>
      </c>
    </row>
    <row r="4943" spans="1:15" ht="20.25" hidden="1" x14ac:dyDescent="0.25">
      <c r="A4943" s="1">
        <v>116</v>
      </c>
      <c r="B4943" t="s">
        <v>4804</v>
      </c>
      <c r="C4943" s="1" t="s">
        <v>3855</v>
      </c>
      <c r="D4943" s="1"/>
      <c r="E4943" s="1"/>
      <c r="F4943" s="1" t="s">
        <v>4665</v>
      </c>
      <c r="G4943" s="1">
        <v>2</v>
      </c>
      <c r="H4943" s="1" t="s">
        <v>19</v>
      </c>
      <c r="I4943" s="1" t="s">
        <v>4086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 t="s">
        <v>6</v>
      </c>
    </row>
    <row r="4944" spans="1:15" ht="20.25" hidden="1" x14ac:dyDescent="0.25">
      <c r="A4944" s="1">
        <v>117</v>
      </c>
      <c r="B4944" t="s">
        <v>4805</v>
      </c>
      <c r="C4944" s="1" t="s">
        <v>3855</v>
      </c>
      <c r="D4944" s="1"/>
      <c r="E4944" s="1"/>
      <c r="F4944" s="1" t="s">
        <v>4666</v>
      </c>
      <c r="G4944" s="1">
        <v>26</v>
      </c>
      <c r="H4944" s="1" t="s">
        <v>19</v>
      </c>
      <c r="I4944" s="1" t="s">
        <v>4086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 t="s">
        <v>6</v>
      </c>
    </row>
    <row r="4945" spans="1:15" ht="20.25" hidden="1" x14ac:dyDescent="0.25">
      <c r="A4945" s="1">
        <v>118</v>
      </c>
      <c r="B4945" t="s">
        <v>4806</v>
      </c>
      <c r="C4945" s="1" t="s">
        <v>3873</v>
      </c>
      <c r="D4945" s="1"/>
      <c r="E4945" s="1"/>
      <c r="F4945" s="1" t="s">
        <v>4667</v>
      </c>
      <c r="G4945" s="1">
        <v>4</v>
      </c>
      <c r="H4945" s="1" t="s">
        <v>19</v>
      </c>
      <c r="I4945" s="1" t="s">
        <v>4086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 t="s">
        <v>6</v>
      </c>
    </row>
    <row r="4946" spans="1:15" ht="20.25" hidden="1" x14ac:dyDescent="0.25">
      <c r="A4946" s="1">
        <v>119</v>
      </c>
      <c r="B4946" t="s">
        <v>4807</v>
      </c>
      <c r="C4946" s="1" t="s">
        <v>3873</v>
      </c>
      <c r="D4946" s="1"/>
      <c r="E4946" s="1"/>
      <c r="F4946" s="1" t="s">
        <v>4668</v>
      </c>
      <c r="G4946" s="1">
        <v>20</v>
      </c>
      <c r="H4946" s="1" t="s">
        <v>19</v>
      </c>
      <c r="I4946" s="1" t="s">
        <v>4086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 t="s">
        <v>6</v>
      </c>
    </row>
    <row r="4947" spans="1:15" ht="20.25" hidden="1" x14ac:dyDescent="0.25">
      <c r="A4947" s="1">
        <v>120</v>
      </c>
      <c r="B4947" t="s">
        <v>4808</v>
      </c>
      <c r="C4947" s="1" t="s">
        <v>4669</v>
      </c>
      <c r="D4947" s="1"/>
      <c r="E4947" s="1"/>
      <c r="F4947" s="1" t="s">
        <v>4670</v>
      </c>
      <c r="G4947" s="1">
        <v>1</v>
      </c>
      <c r="H4947" s="1" t="s">
        <v>19</v>
      </c>
      <c r="I4947" s="1" t="s">
        <v>4671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 t="s">
        <v>6</v>
      </c>
    </row>
    <row r="4948" spans="1:15" ht="20.25" hidden="1" x14ac:dyDescent="0.25">
      <c r="A4948" s="1">
        <v>121</v>
      </c>
      <c r="B4948" t="s">
        <v>4809</v>
      </c>
      <c r="C4948" s="1" t="s">
        <v>4669</v>
      </c>
      <c r="D4948" s="1"/>
      <c r="E4948" s="1"/>
      <c r="F4948" s="1" t="s">
        <v>4672</v>
      </c>
      <c r="G4948" s="1">
        <v>1</v>
      </c>
      <c r="H4948" s="1" t="s">
        <v>19</v>
      </c>
      <c r="I4948" s="1" t="s">
        <v>4671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 t="s">
        <v>6</v>
      </c>
    </row>
    <row r="4949" spans="1:15" ht="20.25" hidden="1" x14ac:dyDescent="0.25">
      <c r="A4949" s="1">
        <v>122</v>
      </c>
      <c r="B4949" t="s">
        <v>4810</v>
      </c>
      <c r="C4949" s="1" t="s">
        <v>4669</v>
      </c>
      <c r="D4949" s="1"/>
      <c r="E4949" s="1"/>
      <c r="F4949" s="1" t="s">
        <v>4673</v>
      </c>
      <c r="G4949" s="1">
        <v>1</v>
      </c>
      <c r="H4949" s="1" t="s">
        <v>19</v>
      </c>
      <c r="I4949" s="1" t="s">
        <v>4671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 t="s">
        <v>6</v>
      </c>
    </row>
    <row r="4950" spans="1:15" ht="20.25" hidden="1" x14ac:dyDescent="0.25">
      <c r="A4950" s="1">
        <v>123</v>
      </c>
      <c r="B4950" t="s">
        <v>4811</v>
      </c>
      <c r="C4950" s="1" t="s">
        <v>4669</v>
      </c>
      <c r="D4950" s="1"/>
      <c r="E4950" s="1"/>
      <c r="F4950" s="1" t="s">
        <v>4674</v>
      </c>
      <c r="G4950" s="1">
        <v>1</v>
      </c>
      <c r="H4950" s="1" t="s">
        <v>19</v>
      </c>
      <c r="I4950" s="1" t="s">
        <v>4671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 t="s">
        <v>6</v>
      </c>
    </row>
    <row r="4951" spans="1:15" ht="20.25" hidden="1" x14ac:dyDescent="0.25">
      <c r="A4951" s="1">
        <v>124</v>
      </c>
      <c r="B4951" t="s">
        <v>4812</v>
      </c>
      <c r="C4951" s="1" t="s">
        <v>4669</v>
      </c>
      <c r="D4951" s="1"/>
      <c r="E4951" s="1"/>
      <c r="F4951" s="1" t="s">
        <v>4675</v>
      </c>
      <c r="G4951" s="1">
        <v>1</v>
      </c>
      <c r="H4951" s="1" t="s">
        <v>19</v>
      </c>
      <c r="I4951" s="1" t="s">
        <v>4671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 t="s">
        <v>6</v>
      </c>
    </row>
    <row r="4952" spans="1:15" ht="20.25" hidden="1" x14ac:dyDescent="0.25">
      <c r="A4952" s="1">
        <v>125</v>
      </c>
      <c r="B4952" t="s">
        <v>4813</v>
      </c>
      <c r="C4952" s="1" t="s">
        <v>4669</v>
      </c>
      <c r="D4952" s="1"/>
      <c r="E4952" s="1"/>
      <c r="F4952" s="1" t="s">
        <v>4676</v>
      </c>
      <c r="G4952" s="1">
        <v>1</v>
      </c>
      <c r="H4952" s="1" t="s">
        <v>19</v>
      </c>
      <c r="I4952" s="1" t="s">
        <v>4671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 t="s">
        <v>6</v>
      </c>
    </row>
    <row r="4953" spans="1:15" ht="20.25" hidden="1" x14ac:dyDescent="0.25">
      <c r="A4953" s="1">
        <v>126</v>
      </c>
      <c r="B4953" t="s">
        <v>4814</v>
      </c>
      <c r="C4953" s="1" t="s">
        <v>4669</v>
      </c>
      <c r="D4953" s="1"/>
      <c r="E4953" s="1"/>
      <c r="F4953" s="1" t="s">
        <v>4677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 t="s">
        <v>6</v>
      </c>
    </row>
    <row r="4954" spans="1:15" ht="20.25" hidden="1" x14ac:dyDescent="0.25">
      <c r="A4954" s="1">
        <v>127</v>
      </c>
      <c r="B4954" t="s">
        <v>4815</v>
      </c>
      <c r="C4954" s="1" t="s">
        <v>4669</v>
      </c>
      <c r="D4954" s="1"/>
      <c r="E4954" s="1"/>
      <c r="F4954" s="1" t="s">
        <v>4678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 t="s">
        <v>6</v>
      </c>
    </row>
    <row r="4955" spans="1:15" ht="20.25" hidden="1" x14ac:dyDescent="0.25">
      <c r="A4955" s="1">
        <v>128</v>
      </c>
      <c r="B4955" t="s">
        <v>4816</v>
      </c>
      <c r="C4955" s="1" t="s">
        <v>4669</v>
      </c>
      <c r="D4955" s="1"/>
      <c r="E4955" s="1"/>
      <c r="F4955" s="1" t="s">
        <v>4679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 t="s">
        <v>6</v>
      </c>
    </row>
    <row r="4956" spans="1:15" ht="20.25" hidden="1" x14ac:dyDescent="0.25">
      <c r="A4956" s="1">
        <v>129</v>
      </c>
      <c r="B4956" t="s">
        <v>4817</v>
      </c>
      <c r="C4956" s="1" t="s">
        <v>4669</v>
      </c>
      <c r="D4956" s="1"/>
      <c r="E4956" s="1"/>
      <c r="F4956" s="1" t="s">
        <v>4680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 t="s">
        <v>6</v>
      </c>
    </row>
    <row r="4957" spans="1:15" ht="20.25" hidden="1" x14ac:dyDescent="0.25">
      <c r="A4957" s="1">
        <v>130</v>
      </c>
      <c r="B4957" t="s">
        <v>4818</v>
      </c>
      <c r="C4957" s="1" t="s">
        <v>4669</v>
      </c>
      <c r="D4957" s="1"/>
      <c r="E4957" s="1"/>
      <c r="F4957" s="1" t="s">
        <v>4681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 t="s">
        <v>6</v>
      </c>
    </row>
    <row r="4958" spans="1:15" ht="20.25" hidden="1" x14ac:dyDescent="0.25">
      <c r="A4958" s="1">
        <v>131</v>
      </c>
      <c r="B4958" t="s">
        <v>4819</v>
      </c>
      <c r="C4958" s="1" t="s">
        <v>4669</v>
      </c>
      <c r="D4958" s="1"/>
      <c r="E4958" s="1"/>
      <c r="F4958" s="1" t="s">
        <v>4682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 t="s">
        <v>6</v>
      </c>
    </row>
    <row r="4959" spans="1:15" ht="20.25" hidden="1" x14ac:dyDescent="0.25">
      <c r="A4959" s="1">
        <v>132</v>
      </c>
      <c r="B4959" t="s">
        <v>4820</v>
      </c>
      <c r="C4959" s="1" t="s">
        <v>4669</v>
      </c>
      <c r="D4959" s="1"/>
      <c r="E4959" s="1"/>
      <c r="F4959" s="1" t="s">
        <v>4683</v>
      </c>
      <c r="G4959" s="1">
        <v>168</v>
      </c>
      <c r="H4959" s="1" t="s">
        <v>19</v>
      </c>
      <c r="I4959" s="1" t="s">
        <v>4671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 t="s">
        <v>6</v>
      </c>
    </row>
    <row r="4960" spans="1:15" ht="20.25" hidden="1" x14ac:dyDescent="0.25">
      <c r="A4960" s="1">
        <v>133</v>
      </c>
      <c r="B4960" t="s">
        <v>4821</v>
      </c>
      <c r="C4960" s="1" t="s">
        <v>4669</v>
      </c>
      <c r="D4960" s="1"/>
      <c r="E4960" s="1"/>
      <c r="F4960" s="1" t="s">
        <v>4684</v>
      </c>
      <c r="G4960" s="1">
        <v>336</v>
      </c>
      <c r="H4960" s="1" t="s">
        <v>19</v>
      </c>
      <c r="I4960" s="1" t="s">
        <v>4671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 t="s">
        <v>6</v>
      </c>
    </row>
    <row r="4961" spans="1:15" ht="20.25" hidden="1" x14ac:dyDescent="0.25">
      <c r="A4961" s="1">
        <v>134</v>
      </c>
      <c r="B4961" t="s">
        <v>4822</v>
      </c>
      <c r="C4961" s="1" t="s">
        <v>4669</v>
      </c>
      <c r="D4961" s="1"/>
      <c r="E4961" s="1"/>
      <c r="F4961" s="1" t="s">
        <v>4685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 t="s">
        <v>6</v>
      </c>
    </row>
    <row r="4962" spans="1:15" ht="20.25" hidden="1" x14ac:dyDescent="0.25">
      <c r="A4962" s="1">
        <v>135</v>
      </c>
      <c r="B4962" t="s">
        <v>4823</v>
      </c>
      <c r="C4962" s="1" t="s">
        <v>4669</v>
      </c>
      <c r="D4962" s="1"/>
      <c r="E4962" s="1"/>
      <c r="F4962" s="1" t="s">
        <v>4685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 t="s">
        <v>6</v>
      </c>
    </row>
    <row r="4963" spans="1:15" ht="20.25" hidden="1" x14ac:dyDescent="0.25">
      <c r="A4963" s="1">
        <v>140</v>
      </c>
      <c r="B4963" s="159" t="s">
        <v>4824</v>
      </c>
      <c r="C4963" s="1" t="s">
        <v>3913</v>
      </c>
      <c r="D4963" s="1"/>
      <c r="E4963" s="1" t="s">
        <v>173</v>
      </c>
      <c r="F4963" s="1" t="s">
        <v>4687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 t="s">
        <v>6</v>
      </c>
    </row>
    <row r="4964" spans="1:15" ht="20.25" hidden="1" x14ac:dyDescent="0.25">
      <c r="A4964" s="1">
        <v>141</v>
      </c>
      <c r="B4964" s="159" t="s">
        <v>4825</v>
      </c>
      <c r="C4964" s="1" t="s">
        <v>3913</v>
      </c>
      <c r="D4964" s="1"/>
      <c r="E4964" s="1" t="s">
        <v>173</v>
      </c>
      <c r="F4964" s="1" t="s">
        <v>4687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 t="s">
        <v>6</v>
      </c>
    </row>
    <row r="4965" spans="1:15" ht="20.25" hidden="1" x14ac:dyDescent="0.25">
      <c r="A4965" s="1">
        <v>142</v>
      </c>
      <c r="B4965" s="159" t="s">
        <v>4826</v>
      </c>
      <c r="C4965" s="1" t="s">
        <v>4688</v>
      </c>
      <c r="D4965" s="1"/>
      <c r="E4965" s="1"/>
      <c r="F4965" s="1" t="s">
        <v>4689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 t="s">
        <v>6</v>
      </c>
    </row>
    <row r="4966" spans="1:15" ht="20.25" hidden="1" x14ac:dyDescent="0.25">
      <c r="A4966" s="1">
        <v>143</v>
      </c>
      <c r="B4966" s="159" t="s">
        <v>4827</v>
      </c>
      <c r="C4966" s="1" t="s">
        <v>4688</v>
      </c>
      <c r="D4966" s="1"/>
      <c r="E4966" s="1"/>
      <c r="F4966" s="1" t="s">
        <v>4689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 t="s">
        <v>6</v>
      </c>
    </row>
    <row r="4967" spans="1:15" ht="20.25" hidden="1" x14ac:dyDescent="0.25">
      <c r="A4967" s="1">
        <v>136</v>
      </c>
      <c r="B4967" s="159">
        <v>4131</v>
      </c>
      <c r="C4967" s="115" t="s">
        <v>3880</v>
      </c>
      <c r="D4967" s="1"/>
      <c r="E4967" s="1" t="s">
        <v>2</v>
      </c>
      <c r="F4967" s="1" t="s">
        <v>3882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 t="s">
        <v>6</v>
      </c>
    </row>
    <row r="4968" spans="1:15" ht="20.25" hidden="1" x14ac:dyDescent="0.25">
      <c r="A4968" s="1">
        <v>137</v>
      </c>
      <c r="B4968" s="159">
        <v>4131</v>
      </c>
      <c r="C4968" s="115" t="s">
        <v>3880</v>
      </c>
      <c r="D4968" s="1"/>
      <c r="E4968" s="1" t="s">
        <v>4686</v>
      </c>
      <c r="F4968" s="1" t="s">
        <v>3885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 t="s">
        <v>6</v>
      </c>
    </row>
    <row r="4969" spans="1:15" ht="20.25" hidden="1" x14ac:dyDescent="0.25">
      <c r="A4969" s="1">
        <v>138</v>
      </c>
      <c r="B4969" s="159">
        <v>4133</v>
      </c>
      <c r="C4969" s="115" t="s">
        <v>3880</v>
      </c>
      <c r="D4969" s="1"/>
      <c r="E4969" s="1" t="s">
        <v>2</v>
      </c>
      <c r="F4969" s="1" t="s">
        <v>3882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 t="s">
        <v>6</v>
      </c>
    </row>
    <row r="4970" spans="1:15" ht="20.25" hidden="1" x14ac:dyDescent="0.25">
      <c r="A4970" s="1">
        <v>139</v>
      </c>
      <c r="B4970" s="159">
        <v>4133</v>
      </c>
      <c r="C4970" s="115" t="s">
        <v>3880</v>
      </c>
      <c r="D4970" s="1"/>
      <c r="E4970" s="1" t="s">
        <v>4686</v>
      </c>
      <c r="F4970" s="1" t="s">
        <v>3885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 t="s">
        <v>6</v>
      </c>
    </row>
  </sheetData>
  <autoFilter ref="A1:O4970" xr:uid="{E826462E-1715-45FB-827E-B16DF1FB20B2}">
    <filterColumn colId="13">
      <filters>
        <filter val="P-198"/>
      </filters>
    </filterColumn>
  </autoFilter>
  <phoneticPr fontId="6" type="noConversion"/>
  <conditionalFormatting sqref="B764:B4406">
    <cfRule type="expression" dxfId="8" priority="5">
      <formula>$AH764="OK"</formula>
    </cfRule>
  </conditionalFormatting>
  <conditionalFormatting sqref="B4407:B4408 B4749:B4970">
    <cfRule type="expression" dxfId="7" priority="4">
      <formula>$AI4407="OK"</formula>
    </cfRule>
  </conditionalFormatting>
  <conditionalFormatting sqref="B4409:B4748">
    <cfRule type="expression" dxfId="6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e">
        <f>VLOOKUP(Tabela2[[#This Row],[TAG]],MICRO!J:L,3,0)</f>
        <v>#N/A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e">
        <f t="shared" si="33"/>
        <v>#N/A</v>
      </c>
      <c r="O208" s="56" t="e">
        <f t="shared" si="34"/>
        <v>#N/A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e">
        <f>VLOOKUP(Tabela2[[#This Row],[TAG]],MICRO!J:L,3,0)</f>
        <v>#N/A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e">
        <f t="shared" si="33"/>
        <v>#N/A</v>
      </c>
      <c r="O212" s="56" t="e">
        <f t="shared" si="34"/>
        <v>#N/A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e">
        <f>VLOOKUP(Tabela2[[#This Row],[TAG]],MICRO!J:L,3,0)</f>
        <v>#N/A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e">
        <f t="shared" si="33"/>
        <v>#N/A</v>
      </c>
      <c r="O216" s="56" t="e">
        <f t="shared" si="34"/>
        <v>#N/A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e">
        <f>VLOOKUP(Tabela2[[#This Row],[TAG]],MICRO!J:L,3,0)</f>
        <v>#N/A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e">
        <f t="shared" si="103"/>
        <v>#N/A</v>
      </c>
      <c r="O292" s="56" t="e">
        <f t="shared" si="104"/>
        <v>#N/A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e">
        <f>VLOOKUP(Tabela2[[#This Row],[TAG]],MICRO!J:L,3,0)</f>
        <v>#N/A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e">
        <f t="shared" si="103"/>
        <v>#N/A</v>
      </c>
      <c r="O297" s="56" t="e">
        <f t="shared" si="104"/>
        <v>#N/A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0</v>
      </c>
      <c r="L351" s="114">
        <f t="shared" si="131"/>
        <v>0</v>
      </c>
      <c r="M351" s="113">
        <f t="shared" si="132"/>
        <v>213.7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0</v>
      </c>
      <c r="L353" s="114">
        <f t="shared" si="131"/>
        <v>0</v>
      </c>
      <c r="M353" s="113">
        <f t="shared" si="132"/>
        <v>853.2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6327.5999999999995</v>
      </c>
      <c r="H357" s="113">
        <f>SUMIF(MICRO!AP:AP,O:O,MICRO!R:R)</f>
        <v>3947.4274999999998</v>
      </c>
      <c r="I357" s="113">
        <f>SUMIF(MICRO!AP:AP,O:O,MICRO!T:T)</f>
        <v>-4306.2</v>
      </c>
      <c r="J357" s="114">
        <f t="shared" si="130"/>
        <v>0.62384276819015105</v>
      </c>
      <c r="K357" s="113">
        <f>SUMIF(MICRO!AP:AP,O:O,MICRO!X:X)</f>
        <v>0</v>
      </c>
      <c r="L357" s="114">
        <f t="shared" si="131"/>
        <v>0</v>
      </c>
      <c r="M357" s="113">
        <f t="shared" si="132"/>
        <v>6327.5999999999995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2021.4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1298.4000000000001</v>
      </c>
      <c r="H359" s="113">
        <f>SUMIF(MICRO!AP:AP,O:O,MICRO!R:R)</f>
        <v>144.71250000000001</v>
      </c>
      <c r="I359" s="113">
        <f>SUMIF(MICRO!AP:AP,O:O,MICRO!T:T)</f>
        <v>-1298.4000000000001</v>
      </c>
      <c r="J359" s="114">
        <f t="shared" si="130"/>
        <v>0.11145448243992606</v>
      </c>
      <c r="K359" s="113">
        <f>SUMIF(MICRO!AP:AP,O:O,MICRO!X:X)</f>
        <v>0</v>
      </c>
      <c r="L359" s="114">
        <f t="shared" si="131"/>
        <v>0</v>
      </c>
      <c r="M359" s="113">
        <f t="shared" si="132"/>
        <v>1298.4000000000001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3730.4000000000005</v>
      </c>
      <c r="I366" s="113">
        <f>SUMIF(MICRO!AP:AP,O:O,MICRO!T:T)</f>
        <v>0</v>
      </c>
      <c r="J366" s="114">
        <f t="shared" si="135"/>
        <v>0.92090451268885154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136.80000000000001</v>
      </c>
      <c r="H369" s="113">
        <f>SUMIF(MICRO!AP:AP,O:O,MICRO!R:R)</f>
        <v>136.80000000000001</v>
      </c>
      <c r="I369" s="113">
        <f>SUMIF(MICRO!AP:AP,O:O,MICRO!T:T)</f>
        <v>0</v>
      </c>
      <c r="J369" s="114">
        <f t="shared" si="135"/>
        <v>1</v>
      </c>
      <c r="K369" s="113">
        <f>SUMIF(MICRO!AP:AP,O:O,MICRO!X:X)</f>
        <v>0</v>
      </c>
      <c r="L369" s="114">
        <f t="shared" si="136"/>
        <v>0</v>
      </c>
      <c r="M369" s="113">
        <f t="shared" si="137"/>
        <v>136.80000000000001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136.80000000000001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4299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4306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5" priority="1">
      <formula>$AI366="OK"</formula>
    </cfRule>
  </conditionalFormatting>
  <conditionalFormatting sqref="F192">
    <cfRule type="expression" dxfId="4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2026-07-22T13:03:09Z</cp:lastPrinted>
  <dcterms:created xsi:type="dcterms:W3CDTF">2022-04-15T01:30:45Z</dcterms:created>
  <dcterms:modified xsi:type="dcterms:W3CDTF">2026-07-27T17:37:19Z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