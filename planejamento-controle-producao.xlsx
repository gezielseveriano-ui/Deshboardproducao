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4286" documentId="8_{FDD42E6F-94E1-48F3-8613-54A91AB43A68}" xr6:coauthVersionLast="47" xr6:coauthVersionMax="47" xr10:uidLastSave="{7DFB8B3C-0F28-4D88-8DA1-BD58D389C71F}"/>
  <bookViews>
    <workbookView minimized="1" xWindow="690" yWindow="690" windowWidth="21600" windowHeight="1290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04" i="1" l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S1002" i="1" s="1"/>
  <c r="T1002" i="1" s="1"/>
  <c r="Q1001" i="1"/>
  <c r="U1001" i="1"/>
  <c r="Y1001" i="1" s="1"/>
  <c r="V1001" i="1"/>
  <c r="W1001" i="1"/>
  <c r="H1001" i="1"/>
  <c r="S1001" i="1" s="1"/>
  <c r="T1001" i="1" s="1"/>
  <c r="Q1000" i="1"/>
  <c r="U1000" i="1"/>
  <c r="Y1000" i="1" s="1"/>
  <c r="V1000" i="1"/>
  <c r="W1000" i="1"/>
  <c r="H1000" i="1"/>
  <c r="R1000" i="1" s="1"/>
  <c r="Q999" i="1"/>
  <c r="U999" i="1"/>
  <c r="Y999" i="1" s="1"/>
  <c r="V999" i="1"/>
  <c r="W999" i="1"/>
  <c r="X999" i="1"/>
  <c r="H999" i="1"/>
  <c r="R999" i="1" s="1"/>
  <c r="Q998" i="1"/>
  <c r="U998" i="1"/>
  <c r="Y998" i="1" s="1"/>
  <c r="V998" i="1"/>
  <c r="W998" i="1"/>
  <c r="X998" i="1"/>
  <c r="H998" i="1"/>
  <c r="R998" i="1" s="1"/>
  <c r="Q997" i="1"/>
  <c r="U997" i="1"/>
  <c r="Y997" i="1" s="1"/>
  <c r="V997" i="1"/>
  <c r="W997" i="1"/>
  <c r="H997" i="1"/>
  <c r="S997" i="1" s="1"/>
  <c r="T997" i="1" s="1"/>
  <c r="Q996" i="1"/>
  <c r="U996" i="1"/>
  <c r="Y996" i="1" s="1"/>
  <c r="V996" i="1"/>
  <c r="W996" i="1"/>
  <c r="H996" i="1"/>
  <c r="R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S993" i="1" s="1"/>
  <c r="T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R991" i="1" s="1"/>
  <c r="Q990" i="1"/>
  <c r="U990" i="1"/>
  <c r="Y990" i="1" s="1"/>
  <c r="V990" i="1"/>
  <c r="W990" i="1"/>
  <c r="H990" i="1"/>
  <c r="R990" i="1" s="1"/>
  <c r="Q989" i="1"/>
  <c r="U989" i="1"/>
  <c r="Y989" i="1" s="1"/>
  <c r="V989" i="1"/>
  <c r="W989" i="1"/>
  <c r="H989" i="1"/>
  <c r="S989" i="1" s="1"/>
  <c r="T989" i="1" s="1"/>
  <c r="Q988" i="1"/>
  <c r="U988" i="1"/>
  <c r="Y988" i="1" s="1"/>
  <c r="V988" i="1"/>
  <c r="W988" i="1"/>
  <c r="H988" i="1"/>
  <c r="S988" i="1" s="1"/>
  <c r="T988" i="1" s="1"/>
  <c r="Q987" i="1"/>
  <c r="U987" i="1"/>
  <c r="Y987" i="1" s="1"/>
  <c r="V987" i="1"/>
  <c r="W987" i="1"/>
  <c r="H987" i="1"/>
  <c r="R987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S622" i="1" s="1"/>
  <c r="T622" i="1" s="1"/>
  <c r="Q622" i="1"/>
  <c r="R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Z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3" i="1"/>
  <c r="R853" i="1" s="1"/>
  <c r="Q853" i="1"/>
  <c r="U853" i="1"/>
  <c r="V853" i="1"/>
  <c r="W853" i="1"/>
  <c r="H854" i="1"/>
  <c r="Q854" i="1"/>
  <c r="U854" i="1"/>
  <c r="Y854" i="1" s="1"/>
  <c r="V854" i="1"/>
  <c r="W854" i="1"/>
  <c r="H855" i="1"/>
  <c r="S855" i="1" s="1"/>
  <c r="T855" i="1" s="1"/>
  <c r="Q855" i="1"/>
  <c r="U855" i="1"/>
  <c r="X855" i="1" s="1"/>
  <c r="V855" i="1"/>
  <c r="W855" i="1"/>
  <c r="H856" i="1"/>
  <c r="Q856" i="1"/>
  <c r="U856" i="1"/>
  <c r="X856" i="1" s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X858" i="1" s="1"/>
  <c r="V858" i="1"/>
  <c r="W858" i="1"/>
  <c r="H859" i="1"/>
  <c r="Q859" i="1"/>
  <c r="U859" i="1"/>
  <c r="X859" i="1" s="1"/>
  <c r="V859" i="1"/>
  <c r="W859" i="1"/>
  <c r="H861" i="1"/>
  <c r="R861" i="1" s="1"/>
  <c r="Q861" i="1"/>
  <c r="U861" i="1"/>
  <c r="Y861" i="1" s="1"/>
  <c r="V861" i="1"/>
  <c r="W861" i="1"/>
  <c r="H862" i="1"/>
  <c r="R862" i="1" s="1"/>
  <c r="Q862" i="1"/>
  <c r="U862" i="1"/>
  <c r="Y862" i="1" s="1"/>
  <c r="V862" i="1"/>
  <c r="W862" i="1"/>
  <c r="H863" i="1"/>
  <c r="S863" i="1" s="1"/>
  <c r="T863" i="1" s="1"/>
  <c r="Q863" i="1"/>
  <c r="U863" i="1"/>
  <c r="V863" i="1"/>
  <c r="W863" i="1"/>
  <c r="H864" i="1"/>
  <c r="Q864" i="1"/>
  <c r="U864" i="1"/>
  <c r="X864" i="1" s="1"/>
  <c r="V864" i="1"/>
  <c r="W864" i="1"/>
  <c r="H865" i="1"/>
  <c r="S865" i="1" s="1"/>
  <c r="T865" i="1" s="1"/>
  <c r="Q865" i="1"/>
  <c r="U865" i="1"/>
  <c r="Y865" i="1" s="1"/>
  <c r="V865" i="1"/>
  <c r="W865" i="1"/>
  <c r="H866" i="1"/>
  <c r="R866" i="1" s="1"/>
  <c r="Q866" i="1"/>
  <c r="U866" i="1"/>
  <c r="X866" i="1" s="1"/>
  <c r="V866" i="1"/>
  <c r="W866" i="1"/>
  <c r="H986" i="1"/>
  <c r="R986" i="1" s="1"/>
  <c r="Q986" i="1"/>
  <c r="U986" i="1"/>
  <c r="X986" i="1" s="1"/>
  <c r="V986" i="1"/>
  <c r="W986" i="1"/>
  <c r="H985" i="1"/>
  <c r="S985" i="1" s="1"/>
  <c r="T985" i="1" s="1"/>
  <c r="Q985" i="1"/>
  <c r="U985" i="1"/>
  <c r="Y985" i="1" s="1"/>
  <c r="V985" i="1"/>
  <c r="W985" i="1"/>
  <c r="H872" i="1"/>
  <c r="R872" i="1" s="1"/>
  <c r="Q872" i="1"/>
  <c r="U872" i="1"/>
  <c r="Y872" i="1" s="1"/>
  <c r="V872" i="1"/>
  <c r="W872" i="1"/>
  <c r="H873" i="1"/>
  <c r="S873" i="1" s="1"/>
  <c r="T873" i="1" s="1"/>
  <c r="Q873" i="1"/>
  <c r="U873" i="1"/>
  <c r="Y873" i="1" s="1"/>
  <c r="V873" i="1"/>
  <c r="W873" i="1"/>
  <c r="H874" i="1"/>
  <c r="Q874" i="1"/>
  <c r="U874" i="1"/>
  <c r="Y874" i="1" s="1"/>
  <c r="V874" i="1"/>
  <c r="W874" i="1"/>
  <c r="H875" i="1"/>
  <c r="S875" i="1" s="1"/>
  <c r="T875" i="1" s="1"/>
  <c r="Q875" i="1"/>
  <c r="U875" i="1"/>
  <c r="X875" i="1" s="1"/>
  <c r="V875" i="1"/>
  <c r="W875" i="1"/>
  <c r="H876" i="1"/>
  <c r="S876" i="1" s="1"/>
  <c r="T876" i="1" s="1"/>
  <c r="Q876" i="1"/>
  <c r="U876" i="1"/>
  <c r="X876" i="1" s="1"/>
  <c r="V876" i="1"/>
  <c r="W876" i="1"/>
  <c r="H877" i="1"/>
  <c r="R877" i="1" s="1"/>
  <c r="Q877" i="1"/>
  <c r="U877" i="1"/>
  <c r="X877" i="1" s="1"/>
  <c r="V877" i="1"/>
  <c r="W877" i="1"/>
  <c r="H878" i="1"/>
  <c r="Q878" i="1"/>
  <c r="U878" i="1"/>
  <c r="X878" i="1" s="1"/>
  <c r="V878" i="1"/>
  <c r="W878" i="1"/>
  <c r="H879" i="1"/>
  <c r="S879" i="1" s="1"/>
  <c r="T879" i="1" s="1"/>
  <c r="Q879" i="1"/>
  <c r="U879" i="1"/>
  <c r="X879" i="1" s="1"/>
  <c r="V879" i="1"/>
  <c r="W879" i="1"/>
  <c r="H880" i="1"/>
  <c r="R880" i="1" s="1"/>
  <c r="Q880" i="1"/>
  <c r="U880" i="1"/>
  <c r="Y880" i="1" s="1"/>
  <c r="V880" i="1"/>
  <c r="W880" i="1"/>
  <c r="H881" i="1"/>
  <c r="R881" i="1" s="1"/>
  <c r="Q881" i="1"/>
  <c r="U881" i="1"/>
  <c r="Y881" i="1" s="1"/>
  <c r="V881" i="1"/>
  <c r="W881" i="1"/>
  <c r="H882" i="1"/>
  <c r="Q882" i="1"/>
  <c r="U882" i="1"/>
  <c r="Y882" i="1" s="1"/>
  <c r="V882" i="1"/>
  <c r="W882" i="1"/>
  <c r="H883" i="1"/>
  <c r="R883" i="1" s="1"/>
  <c r="Q883" i="1"/>
  <c r="U883" i="1"/>
  <c r="X883" i="1" s="1"/>
  <c r="V883" i="1"/>
  <c r="W883" i="1"/>
  <c r="H884" i="1"/>
  <c r="Q884" i="1"/>
  <c r="U884" i="1"/>
  <c r="X884" i="1" s="1"/>
  <c r="V884" i="1"/>
  <c r="W884" i="1"/>
  <c r="H885" i="1"/>
  <c r="R885" i="1" s="1"/>
  <c r="Q885" i="1"/>
  <c r="U885" i="1"/>
  <c r="X885" i="1" s="1"/>
  <c r="V885" i="1"/>
  <c r="W885" i="1"/>
  <c r="H886" i="1"/>
  <c r="R886" i="1" s="1"/>
  <c r="Q886" i="1"/>
  <c r="U886" i="1"/>
  <c r="X886" i="1" s="1"/>
  <c r="V886" i="1"/>
  <c r="W886" i="1"/>
  <c r="H887" i="1"/>
  <c r="S887" i="1" s="1"/>
  <c r="T887" i="1" s="1"/>
  <c r="Q887" i="1"/>
  <c r="U887" i="1"/>
  <c r="X887" i="1" s="1"/>
  <c r="V887" i="1"/>
  <c r="W887" i="1"/>
  <c r="H888" i="1"/>
  <c r="S888" i="1" s="1"/>
  <c r="T888" i="1" s="1"/>
  <c r="Q888" i="1"/>
  <c r="U888" i="1"/>
  <c r="Y888" i="1" s="1"/>
  <c r="V888" i="1"/>
  <c r="W888" i="1"/>
  <c r="H889" i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R891" i="1" s="1"/>
  <c r="Q891" i="1"/>
  <c r="U891" i="1"/>
  <c r="V891" i="1"/>
  <c r="W891" i="1"/>
  <c r="H892" i="1"/>
  <c r="Q892" i="1"/>
  <c r="U892" i="1"/>
  <c r="X892" i="1" s="1"/>
  <c r="V892" i="1"/>
  <c r="W892" i="1"/>
  <c r="H893" i="1"/>
  <c r="R893" i="1" s="1"/>
  <c r="Q893" i="1"/>
  <c r="U893" i="1"/>
  <c r="X893" i="1" s="1"/>
  <c r="V893" i="1"/>
  <c r="W893" i="1"/>
  <c r="H894" i="1"/>
  <c r="Q894" i="1"/>
  <c r="U894" i="1"/>
  <c r="Y894" i="1" s="1"/>
  <c r="V894" i="1"/>
  <c r="W894" i="1"/>
  <c r="H895" i="1"/>
  <c r="S895" i="1" s="1"/>
  <c r="T895" i="1" s="1"/>
  <c r="Q895" i="1"/>
  <c r="U895" i="1"/>
  <c r="X895" i="1" s="1"/>
  <c r="V895" i="1"/>
  <c r="W895" i="1"/>
  <c r="H896" i="1"/>
  <c r="R896" i="1" s="1"/>
  <c r="Q896" i="1"/>
  <c r="U896" i="1"/>
  <c r="V896" i="1"/>
  <c r="W896" i="1"/>
  <c r="H897" i="1"/>
  <c r="S897" i="1" s="1"/>
  <c r="T897" i="1" s="1"/>
  <c r="Q897" i="1"/>
  <c r="U897" i="1"/>
  <c r="X897" i="1" s="1"/>
  <c r="V897" i="1"/>
  <c r="W897" i="1"/>
  <c r="H898" i="1"/>
  <c r="S898" i="1" s="1"/>
  <c r="T898" i="1" s="1"/>
  <c r="Q898" i="1"/>
  <c r="U898" i="1"/>
  <c r="Y898" i="1" s="1"/>
  <c r="V898" i="1"/>
  <c r="W898" i="1"/>
  <c r="H899" i="1"/>
  <c r="R899" i="1" s="1"/>
  <c r="Q899" i="1"/>
  <c r="U899" i="1"/>
  <c r="X899" i="1" s="1"/>
  <c r="V899" i="1"/>
  <c r="W899" i="1"/>
  <c r="H900" i="1"/>
  <c r="S900" i="1" s="1"/>
  <c r="T900" i="1" s="1"/>
  <c r="Q900" i="1"/>
  <c r="U900" i="1"/>
  <c r="V900" i="1"/>
  <c r="W900" i="1"/>
  <c r="H901" i="1"/>
  <c r="R901" i="1" s="1"/>
  <c r="Q901" i="1"/>
  <c r="U901" i="1"/>
  <c r="X901" i="1" s="1"/>
  <c r="V901" i="1"/>
  <c r="W901" i="1"/>
  <c r="H902" i="1"/>
  <c r="Q902" i="1"/>
  <c r="U902" i="1"/>
  <c r="Y902" i="1" s="1"/>
  <c r="V902" i="1"/>
  <c r="W902" i="1"/>
  <c r="H903" i="1"/>
  <c r="S903" i="1" s="1"/>
  <c r="T903" i="1" s="1"/>
  <c r="Q903" i="1"/>
  <c r="U903" i="1"/>
  <c r="Y903" i="1" s="1"/>
  <c r="V903" i="1"/>
  <c r="W903" i="1"/>
  <c r="H904" i="1"/>
  <c r="R904" i="1" s="1"/>
  <c r="Q904" i="1"/>
  <c r="U904" i="1"/>
  <c r="X904" i="1" s="1"/>
  <c r="V904" i="1"/>
  <c r="W904" i="1"/>
  <c r="H905" i="1"/>
  <c r="S905" i="1" s="1"/>
  <c r="T905" i="1" s="1"/>
  <c r="Q905" i="1"/>
  <c r="U905" i="1"/>
  <c r="Y905" i="1" s="1"/>
  <c r="V905" i="1"/>
  <c r="W905" i="1"/>
  <c r="H906" i="1"/>
  <c r="S906" i="1" s="1"/>
  <c r="T906" i="1" s="1"/>
  <c r="Q906" i="1"/>
  <c r="U906" i="1"/>
  <c r="Y906" i="1" s="1"/>
  <c r="V906" i="1"/>
  <c r="W906" i="1"/>
  <c r="H907" i="1"/>
  <c r="S907" i="1" s="1"/>
  <c r="T907" i="1" s="1"/>
  <c r="Q907" i="1"/>
  <c r="U907" i="1"/>
  <c r="V907" i="1"/>
  <c r="W907" i="1"/>
  <c r="H908" i="1"/>
  <c r="S908" i="1" s="1"/>
  <c r="T908" i="1" s="1"/>
  <c r="Q908" i="1"/>
  <c r="U908" i="1"/>
  <c r="X908" i="1" s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Q911" i="1"/>
  <c r="U911" i="1"/>
  <c r="X911" i="1" s="1"/>
  <c r="V911" i="1"/>
  <c r="W911" i="1"/>
  <c r="H912" i="1"/>
  <c r="S912" i="1" s="1"/>
  <c r="T912" i="1" s="1"/>
  <c r="Q912" i="1"/>
  <c r="U912" i="1"/>
  <c r="V912" i="1"/>
  <c r="W912" i="1"/>
  <c r="H913" i="1"/>
  <c r="R913" i="1" s="1"/>
  <c r="Q913" i="1"/>
  <c r="U913" i="1"/>
  <c r="Y913" i="1" s="1"/>
  <c r="V913" i="1"/>
  <c r="W913" i="1"/>
  <c r="H914" i="1"/>
  <c r="R914" i="1" s="1"/>
  <c r="Q914" i="1"/>
  <c r="U914" i="1"/>
  <c r="V914" i="1"/>
  <c r="W914" i="1"/>
  <c r="H915" i="1"/>
  <c r="Q915" i="1"/>
  <c r="U915" i="1"/>
  <c r="Y915" i="1" s="1"/>
  <c r="V915" i="1"/>
  <c r="W915" i="1"/>
  <c r="H916" i="1"/>
  <c r="Q916" i="1"/>
  <c r="U916" i="1"/>
  <c r="Y916" i="1" s="1"/>
  <c r="V916" i="1"/>
  <c r="W916" i="1"/>
  <c r="H917" i="1"/>
  <c r="R917" i="1" s="1"/>
  <c r="Q917" i="1"/>
  <c r="U917" i="1"/>
  <c r="X917" i="1" s="1"/>
  <c r="V917" i="1"/>
  <c r="W917" i="1"/>
  <c r="H918" i="1"/>
  <c r="S918" i="1" s="1"/>
  <c r="T918" i="1" s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R922" i="1" s="1"/>
  <c r="Q922" i="1"/>
  <c r="U922" i="1"/>
  <c r="X922" i="1" s="1"/>
  <c r="V922" i="1"/>
  <c r="W922" i="1"/>
  <c r="H923" i="1"/>
  <c r="S923" i="1" s="1"/>
  <c r="T923" i="1" s="1"/>
  <c r="Q923" i="1"/>
  <c r="U923" i="1"/>
  <c r="X923" i="1" s="1"/>
  <c r="V923" i="1"/>
  <c r="W923" i="1"/>
  <c r="H924" i="1"/>
  <c r="Q924" i="1"/>
  <c r="U924" i="1"/>
  <c r="Y924" i="1" s="1"/>
  <c r="V924" i="1"/>
  <c r="W924" i="1"/>
  <c r="H925" i="1"/>
  <c r="R925" i="1" s="1"/>
  <c r="Q925" i="1"/>
  <c r="U925" i="1"/>
  <c r="X925" i="1" s="1"/>
  <c r="V925" i="1"/>
  <c r="W925" i="1"/>
  <c r="H926" i="1"/>
  <c r="S926" i="1" s="1"/>
  <c r="T926" i="1" s="1"/>
  <c r="Q926" i="1"/>
  <c r="U926" i="1"/>
  <c r="Y926" i="1" s="1"/>
  <c r="V926" i="1"/>
  <c r="W926" i="1"/>
  <c r="H927" i="1"/>
  <c r="R927" i="1" s="1"/>
  <c r="Q927" i="1"/>
  <c r="U927" i="1"/>
  <c r="V927" i="1"/>
  <c r="W927" i="1"/>
  <c r="H928" i="1"/>
  <c r="S928" i="1" s="1"/>
  <c r="T928" i="1" s="1"/>
  <c r="Q928" i="1"/>
  <c r="U928" i="1"/>
  <c r="X928" i="1" s="1"/>
  <c r="V928" i="1"/>
  <c r="W928" i="1"/>
  <c r="H929" i="1"/>
  <c r="R929" i="1" s="1"/>
  <c r="Q929" i="1"/>
  <c r="U929" i="1"/>
  <c r="X929" i="1" s="1"/>
  <c r="V929" i="1"/>
  <c r="W929" i="1"/>
  <c r="H930" i="1"/>
  <c r="Q930" i="1"/>
  <c r="U930" i="1"/>
  <c r="X930" i="1" s="1"/>
  <c r="V930" i="1"/>
  <c r="W930" i="1"/>
  <c r="H931" i="1"/>
  <c r="S931" i="1" s="1"/>
  <c r="T931" i="1" s="1"/>
  <c r="Q931" i="1"/>
  <c r="U931" i="1"/>
  <c r="X931" i="1" s="1"/>
  <c r="V931" i="1"/>
  <c r="W931" i="1"/>
  <c r="H932" i="1"/>
  <c r="Q932" i="1"/>
  <c r="U932" i="1"/>
  <c r="Y932" i="1" s="1"/>
  <c r="V932" i="1"/>
  <c r="W932" i="1"/>
  <c r="H933" i="1"/>
  <c r="R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V935" i="1"/>
  <c r="W935" i="1"/>
  <c r="H936" i="1"/>
  <c r="S936" i="1" s="1"/>
  <c r="T936" i="1" s="1"/>
  <c r="Q936" i="1"/>
  <c r="U936" i="1"/>
  <c r="Y936" i="1" s="1"/>
  <c r="V936" i="1"/>
  <c r="W936" i="1"/>
  <c r="H937" i="1"/>
  <c r="R937" i="1" s="1"/>
  <c r="Q937" i="1"/>
  <c r="U937" i="1"/>
  <c r="X937" i="1" s="1"/>
  <c r="V937" i="1"/>
  <c r="W937" i="1"/>
  <c r="H938" i="1"/>
  <c r="R938" i="1" s="1"/>
  <c r="Q938" i="1"/>
  <c r="U938" i="1"/>
  <c r="X938" i="1" s="1"/>
  <c r="V938" i="1"/>
  <c r="W938" i="1"/>
  <c r="H939" i="1"/>
  <c r="S939" i="1" s="1"/>
  <c r="T939" i="1" s="1"/>
  <c r="Q939" i="1"/>
  <c r="U939" i="1"/>
  <c r="X939" i="1" s="1"/>
  <c r="V939" i="1"/>
  <c r="W939" i="1"/>
  <c r="H940" i="1"/>
  <c r="Q940" i="1"/>
  <c r="U940" i="1"/>
  <c r="Y940" i="1" s="1"/>
  <c r="V940" i="1"/>
  <c r="W940" i="1"/>
  <c r="H941" i="1"/>
  <c r="R941" i="1" s="1"/>
  <c r="Q941" i="1"/>
  <c r="U941" i="1"/>
  <c r="Y941" i="1" s="1"/>
  <c r="V941" i="1"/>
  <c r="W941" i="1"/>
  <c r="H942" i="1"/>
  <c r="S942" i="1" s="1"/>
  <c r="T942" i="1" s="1"/>
  <c r="Q942" i="1"/>
  <c r="U942" i="1"/>
  <c r="Y942" i="1" s="1"/>
  <c r="V942" i="1"/>
  <c r="W942" i="1"/>
  <c r="H943" i="1"/>
  <c r="R943" i="1" s="1"/>
  <c r="Q943" i="1"/>
  <c r="U943" i="1"/>
  <c r="X943" i="1" s="1"/>
  <c r="V943" i="1"/>
  <c r="W943" i="1"/>
  <c r="H944" i="1"/>
  <c r="S944" i="1" s="1"/>
  <c r="T944" i="1" s="1"/>
  <c r="Q944" i="1"/>
  <c r="U944" i="1"/>
  <c r="X944" i="1" s="1"/>
  <c r="V944" i="1"/>
  <c r="W944" i="1"/>
  <c r="H945" i="1"/>
  <c r="S945" i="1" s="1"/>
  <c r="T945" i="1" s="1"/>
  <c r="Q945" i="1"/>
  <c r="U945" i="1"/>
  <c r="X945" i="1" s="1"/>
  <c r="V945" i="1"/>
  <c r="W945" i="1"/>
  <c r="H946" i="1"/>
  <c r="Q946" i="1"/>
  <c r="U946" i="1"/>
  <c r="X946" i="1" s="1"/>
  <c r="V946" i="1"/>
  <c r="W946" i="1"/>
  <c r="H947" i="1"/>
  <c r="S947" i="1" s="1"/>
  <c r="T947" i="1" s="1"/>
  <c r="Q947" i="1"/>
  <c r="U947" i="1"/>
  <c r="Y947" i="1" s="1"/>
  <c r="V947" i="1"/>
  <c r="W947" i="1"/>
  <c r="H948" i="1"/>
  <c r="R948" i="1" s="1"/>
  <c r="Q948" i="1"/>
  <c r="U948" i="1"/>
  <c r="X948" i="1" s="1"/>
  <c r="V948" i="1"/>
  <c r="W948" i="1"/>
  <c r="H949" i="1"/>
  <c r="R949" i="1" s="1"/>
  <c r="Q949" i="1"/>
  <c r="U949" i="1"/>
  <c r="X949" i="1" s="1"/>
  <c r="V949" i="1"/>
  <c r="W949" i="1"/>
  <c r="H950" i="1"/>
  <c r="R950" i="1" s="1"/>
  <c r="Q950" i="1"/>
  <c r="U950" i="1"/>
  <c r="Y950" i="1" s="1"/>
  <c r="V950" i="1"/>
  <c r="W950" i="1"/>
  <c r="H951" i="1"/>
  <c r="R951" i="1" s="1"/>
  <c r="Q951" i="1"/>
  <c r="U951" i="1"/>
  <c r="X951" i="1" s="1"/>
  <c r="V951" i="1"/>
  <c r="W951" i="1"/>
  <c r="H952" i="1"/>
  <c r="S952" i="1" s="1"/>
  <c r="T952" i="1" s="1"/>
  <c r="Q952" i="1"/>
  <c r="U952" i="1"/>
  <c r="X952" i="1" s="1"/>
  <c r="V952" i="1"/>
  <c r="W952" i="1"/>
  <c r="H953" i="1"/>
  <c r="S953" i="1" s="1"/>
  <c r="T953" i="1" s="1"/>
  <c r="Q953" i="1"/>
  <c r="U953" i="1"/>
  <c r="X953" i="1" s="1"/>
  <c r="V953" i="1"/>
  <c r="W953" i="1"/>
  <c r="H954" i="1"/>
  <c r="S954" i="1" s="1"/>
  <c r="T954" i="1" s="1"/>
  <c r="Q954" i="1"/>
  <c r="U954" i="1"/>
  <c r="Y954" i="1" s="1"/>
  <c r="V954" i="1"/>
  <c r="W954" i="1"/>
  <c r="H955" i="1"/>
  <c r="R955" i="1" s="1"/>
  <c r="Q955" i="1"/>
  <c r="U955" i="1"/>
  <c r="X955" i="1" s="1"/>
  <c r="V955" i="1"/>
  <c r="W955" i="1"/>
  <c r="H956" i="1"/>
  <c r="S956" i="1" s="1"/>
  <c r="T956" i="1" s="1"/>
  <c r="Q956" i="1"/>
  <c r="U956" i="1"/>
  <c r="X956" i="1" s="1"/>
  <c r="V956" i="1"/>
  <c r="W956" i="1"/>
  <c r="H957" i="1"/>
  <c r="R957" i="1" s="1"/>
  <c r="Q957" i="1"/>
  <c r="U957" i="1"/>
  <c r="X957" i="1" s="1"/>
  <c r="V957" i="1"/>
  <c r="W957" i="1"/>
  <c r="H958" i="1"/>
  <c r="R958" i="1" s="1"/>
  <c r="Q958" i="1"/>
  <c r="U958" i="1"/>
  <c r="Y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X960" i="1" s="1"/>
  <c r="V960" i="1"/>
  <c r="W960" i="1"/>
  <c r="H961" i="1"/>
  <c r="R961" i="1" s="1"/>
  <c r="Q961" i="1"/>
  <c r="U961" i="1"/>
  <c r="X961" i="1" s="1"/>
  <c r="V961" i="1"/>
  <c r="W961" i="1"/>
  <c r="H962" i="1"/>
  <c r="S962" i="1" s="1"/>
  <c r="T962" i="1" s="1"/>
  <c r="Q962" i="1"/>
  <c r="U962" i="1"/>
  <c r="Y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X964" i="1" s="1"/>
  <c r="V964" i="1"/>
  <c r="W964" i="1"/>
  <c r="H965" i="1"/>
  <c r="S965" i="1" s="1"/>
  <c r="T965" i="1" s="1"/>
  <c r="Q965" i="1"/>
  <c r="U965" i="1"/>
  <c r="X965" i="1" s="1"/>
  <c r="V965" i="1"/>
  <c r="W965" i="1"/>
  <c r="H966" i="1"/>
  <c r="S966" i="1" s="1"/>
  <c r="T966" i="1" s="1"/>
  <c r="Q966" i="1"/>
  <c r="U966" i="1"/>
  <c r="Y966" i="1" s="1"/>
  <c r="V966" i="1"/>
  <c r="W966" i="1"/>
  <c r="H967" i="1"/>
  <c r="R967" i="1" s="1"/>
  <c r="Q967" i="1"/>
  <c r="U967" i="1"/>
  <c r="X967" i="1" s="1"/>
  <c r="V967" i="1"/>
  <c r="W967" i="1"/>
  <c r="H968" i="1"/>
  <c r="R968" i="1" s="1"/>
  <c r="Q968" i="1"/>
  <c r="U968" i="1"/>
  <c r="X968" i="1" s="1"/>
  <c r="V968" i="1"/>
  <c r="W968" i="1"/>
  <c r="H969" i="1"/>
  <c r="R969" i="1" s="1"/>
  <c r="Q969" i="1"/>
  <c r="U969" i="1"/>
  <c r="X969" i="1" s="1"/>
  <c r="V969" i="1"/>
  <c r="W969" i="1"/>
  <c r="H970" i="1"/>
  <c r="S970" i="1" s="1"/>
  <c r="T970" i="1" s="1"/>
  <c r="Q970" i="1"/>
  <c r="U970" i="1"/>
  <c r="Y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X972" i="1" s="1"/>
  <c r="V972" i="1"/>
  <c r="W972" i="1"/>
  <c r="H973" i="1"/>
  <c r="R973" i="1" s="1"/>
  <c r="Q973" i="1"/>
  <c r="U973" i="1"/>
  <c r="X973" i="1" s="1"/>
  <c r="V973" i="1"/>
  <c r="W973" i="1"/>
  <c r="H974" i="1"/>
  <c r="R974" i="1" s="1"/>
  <c r="Q974" i="1"/>
  <c r="U974" i="1"/>
  <c r="Y974" i="1" s="1"/>
  <c r="V974" i="1"/>
  <c r="W974" i="1"/>
  <c r="H975" i="1"/>
  <c r="R975" i="1" s="1"/>
  <c r="Q975" i="1"/>
  <c r="U975" i="1"/>
  <c r="Y975" i="1" s="1"/>
  <c r="V975" i="1"/>
  <c r="W975" i="1"/>
  <c r="H976" i="1"/>
  <c r="R976" i="1" s="1"/>
  <c r="Q976" i="1"/>
  <c r="U976" i="1"/>
  <c r="X976" i="1" s="1"/>
  <c r="V976" i="1"/>
  <c r="W976" i="1"/>
  <c r="H977" i="1"/>
  <c r="S977" i="1" s="1"/>
  <c r="T977" i="1" s="1"/>
  <c r="Q977" i="1"/>
  <c r="U977" i="1"/>
  <c r="X977" i="1" s="1"/>
  <c r="V977" i="1"/>
  <c r="W977" i="1"/>
  <c r="H978" i="1"/>
  <c r="S978" i="1" s="1"/>
  <c r="T978" i="1" s="1"/>
  <c r="Q978" i="1"/>
  <c r="U978" i="1"/>
  <c r="Y978" i="1" s="1"/>
  <c r="V978" i="1"/>
  <c r="W978" i="1"/>
  <c r="H979" i="1"/>
  <c r="R979" i="1" s="1"/>
  <c r="Q979" i="1"/>
  <c r="U979" i="1"/>
  <c r="X979" i="1" s="1"/>
  <c r="V979" i="1"/>
  <c r="W979" i="1"/>
  <c r="H980" i="1"/>
  <c r="S980" i="1" s="1"/>
  <c r="T980" i="1" s="1"/>
  <c r="Q980" i="1"/>
  <c r="U980" i="1"/>
  <c r="X980" i="1" s="1"/>
  <c r="V980" i="1"/>
  <c r="W980" i="1"/>
  <c r="H981" i="1"/>
  <c r="R981" i="1" s="1"/>
  <c r="Q981" i="1"/>
  <c r="U981" i="1"/>
  <c r="X981" i="1" s="1"/>
  <c r="V981" i="1"/>
  <c r="W981" i="1"/>
  <c r="H982" i="1"/>
  <c r="R982" i="1" s="1"/>
  <c r="Q982" i="1"/>
  <c r="U982" i="1"/>
  <c r="Y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X984" i="1" s="1"/>
  <c r="V984" i="1"/>
  <c r="W984" i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H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0" i="1"/>
  <c r="V860" i="1"/>
  <c r="U860" i="1"/>
  <c r="Y860" i="1" s="1"/>
  <c r="Q860" i="1"/>
  <c r="H860" i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X997" i="1" l="1"/>
  <c r="Z997" i="1" s="1"/>
  <c r="X1001" i="1"/>
  <c r="Z1001" i="1" s="1"/>
  <c r="X996" i="1"/>
  <c r="X1004" i="1"/>
  <c r="Z1004" i="1" s="1"/>
  <c r="X995" i="1"/>
  <c r="R997" i="1"/>
  <c r="X1003" i="1"/>
  <c r="Z1003" i="1" s="1"/>
  <c r="X1002" i="1"/>
  <c r="Z1002" i="1" s="1"/>
  <c r="R1004" i="1"/>
  <c r="S1003" i="1"/>
  <c r="T1003" i="1" s="1"/>
  <c r="R1002" i="1"/>
  <c r="R1001" i="1"/>
  <c r="X1000" i="1"/>
  <c r="Z1000" i="1" s="1"/>
  <c r="S1000" i="1"/>
  <c r="T1000" i="1" s="1"/>
  <c r="S999" i="1"/>
  <c r="T999" i="1" s="1"/>
  <c r="Z999" i="1"/>
  <c r="S998" i="1"/>
  <c r="T998" i="1" s="1"/>
  <c r="Z998" i="1"/>
  <c r="S996" i="1"/>
  <c r="T996" i="1" s="1"/>
  <c r="Z996" i="1"/>
  <c r="Z995" i="1"/>
  <c r="R995" i="1"/>
  <c r="X994" i="1"/>
  <c r="Z994" i="1" s="1"/>
  <c r="S994" i="1"/>
  <c r="T994" i="1" s="1"/>
  <c r="R992" i="1"/>
  <c r="X990" i="1"/>
  <c r="Z990" i="1" s="1"/>
  <c r="R59" i="1"/>
  <c r="X993" i="1"/>
  <c r="Z993" i="1" s="1"/>
  <c r="S82" i="1"/>
  <c r="T82" i="1" s="1"/>
  <c r="X992" i="1"/>
  <c r="Z992" i="1" s="1"/>
  <c r="R993" i="1"/>
  <c r="X991" i="1"/>
  <c r="Z991" i="1" s="1"/>
  <c r="S991" i="1"/>
  <c r="T991" i="1" s="1"/>
  <c r="S990" i="1"/>
  <c r="T990" i="1" s="1"/>
  <c r="R83" i="1"/>
  <c r="Z47" i="1"/>
  <c r="AI47" i="1" s="1"/>
  <c r="Z41" i="1"/>
  <c r="AI41" i="1" s="1"/>
  <c r="R50" i="1"/>
  <c r="S787" i="1"/>
  <c r="T787" i="1" s="1"/>
  <c r="X920" i="1"/>
  <c r="Z920" i="1" s="1"/>
  <c r="X950" i="1"/>
  <c r="X839" i="1"/>
  <c r="Z839" i="1" s="1"/>
  <c r="R42" i="1"/>
  <c r="S93" i="1"/>
  <c r="T93" i="1" s="1"/>
  <c r="X975" i="1"/>
  <c r="Z975" i="1" s="1"/>
  <c r="Z885" i="1"/>
  <c r="R918" i="1"/>
  <c r="Z910" i="1"/>
  <c r="X865" i="1"/>
  <c r="S829" i="1"/>
  <c r="T829" i="1" s="1"/>
  <c r="Z805" i="1"/>
  <c r="R66" i="1"/>
  <c r="X611" i="1"/>
  <c r="Z611" i="1" s="1"/>
  <c r="R58" i="1"/>
  <c r="X989" i="1"/>
  <c r="Z989" i="1" s="1"/>
  <c r="R906" i="1"/>
  <c r="X988" i="1"/>
  <c r="Z988" i="1" s="1"/>
  <c r="Z856" i="1"/>
  <c r="Z787" i="1"/>
  <c r="X987" i="1"/>
  <c r="Z987" i="1" s="1"/>
  <c r="R123" i="1"/>
  <c r="S857" i="1"/>
  <c r="T857" i="1" s="1"/>
  <c r="Y797" i="1"/>
  <c r="S98" i="1"/>
  <c r="T98" i="1" s="1"/>
  <c r="R51" i="1"/>
  <c r="R988" i="1"/>
  <c r="R989" i="1"/>
  <c r="S987" i="1"/>
  <c r="T987" i="1" s="1"/>
  <c r="X962" i="1"/>
  <c r="Z962" i="1" s="1"/>
  <c r="Z961" i="1"/>
  <c r="R888" i="1"/>
  <c r="S885" i="1"/>
  <c r="T885" i="1" s="1"/>
  <c r="S841" i="1"/>
  <c r="T841" i="1" s="1"/>
  <c r="X146" i="1"/>
  <c r="Z146" i="1" s="1"/>
  <c r="AI146" i="1" s="1"/>
  <c r="Z69" i="1"/>
  <c r="AI69" i="1" s="1"/>
  <c r="Z946" i="1"/>
  <c r="Z925" i="1"/>
  <c r="Z919" i="1"/>
  <c r="Z838" i="1"/>
  <c r="Y448" i="1"/>
  <c r="S69" i="1"/>
  <c r="T69" i="1" s="1"/>
  <c r="Z108" i="1"/>
  <c r="AI108" i="1" s="1"/>
  <c r="S883" i="1"/>
  <c r="T883" i="1" s="1"/>
  <c r="Y777" i="1"/>
  <c r="R111" i="1"/>
  <c r="Z42" i="1"/>
  <c r="AI42" i="1" s="1"/>
  <c r="Z957" i="1"/>
  <c r="Z948" i="1"/>
  <c r="Y858" i="1"/>
  <c r="Y814" i="1"/>
  <c r="S90" i="1"/>
  <c r="T90" i="1" s="1"/>
  <c r="S957" i="1"/>
  <c r="T957" i="1" s="1"/>
  <c r="R954" i="1"/>
  <c r="S948" i="1"/>
  <c r="T948" i="1" s="1"/>
  <c r="R945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4" i="1"/>
  <c r="T974" i="1" s="1"/>
  <c r="Z825" i="1"/>
  <c r="X801" i="1"/>
  <c r="Z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5" i="1"/>
  <c r="Z930" i="1"/>
  <c r="S919" i="1"/>
  <c r="T919" i="1" s="1"/>
  <c r="R910" i="1"/>
  <c r="R907" i="1"/>
  <c r="Z886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6" i="1"/>
  <c r="T946" i="1" s="1"/>
  <c r="Y938" i="1"/>
  <c r="Y791" i="1"/>
  <c r="X618" i="1"/>
  <c r="Z618" i="1" s="1"/>
  <c r="Y617" i="1"/>
  <c r="X610" i="1"/>
  <c r="Z610" i="1" s="1"/>
  <c r="Y443" i="1"/>
  <c r="Y92" i="1"/>
  <c r="R54" i="1"/>
  <c r="S979" i="1"/>
  <c r="T979" i="1" s="1"/>
  <c r="Z956" i="1"/>
  <c r="R946" i="1"/>
  <c r="X915" i="1"/>
  <c r="Z915" i="1" s="1"/>
  <c r="Z899" i="1"/>
  <c r="Y876" i="1"/>
  <c r="S866" i="1"/>
  <c r="T866" i="1" s="1"/>
  <c r="S830" i="1"/>
  <c r="T830" i="1" s="1"/>
  <c r="Z827" i="1"/>
  <c r="S825" i="1"/>
  <c r="T825" i="1" s="1"/>
  <c r="Z804" i="1"/>
  <c r="S777" i="1"/>
  <c r="T777" i="1" s="1"/>
  <c r="X127" i="1"/>
  <c r="Z127" i="1" s="1"/>
  <c r="AI127" i="1" s="1"/>
  <c r="S110" i="1"/>
  <c r="T110" i="1" s="1"/>
  <c r="R101" i="1"/>
  <c r="Z88" i="1"/>
  <c r="AI88" i="1" s="1"/>
  <c r="Z980" i="1"/>
  <c r="R956" i="1"/>
  <c r="R905" i="1"/>
  <c r="X903" i="1"/>
  <c r="Z903" i="1" s="1"/>
  <c r="S899" i="1"/>
  <c r="T899" i="1" s="1"/>
  <c r="X894" i="1"/>
  <c r="Z875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0" i="1"/>
  <c r="R863" i="1"/>
  <c r="S816" i="1"/>
  <c r="T816" i="1" s="1"/>
  <c r="R106" i="1"/>
  <c r="S99" i="1"/>
  <c r="T99" i="1" s="1"/>
  <c r="S92" i="1"/>
  <c r="T92" i="1" s="1"/>
  <c r="R55" i="1"/>
  <c r="R46" i="1"/>
  <c r="Y964" i="1"/>
  <c r="Z448" i="1"/>
  <c r="AI448" i="1" s="1"/>
  <c r="Y88" i="1"/>
  <c r="Z937" i="1"/>
  <c r="S930" i="1"/>
  <c r="T930" i="1" s="1"/>
  <c r="R912" i="1"/>
  <c r="Z893" i="1"/>
  <c r="X137" i="1"/>
  <c r="Z137" i="1" s="1"/>
  <c r="AI137" i="1" s="1"/>
  <c r="X131" i="1"/>
  <c r="Z131" i="1" s="1"/>
  <c r="AI131" i="1" s="1"/>
  <c r="Y128" i="1"/>
  <c r="R112" i="1"/>
  <c r="R107" i="1"/>
  <c r="Z981" i="1"/>
  <c r="Z969" i="1"/>
  <c r="X966" i="1"/>
  <c r="Z966" i="1" s="1"/>
  <c r="Z965" i="1"/>
  <c r="S958" i="1"/>
  <c r="T958" i="1" s="1"/>
  <c r="Y951" i="1"/>
  <c r="S949" i="1"/>
  <c r="T949" i="1" s="1"/>
  <c r="Z944" i="1"/>
  <c r="S941" i="1"/>
  <c r="T941" i="1" s="1"/>
  <c r="S937" i="1"/>
  <c r="T937" i="1" s="1"/>
  <c r="R936" i="1"/>
  <c r="Z928" i="1"/>
  <c r="Z921" i="1"/>
  <c r="R908" i="1"/>
  <c r="S893" i="1"/>
  <c r="T893" i="1" s="1"/>
  <c r="X881" i="1"/>
  <c r="Z881" i="1" s="1"/>
  <c r="Y877" i="1"/>
  <c r="R875" i="1"/>
  <c r="Y986" i="1"/>
  <c r="Z864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1" i="1"/>
  <c r="T981" i="1" s="1"/>
  <c r="X978" i="1"/>
  <c r="Z978" i="1" s="1"/>
  <c r="S969" i="1"/>
  <c r="T969" i="1" s="1"/>
  <c r="R965" i="1"/>
  <c r="Y939" i="1"/>
  <c r="Y928" i="1"/>
  <c r="S917" i="1"/>
  <c r="T917" i="1" s="1"/>
  <c r="S913" i="1"/>
  <c r="T913" i="1" s="1"/>
  <c r="S909" i="1"/>
  <c r="T909" i="1" s="1"/>
  <c r="X902" i="1"/>
  <c r="Z902" i="1" s="1"/>
  <c r="Z901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4" i="1"/>
  <c r="Z974" i="1" s="1"/>
  <c r="Y967" i="1"/>
  <c r="Y929" i="1"/>
  <c r="X882" i="1"/>
  <c r="Z882" i="1" s="1"/>
  <c r="Y878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79" i="1"/>
  <c r="Z877" i="1"/>
  <c r="R873" i="1"/>
  <c r="Y864" i="1"/>
  <c r="Z855" i="1"/>
  <c r="Z777" i="1"/>
  <c r="S610" i="1"/>
  <c r="T610" i="1" s="1"/>
  <c r="S121" i="1"/>
  <c r="T121" i="1" s="1"/>
  <c r="Z89" i="1"/>
  <c r="AI89" i="1" s="1"/>
  <c r="Z72" i="1"/>
  <c r="AI72" i="1" s="1"/>
  <c r="R978" i="1"/>
  <c r="S955" i="1"/>
  <c r="T955" i="1" s="1"/>
  <c r="Z952" i="1"/>
  <c r="Z943" i="1"/>
  <c r="Y897" i="1"/>
  <c r="Z878" i="1"/>
  <c r="R855" i="1"/>
  <c r="R780" i="1"/>
  <c r="X136" i="1"/>
  <c r="Z136" i="1" s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2" i="1"/>
  <c r="Z883" i="1"/>
  <c r="Y820" i="1"/>
  <c r="Y817" i="1"/>
  <c r="X798" i="1"/>
  <c r="Z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7" i="1"/>
  <c r="R966" i="1"/>
  <c r="R953" i="1"/>
  <c r="Z938" i="1"/>
  <c r="Y912" i="1"/>
  <c r="X912" i="1"/>
  <c r="Z912" i="1" s="1"/>
  <c r="S856" i="1"/>
  <c r="T856" i="1" s="1"/>
  <c r="R856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6" i="1"/>
  <c r="T886" i="1" s="1"/>
  <c r="S861" i="1"/>
  <c r="T861" i="1" s="1"/>
  <c r="Y856" i="1"/>
  <c r="X854" i="1"/>
  <c r="Z854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7" i="1"/>
  <c r="X934" i="1"/>
  <c r="Z934" i="1" s="1"/>
  <c r="Z933" i="1"/>
  <c r="R930" i="1"/>
  <c r="S929" i="1"/>
  <c r="T929" i="1" s="1"/>
  <c r="S927" i="1"/>
  <c r="T927" i="1" s="1"/>
  <c r="R926" i="1"/>
  <c r="S925" i="1"/>
  <c r="T925" i="1" s="1"/>
  <c r="S914" i="1"/>
  <c r="T914" i="1" s="1"/>
  <c r="X905" i="1"/>
  <c r="Z905" i="1" s="1"/>
  <c r="Y904" i="1"/>
  <c r="Y883" i="1"/>
  <c r="X985" i="1"/>
  <c r="Z985" i="1" s="1"/>
  <c r="Y863" i="1"/>
  <c r="X863" i="1"/>
  <c r="Z863" i="1" s="1"/>
  <c r="S862" i="1"/>
  <c r="T862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X147" i="1"/>
  <c r="Z147" i="1" s="1"/>
  <c r="AI147" i="1" s="1"/>
  <c r="Y147" i="1"/>
  <c r="R142" i="1"/>
  <c r="S142" i="1"/>
  <c r="T142" i="1" s="1"/>
  <c r="R140" i="1"/>
  <c r="S140" i="1"/>
  <c r="T140" i="1" s="1"/>
  <c r="S982" i="1"/>
  <c r="T982" i="1" s="1"/>
  <c r="Z973" i="1"/>
  <c r="Z972" i="1"/>
  <c r="S971" i="1"/>
  <c r="T971" i="1" s="1"/>
  <c r="R970" i="1"/>
  <c r="S961" i="1"/>
  <c r="T961" i="1" s="1"/>
  <c r="S943" i="1"/>
  <c r="T943" i="1" s="1"/>
  <c r="X936" i="1"/>
  <c r="S933" i="1"/>
  <c r="T933" i="1" s="1"/>
  <c r="S922" i="1"/>
  <c r="T922" i="1" s="1"/>
  <c r="S921" i="1"/>
  <c r="T921" i="1" s="1"/>
  <c r="Y910" i="1"/>
  <c r="Y908" i="1"/>
  <c r="S901" i="1"/>
  <c r="T901" i="1" s="1"/>
  <c r="Y892" i="1"/>
  <c r="R890" i="1"/>
  <c r="Y887" i="1"/>
  <c r="Y884" i="1"/>
  <c r="S877" i="1"/>
  <c r="T877" i="1" s="1"/>
  <c r="R865" i="1"/>
  <c r="R785" i="1"/>
  <c r="S785" i="1"/>
  <c r="T785" i="1" s="1"/>
  <c r="Y783" i="1"/>
  <c r="X783" i="1"/>
  <c r="R451" i="1"/>
  <c r="S451" i="1"/>
  <c r="T451" i="1" s="1"/>
  <c r="Y446" i="1"/>
  <c r="X446" i="1"/>
  <c r="Z446" i="1" s="1"/>
  <c r="AI446" i="1" s="1"/>
  <c r="S973" i="1"/>
  <c r="T973" i="1" s="1"/>
  <c r="R972" i="1"/>
  <c r="Y959" i="1"/>
  <c r="X958" i="1"/>
  <c r="Z958" i="1" s="1"/>
  <c r="Z949" i="1"/>
  <c r="X947" i="1"/>
  <c r="Z947" i="1" s="1"/>
  <c r="Y946" i="1"/>
  <c r="R944" i="1"/>
  <c r="X941" i="1"/>
  <c r="Z941" i="1" s="1"/>
  <c r="Y931" i="1"/>
  <c r="Y930" i="1"/>
  <c r="R928" i="1"/>
  <c r="Y923" i="1"/>
  <c r="Z922" i="1"/>
  <c r="Y911" i="1"/>
  <c r="S896" i="1"/>
  <c r="T896" i="1" s="1"/>
  <c r="S891" i="1"/>
  <c r="T891" i="1" s="1"/>
  <c r="X888" i="1"/>
  <c r="Z888" i="1" s="1"/>
  <c r="Y886" i="1"/>
  <c r="Y885" i="1"/>
  <c r="X873" i="1"/>
  <c r="X872" i="1"/>
  <c r="Z872" i="1" s="1"/>
  <c r="S864" i="1"/>
  <c r="T864" i="1" s="1"/>
  <c r="Y859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4" i="1"/>
  <c r="S963" i="1"/>
  <c r="T963" i="1" s="1"/>
  <c r="R962" i="1"/>
  <c r="Y956" i="1"/>
  <c r="X954" i="1"/>
  <c r="Z954" i="1" s="1"/>
  <c r="Y922" i="1"/>
  <c r="X918" i="1"/>
  <c r="Z918" i="1" s="1"/>
  <c r="X909" i="1"/>
  <c r="Z909" i="1" s="1"/>
  <c r="Y909" i="1"/>
  <c r="S880" i="1"/>
  <c r="T880" i="1" s="1"/>
  <c r="R876" i="1"/>
  <c r="R864" i="1"/>
  <c r="R833" i="1"/>
  <c r="X821" i="1"/>
  <c r="Z821" i="1" s="1"/>
  <c r="Y821" i="1"/>
  <c r="Z819" i="1"/>
  <c r="R126" i="1"/>
  <c r="S126" i="1"/>
  <c r="T126" i="1" s="1"/>
  <c r="Z126" i="1"/>
  <c r="AI126" i="1" s="1"/>
  <c r="Y983" i="1"/>
  <c r="X982" i="1"/>
  <c r="Z982" i="1" s="1"/>
  <c r="Y980" i="1"/>
  <c r="Z977" i="1"/>
  <c r="R964" i="1"/>
  <c r="Z953" i="1"/>
  <c r="Y944" i="1"/>
  <c r="S938" i="1"/>
  <c r="T938" i="1" s="1"/>
  <c r="S935" i="1"/>
  <c r="T935" i="1" s="1"/>
  <c r="X926" i="1"/>
  <c r="Z926" i="1" s="1"/>
  <c r="Y925" i="1"/>
  <c r="X924" i="1"/>
  <c r="Z924" i="1" s="1"/>
  <c r="Y901" i="1"/>
  <c r="R898" i="1"/>
  <c r="Y889" i="1"/>
  <c r="S881" i="1"/>
  <c r="T881" i="1" s="1"/>
  <c r="S878" i="1"/>
  <c r="T878" i="1" s="1"/>
  <c r="R878" i="1"/>
  <c r="Z876" i="1"/>
  <c r="S854" i="1"/>
  <c r="T854" i="1" s="1"/>
  <c r="R854" i="1"/>
  <c r="Y805" i="1"/>
  <c r="Y785" i="1"/>
  <c r="X784" i="1"/>
  <c r="Z784" i="1" s="1"/>
  <c r="Y784" i="1"/>
  <c r="R614" i="1"/>
  <c r="S614" i="1"/>
  <c r="T614" i="1" s="1"/>
  <c r="Y607" i="1"/>
  <c r="X970" i="1"/>
  <c r="Z970" i="1" s="1"/>
  <c r="Y943" i="1"/>
  <c r="S934" i="1"/>
  <c r="T934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29" i="1"/>
  <c r="Z917" i="1"/>
  <c r="Z866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S986" i="1"/>
  <c r="T986" i="1" s="1"/>
  <c r="Z986" i="1"/>
  <c r="Z950" i="1"/>
  <c r="R916" i="1"/>
  <c r="S916" i="1"/>
  <c r="T916" i="1" s="1"/>
  <c r="R915" i="1"/>
  <c r="R911" i="1"/>
  <c r="Z911" i="1"/>
  <c r="S911" i="1"/>
  <c r="T911" i="1" s="1"/>
  <c r="X900" i="1"/>
  <c r="Z900" i="1" s="1"/>
  <c r="Y900" i="1"/>
  <c r="X891" i="1"/>
  <c r="Z891" i="1" s="1"/>
  <c r="Y891" i="1"/>
  <c r="X862" i="1"/>
  <c r="Z862" i="1" s="1"/>
  <c r="X857" i="1"/>
  <c r="Z857" i="1" s="1"/>
  <c r="Y857" i="1"/>
  <c r="R832" i="1"/>
  <c r="R779" i="1"/>
  <c r="S779" i="1"/>
  <c r="T779" i="1" s="1"/>
  <c r="Y977" i="1"/>
  <c r="Y969" i="1"/>
  <c r="Y961" i="1"/>
  <c r="Y953" i="1"/>
  <c r="X913" i="1"/>
  <c r="Z913" i="1" s="1"/>
  <c r="Z889" i="1"/>
  <c r="R889" i="1"/>
  <c r="S889" i="1"/>
  <c r="T889" i="1" s="1"/>
  <c r="S884" i="1"/>
  <c r="T884" i="1" s="1"/>
  <c r="Z884" i="1"/>
  <c r="R884" i="1"/>
  <c r="X853" i="1"/>
  <c r="Z853" i="1" s="1"/>
  <c r="Y853" i="1"/>
  <c r="X835" i="1"/>
  <c r="Z835" i="1" s="1"/>
  <c r="Y816" i="1"/>
  <c r="X816" i="1"/>
  <c r="Z816" i="1" s="1"/>
  <c r="S812" i="1"/>
  <c r="T812" i="1" s="1"/>
  <c r="R812" i="1"/>
  <c r="S984" i="1"/>
  <c r="T984" i="1" s="1"/>
  <c r="Z979" i="1"/>
  <c r="S976" i="1"/>
  <c r="T976" i="1" s="1"/>
  <c r="Z971" i="1"/>
  <c r="S968" i="1"/>
  <c r="T968" i="1" s="1"/>
  <c r="Z963" i="1"/>
  <c r="S960" i="1"/>
  <c r="T960" i="1" s="1"/>
  <c r="Z955" i="1"/>
  <c r="R952" i="1"/>
  <c r="X942" i="1"/>
  <c r="Z942" i="1" s="1"/>
  <c r="S940" i="1"/>
  <c r="T940" i="1" s="1"/>
  <c r="Z936" i="1"/>
  <c r="R934" i="1"/>
  <c r="R924" i="1"/>
  <c r="S924" i="1"/>
  <c r="T924" i="1" s="1"/>
  <c r="R923" i="1"/>
  <c r="Z923" i="1"/>
  <c r="Y917" i="1"/>
  <c r="X916" i="1"/>
  <c r="Z916" i="1" s="1"/>
  <c r="Z897" i="1"/>
  <c r="R897" i="1"/>
  <c r="S882" i="1"/>
  <c r="T882" i="1" s="1"/>
  <c r="R882" i="1"/>
  <c r="R823" i="1"/>
  <c r="S823" i="1"/>
  <c r="T823" i="1" s="1"/>
  <c r="R822" i="1"/>
  <c r="Z822" i="1"/>
  <c r="R814" i="1"/>
  <c r="Z814" i="1"/>
  <c r="S814" i="1"/>
  <c r="T814" i="1" s="1"/>
  <c r="Z984" i="1"/>
  <c r="Y979" i="1"/>
  <c r="Z976" i="1"/>
  <c r="Y971" i="1"/>
  <c r="Z968" i="1"/>
  <c r="Y963" i="1"/>
  <c r="Z960" i="1"/>
  <c r="Y955" i="1"/>
  <c r="Y949" i="1"/>
  <c r="R940" i="1"/>
  <c r="R902" i="1"/>
  <c r="S902" i="1"/>
  <c r="T902" i="1" s="1"/>
  <c r="S874" i="1"/>
  <c r="T874" i="1" s="1"/>
  <c r="R874" i="1"/>
  <c r="X831" i="1"/>
  <c r="Z831" i="1" s="1"/>
  <c r="Y831" i="1"/>
  <c r="S802" i="1"/>
  <c r="T802" i="1" s="1"/>
  <c r="R802" i="1"/>
  <c r="Y793" i="1"/>
  <c r="X793" i="1"/>
  <c r="Z793" i="1" s="1"/>
  <c r="Y984" i="1"/>
  <c r="Y976" i="1"/>
  <c r="Y968" i="1"/>
  <c r="Y960" i="1"/>
  <c r="Y952" i="1"/>
  <c r="S951" i="1"/>
  <c r="T951" i="1" s="1"/>
  <c r="Y945" i="1"/>
  <c r="R932" i="1"/>
  <c r="S932" i="1"/>
  <c r="T932" i="1" s="1"/>
  <c r="R931" i="1"/>
  <c r="Z931" i="1"/>
  <c r="Y914" i="1"/>
  <c r="X914" i="1"/>
  <c r="Z914" i="1" s="1"/>
  <c r="R824" i="1"/>
  <c r="S824" i="1"/>
  <c r="T824" i="1" s="1"/>
  <c r="X811" i="1"/>
  <c r="Z811" i="1" s="1"/>
  <c r="Y811" i="1"/>
  <c r="S983" i="1"/>
  <c r="T983" i="1" s="1"/>
  <c r="Y981" i="1"/>
  <c r="S975" i="1"/>
  <c r="T975" i="1" s="1"/>
  <c r="Y973" i="1"/>
  <c r="S967" i="1"/>
  <c r="T967" i="1" s="1"/>
  <c r="Y965" i="1"/>
  <c r="S959" i="1"/>
  <c r="T959" i="1" s="1"/>
  <c r="Y957" i="1"/>
  <c r="Z951" i="1"/>
  <c r="Y948" i="1"/>
  <c r="X940" i="1"/>
  <c r="Z940" i="1" s="1"/>
  <c r="R939" i="1"/>
  <c r="Z939" i="1"/>
  <c r="X927" i="1"/>
  <c r="Z927" i="1" s="1"/>
  <c r="Y927" i="1"/>
  <c r="Y896" i="1"/>
  <c r="X896" i="1"/>
  <c r="Z896" i="1" s="1"/>
  <c r="S892" i="1"/>
  <c r="T892" i="1" s="1"/>
  <c r="Z892" i="1"/>
  <c r="R892" i="1"/>
  <c r="Y866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3" i="1"/>
  <c r="Z967" i="1"/>
  <c r="Z959" i="1"/>
  <c r="S950" i="1"/>
  <c r="T950" i="1" s="1"/>
  <c r="Y933" i="1"/>
  <c r="X932" i="1"/>
  <c r="Z932" i="1" s="1"/>
  <c r="Y921" i="1"/>
  <c r="R920" i="1"/>
  <c r="S915" i="1"/>
  <c r="T915" i="1" s="1"/>
  <c r="R894" i="1"/>
  <c r="Z894" i="1"/>
  <c r="S894" i="1"/>
  <c r="T894" i="1" s="1"/>
  <c r="Y819" i="1"/>
  <c r="Z817" i="1"/>
  <c r="R817" i="1"/>
  <c r="Y795" i="1"/>
  <c r="X795" i="1"/>
  <c r="Z795" i="1" s="1"/>
  <c r="R947" i="1"/>
  <c r="R942" i="1"/>
  <c r="X935" i="1"/>
  <c r="Z935" i="1" s="1"/>
  <c r="Y935" i="1"/>
  <c r="X907" i="1"/>
  <c r="Z907" i="1" s="1"/>
  <c r="Y907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08" i="1"/>
  <c r="S904" i="1"/>
  <c r="T904" i="1" s="1"/>
  <c r="X898" i="1"/>
  <c r="Z898" i="1" s="1"/>
  <c r="Y893" i="1"/>
  <c r="X874" i="1"/>
  <c r="Z874" i="1" s="1"/>
  <c r="Z873" i="1"/>
  <c r="S872" i="1"/>
  <c r="T872" i="1" s="1"/>
  <c r="Z865" i="1"/>
  <c r="X861" i="1"/>
  <c r="Z861" i="1" s="1"/>
  <c r="R859" i="1"/>
  <c r="Z859" i="1"/>
  <c r="S858" i="1"/>
  <c r="T858" i="1" s="1"/>
  <c r="Y855" i="1"/>
  <c r="S853" i="1"/>
  <c r="T853" i="1" s="1"/>
  <c r="Y813" i="1"/>
  <c r="R807" i="1"/>
  <c r="Z807" i="1"/>
  <c r="X802" i="1"/>
  <c r="Z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4" i="1"/>
  <c r="R900" i="1"/>
  <c r="R887" i="1"/>
  <c r="Z887" i="1"/>
  <c r="Z858" i="1"/>
  <c r="R837" i="1"/>
  <c r="R826" i="1"/>
  <c r="R806" i="1"/>
  <c r="Y619" i="1"/>
  <c r="X619" i="1"/>
  <c r="Z619" i="1" s="1"/>
  <c r="R985" i="1"/>
  <c r="X789" i="1"/>
  <c r="Z789" i="1" s="1"/>
  <c r="Y789" i="1"/>
  <c r="R445" i="1"/>
  <c r="S445" i="1"/>
  <c r="T445" i="1" s="1"/>
  <c r="R903" i="1"/>
  <c r="R895" i="1"/>
  <c r="Z895" i="1"/>
  <c r="R815" i="1"/>
  <c r="Z815" i="1"/>
  <c r="Y919" i="1"/>
  <c r="Y899" i="1"/>
  <c r="Y895" i="1"/>
  <c r="R840" i="1"/>
  <c r="Y825" i="1"/>
  <c r="Y815" i="1"/>
  <c r="S796" i="1"/>
  <c r="T796" i="1" s="1"/>
  <c r="Z796" i="1"/>
  <c r="R795" i="1"/>
  <c r="R792" i="1"/>
  <c r="R783" i="1"/>
  <c r="Z783" i="1"/>
  <c r="S783" i="1"/>
  <c r="T783" i="1" s="1"/>
  <c r="R782" i="1"/>
  <c r="Z782" i="1"/>
  <c r="X779" i="1"/>
  <c r="Z779" i="1" s="1"/>
  <c r="R616" i="1"/>
  <c r="Z616" i="1"/>
  <c r="S616" i="1"/>
  <c r="T616" i="1" s="1"/>
  <c r="X906" i="1"/>
  <c r="Z906" i="1" s="1"/>
  <c r="X890" i="1"/>
  <c r="Z890" i="1" s="1"/>
  <c r="X880" i="1"/>
  <c r="Z880" i="1" s="1"/>
  <c r="R879" i="1"/>
  <c r="Z879" i="1"/>
  <c r="Y875" i="1"/>
  <c r="S859" i="1"/>
  <c r="T859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1" i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R860" i="1"/>
  <c r="S860" i="1"/>
  <c r="T860" i="1" s="1"/>
  <c r="X860" i="1"/>
  <c r="Z860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W834" i="1" l="1"/>
  <c r="V834" i="1"/>
  <c r="U834" i="1"/>
  <c r="Y834" i="1" s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T115" i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<sst xmlns="http://schemas.openxmlformats.org/spreadsheetml/2006/main" count="30957" uniqueCount="5292">
  <si>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</si>
  <si>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</si>
  <si>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</si>
  <si>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</si>
  <si>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</si>
  <si>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</si>
  <si>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</si>
  <si>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</si>
  <si>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</si>
  <si>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</si>
  <si>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</si>
  <si>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</si>
  <si>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</si>
  <si>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</si>
  <si>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</si>
  <si>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</si>
  <si>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</si>
  <si>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</si>
  <si>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</si>
  <si>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</si>
  <si>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</si>
  <si>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</si>
  <si>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</si>
  <si>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</si>
  <si>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</si>
  <si>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</si>
  <si>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</si>
  <si>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</si>
  <si>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</si>
  <si>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</si>
  <si>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</si>
  <si>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</si>
  <si>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</si>
  <si>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</si>
  <si>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</si>
  <si>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</si>
  <si>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</si>
  <si>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</si>
  <si>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</si>
  <si>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</si>
  <si>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</si>
  <si>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</si>
  <si>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</si>
  <si>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</si>
  <si>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</si>
  <si>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</si>
  <si>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</si>
  <si>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</si>
  <si>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</si>
  <si>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</si>
  <si>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</si>
  <si>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</si>
  <si>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</si>
  <si>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</si>
  <si>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</si>
  <si>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</si>
  <si>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</si>
  <si>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</si>
  <si>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</si>
  <si>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</si>
  <si>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</si>
  <si>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</si>
  <si>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</si>
  <si>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</si>
  <si>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</si>
  <si>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</si>
  <si>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</si>
  <si>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</si>
  <si>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</si>
  <si>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</si>
  <si>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</si>
  <si>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</si>
  <si>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</si>
  <si>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</si>
  <si>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</si>
  <si>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</si>
  <si>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</si>
  <si>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</si>
  <si>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</si>
  <si>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</si>
  <si>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</si>
  <si>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</si>
  <si>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</si>
  <si>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</si>
  <si>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</si>
  <si>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</si>
  <si>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</si>
  <si>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</si>
  <si>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</si>
  <si>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</si>
  <si>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</si>
  <si>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</si>
  <si>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</si>
  <si>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</si>
  <si>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</si>
  <si>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</si>
  <si>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</si>
  <si>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</si>
  <si>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</si>
  <si>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</si>
  <si>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</si>
  <si>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</si>
  <si>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</si>
  <si>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</si>
  <si>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</si>
  <si>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</si>
  <si>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</si>
  <si>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</si>
  <si>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</si>
  <si>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</si>
  <si>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</si>
  <si>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</si>
  <si>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</si>
  <si>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</si>
  <si>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</si>
  <si>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</si>
  <si>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</si>
  <si>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</si>
  <si>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</si>
  <si>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</si>
  <si>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</si>
  <si>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</si>
  <si>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</si>
  <si>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</si>
  <si>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</si>
  <si>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</si>
  <si>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</si>
  <si>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</si>
  <si>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</si>
  <si>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</si>
  <si>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</si>
  <si>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</si>
  <si>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</si>
  <si>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</si>
  <si>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</si>
  <si>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</si>
  <si>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</si>
  <si>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</si>
  <si>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</si>
  <si>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</si>
  <si>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</si>
  <si>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</si>
  <si>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</si>
  <si>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</si>
  <si>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</si>
  <si>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</si>
  <si>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</si>
  <si>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</si>
  <si>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</si>
  <si>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</si>
  <si>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</si>
  <si>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</si>
  <si>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</si>
  <si>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</si>
  <si>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</si>
  <si>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</si>
  <si>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</si>
  <si>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</si>
  <si>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</si>
  <si>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</si>
  <si>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</si>
  <si>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</si>
  <si>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</si>
  <si>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</si>
  <si>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</si>
  <si>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</si>
  <si>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</si>
  <si>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</si>
  <si>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</si>
  <si>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</si>
  <si>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</si>
  <si>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</si>
  <si>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</si>
  <si>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</si>
  <si>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</si>
  <si>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</si>
  <si>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</si>
  <si>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</si>
  <si>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</si>
  <si>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</si>
  <si>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</si>
  <si>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</si>
  <si>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</si>
  <si>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</si>
  <si>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</si>
  <si>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</si>
  <si>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</si>
  <si>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</si>
  <si>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</si>
  <si>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</si>
  <si>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</si>
  <si>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</si>
  <si>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</si>
  <si>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</si>
  <si>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</si>
  <si>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</si>
  <si>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</si>
  <si>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</si>
  <si>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</si>
  <si>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</si>
  <si>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</si>
  <si>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</si>
  <si>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</si>
  <si>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</si>
  <si>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</si>
  <si>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</si>
  <si>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</si>
  <si>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</si>
  <si>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</si>
  <si>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</si>
  <si>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</si>
  <si>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</si>
  <si>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</si>
  <si>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</si>
  <si>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</si>
  <si>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</si>
  <si>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</si>
  <si>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</si>
  <si>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</si>
  <si>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</si>
  <si>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</si>
  <si>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</si>
  <si>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</si>
  <si>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</si>
  <si>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</si>
  <si>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</si>
  <si>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</si>
  <si>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</si>
  <si>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</si>
  <si>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</si>
  <si>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</si>
  <si>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</si>
  <si>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</si>
  <si>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</si>
  <si>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</si>
  <si>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</si>
  <si>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</si>
  <si>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</si>
  <si>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</si>
  <si>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</si>
  <si>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</si>
  <si>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</si>
  <si>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</si>
  <si>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</si>
  <si>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</si>
  <si>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</si>
  <si>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</si>
  <si>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</si>
  <si>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</si>
  <si>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</si>
  <si>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</si>
  <si>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</si>
  <si>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</si>
  <si>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</si>
  <si>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</si>
  <si>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</si>
  <si>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</si>
  <si>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</si>
  <si>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</si>
  <si>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</si>
  <si>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</si>
  <si>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</si>
  <si>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</si>
  <si>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</si>
  <si>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</si>
  <si>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</si>
  <si>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</si>
  <si>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</si>
  <si>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</si>
  <si>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</si>
  <si>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</si>
  <si>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</si>
  <si>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</si>
  <si>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</si>
  <si>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</si>
  <si>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</si>
  <si>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</si>
  <si>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</si>
  <si>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</si>
  <si>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</si>
  <si>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</si>
  <si>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</si>
  <si>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</si>
  <si>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</si>
  <si>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</si>
  <si>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</si>
  <si>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</si>
  <si>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</si>
  <si>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</si>
  <si>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</si>
  <si>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</si>
  <si>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</si>
  <si>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</si>
  <si>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</si>
  <si>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</si>
  <si>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</si>
  <si>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</si>
  <si>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</si>
  <si>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</si>
  <si>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</si>
  <si>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</si>
  <si>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</si>
  <si>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</si>
  <si>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</si>
  <si>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</si>
  <si>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</si>
  <si>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</si>
  <si>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</si>
  <si>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</si>
  <si>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</si>
  <si>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</si>
  <si>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</si>
  <si>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</si>
  <si>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</si>
  <si>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</si>
  <si>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</si>
  <si>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</si>
  <si>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</si>
  <si>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</si>
  <si>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</si>
  <si>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</si>
  <si>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</si>
  <si>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</si>
  <si>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</si>
  <si>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</si>
  <si>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</si>
  <si>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</si>
  <si>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</si>
  <si>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</si>
  <si>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</si>
  <si>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</si>
  <si>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</si>
  <si>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</si>
  <si>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</si>
  <si>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</si>
  <si>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</si>
  <si>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</si>
  <si>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</si>
  <si>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</si>
  <si>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</si>
  <si>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</si>
  <si>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</si>
  <si>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</si>
  <si>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</si>
  <si>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</si>
  <si>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</si>
  <si>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</si>
  <si>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</si>
  <si>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</si>
  <si>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</si>
  <si>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</si>
  <si>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</si>
  <si>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</si>
  <si>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</si>
  <si>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</si>
  <si>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</si>
  <si>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</si>
  <si>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</si>
  <si>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</si>
  <si>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</si>
  <si>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</si>
  <si>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</si>
  <si>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</si>
  <si>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</si>
  <si>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</si>
  <si>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</si>
  <si>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</si>
  <si>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</si>
  <si>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</si>
  <si>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</si>
  <si>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</si>
  <si>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</si>
  <si>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</si>
  <si>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</si>
  <si>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</si>
  <si>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</si>
  <si>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</si>
  <si>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</si>
  <si>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</si>
  <si>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</si>
  <si>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</si>
  <si>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</si>
  <si>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</si>
  <si>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</si>
  <si>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</si>
  <si>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</si>
  <si>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</si>
  <si>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</si>
  <si>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</si>
  <si>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</si>
  <si>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</si>
  <si>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</si>
  <si>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</si>
  <si>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</si>
  <si>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</si>
  <si>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</si>
  <si>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</si>
  <si>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</si>
  <si>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</si>
  <si>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</si>
  <si>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</si>
  <si>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</si>
  <si>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</si>
  <si>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</si>
  <si>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</si>
  <si>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</si>
  <si>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</si>
  <si>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</si>
  <si>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</si>
  <si>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</si>
  <si>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</si>
  <si>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</si>
  <si>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</si>
  <si>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</si>
  <si>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</si>
  <si>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</si>
  <si>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</si>
  <si>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</si>
  <si>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</si>
  <si>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</si>
  <si>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</si>
  <si>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</si>
  <si>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</si>
  <si>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</si>
  <si>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</si>
  <si>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</si>
  <si>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</si>
  <si>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</si>
  <si>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</si>
  <si>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</si>
  <si>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</si>
  <si>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</si>
  <si>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</si>
  <si>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</si>
  <si>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</si>
  <si>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</si>
  <si>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</si>
  <si>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</si>
  <si>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</si>
  <si>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</si>
  <si>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</si>
  <si>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</si>
  <si>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</si>
  <si>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</si>
  <si>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</si>
  <si>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</si>
  <si>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</si>
  <si>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</si>
  <si>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</si>
  <si>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</si>
  <si>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</si>
  <si>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</si>
  <si>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</si>
  <si>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</si>
  <si>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</si>
  <si>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</si>
  <si>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</si>
  <si>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</si>
  <si>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</si>
  <si>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</si>
  <si>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</si>
  <si>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</si>
  <si>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</si>
  <si>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</si>
  <si>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</si>
  <si>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</si>
  <si>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</si>
  <si>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</si>
  <si>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</si>
  <si>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</si>
  <si>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</si>
  <si>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</si>
  <si>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</si>
  <si>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</si>
  <si>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</si>
  <si>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</si>
  <si>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</si>
  <si>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</si>
  <si>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</si>
  <si>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</si>
  <si>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</si>
  <si>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</si>
  <si>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</si>
  <si>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</si>
  <si>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</si>
  <si>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</si>
  <si>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</si>
  <si>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</si>
  <si>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</si>
  <si>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</si>
  <si>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</si>
  <si>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</si>
  <si>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</si>
  <si>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</si>
  <si>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</si>
  <si>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</si>
  <si>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</si>
  <si>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</si>
  <si>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</si>
  <si>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</si>
  <si>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</si>
  <si>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</si>
  <si>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</si>
  <si>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</si>
  <si>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</si>
  <si>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</si>
  <si>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</si>
  <si>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</si>
  <si>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</si>
  <si>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</si>
  <si>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</si>
  <si>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</si>
  <si>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</si>
  <si>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</si>
  <si>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</si>
  <si>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</si>
  <si>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</si>
  <si>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</si>
  <si>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</si>
  <si>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</si>
  <si>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</si>
  <si>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</si>
  <si>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</si>
  <si>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</si>
  <si>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</si>
  <si>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</si>
  <si>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</si>
  <si>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</si>
  <si>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</si>
  <si>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</si>
  <si>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</si>
  <si>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</si>
  <si>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</si>
  <si>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</si>
  <si>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</si>
  <si>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</si>
  <si>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</si>
  <si>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</si>
  <si>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</si>
  <si>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</si>
  <si>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</si>
  <si>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</si>
  <si>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</si>
  <si>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</si>
  <si>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</si>
  <si>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</si>
  <si>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</si>
  <si>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</si>
  <si>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</si>
  <si>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</si>
  <si>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</si>
  <si>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</si>
  <si>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</si>
  <si>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</si>
  <si>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</si>
  <si>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</si>
  <si>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</si>
  <si>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</si>
  <si>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</si>
  <si>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</si>
  <si>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</si>
  <si>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</si>
  <si>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</si>
  <si>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</si>
  <si>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</si>
  <si>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</si>
  <si>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</si>
  <si>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</si>
  <si>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</si>
  <si>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</si>
  <si>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</si>
  <si>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</si>
  <si>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</si>
  <si>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</si>
  <si>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</si>
  <si>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</si>
  <si>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</si>
  <si>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</si>
  <si>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</si>
  <si>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</si>
  <si>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</si>
  <si>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</si>
  <si>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</si>
  <si>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</si>
  <si>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</si>
  <si>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</si>
  <si>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</si>
  <si>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</si>
  <si>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</si>
  <si>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</si>
  <si>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</si>
  <si>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</si>
  <si>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</si>
  <si>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</si>
  <si>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</si>
  <si>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</si>
  <si>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</si>
  <si>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</si>
  <si>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</si>
  <si>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</si>
  <si>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</si>
  <si>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</si>
  <si>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</si>
  <si>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</si>
  <si>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</si>
  <si>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</si>
  <si>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</si>
  <si>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</si>
  <si>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</si>
  <si>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</si>
  <si>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</si>
  <si>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</si>
  <si>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</si>
  <si>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</si>
  <si>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</si>
  <si>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</si>
  <si>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</si>
  <si>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</si>
  <si>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</si>
  <si>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</si>
  <si>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</si>
  <si>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</si>
  <si>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</si>
  <si>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</si>
  <si>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</si>
  <si>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</si>
  <si>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</si>
  <si>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</si>
  <si>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</si>
  <si>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</si>
  <si>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</si>
  <si>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</si>
  <si>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</si>
  <si>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</si>
  <si>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</si>
  <si>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</si>
  <si>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</si>
  <si>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</si>
  <si>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</si>
  <si>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</si>
  <si>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</si>
  <si>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</si>
  <si>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</si>
  <si>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</si>
  <si>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</si>
  <si>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</si>
  <si>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</si>
  <si>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</si>
  <si>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</si>
  <si>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</si>
  <si>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</si>
  <si>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</si>
  <si>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</si>
  <si>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</si>
  <si>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</si>
  <si>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</si>
  <si>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</si>
  <si>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</si>
  <si>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</si>
  <si>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</si>
  <si>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</si>
  <si>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</si>
  <si>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</si>
  <si>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</si>
  <si>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</si>
  <si>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</si>
  <si>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</si>
  <si>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</si>
  <si>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</si>
  <si>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</si>
  <si>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</si>
  <si>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</si>
  <si>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</si>
  <si>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</si>
  <si>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</si>
  <si>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</si>
  <si>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</si>
  <si>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</si>
  <si>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</si>
  <si>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</si>
  <si>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</si>
  <si>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</si>
  <si>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</si>
  <si>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</si>
  <si>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</si>
  <si>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</si>
  <si>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</si>
  <si>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</si>
  <si>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</si>
  <si>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</si>
  <si>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</si>
  <si>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</si>
  <si>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</si>
  <si>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</si>
  <si>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</si>
  <si>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</si>
  <si>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</si>
  <si>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</si>
  <si>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</si>
  <si>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</si>
  <si>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</si>
  <si>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</si>
  <si>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</si>
  <si>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</si>
  <si>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</si>
  <si>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</si>
  <si>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</si>
  <si>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</si>
  <si>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</si>
  <si>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</si>
  <si>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</si>
  <si>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</si>
  <si>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</si>
  <si>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</si>
  <si>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</si>
  <si>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</si>
  <si>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</si>
  <si>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</si>
  <si>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</si>
  <si>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</si>
  <si>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</si>
  <si>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</si>
  <si>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</si>
  <si>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</si>
  <si>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</si>
  <si>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</si>
  <si>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</si>
  <si>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</si>
  <si>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</si>
  <si>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</si>
  <si>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</si>
  <si>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</si>
  <si>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</si>
  <si>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</si>
  <si>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</si>
  <si>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</si>
  <si>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</si>
  <si>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</si>
  <si>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</si>
  <si>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</si>
  <si>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</si>
  <si>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</si>
  <si>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</si>
  <si>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</si>
  <si>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</si>
  <si>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</si>
  <si>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</si>
  <si>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</si>
  <si>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</si>
  <si>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</si>
  <si>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</si>
  <si>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</si>
  <si>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</si>
  <si>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</si>
  <si>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</si>
  <si>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</si>
  <si>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</si>
  <si>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</si>
  <si>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</si>
  <si>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</si>
  <si>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</si>
  <si>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</si>
  <si>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</si>
  <si>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</si>
  <si>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</si>
  <si>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</si>
  <si>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</si>
  <si>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</si>
  <si>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</si>
  <si>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</si>
  <si>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</si>
  <si>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</si>
  <si>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</si>
  <si>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</si>
  <si>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</si>
  <si>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</si>
  <si>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</si>
  <si>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</si>
  <si>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</si>
  <si>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</si>
  <si>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</si>
  <si>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</si>
  <si>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</si>
  <si>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</si>
  <si>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</si>
  <si>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</si>
  <si>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</si>
  <si>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</si>
  <si>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</si>
  <si>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</si>
  <si>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</si>
  <si>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</si>
  <si>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</si>
  <si>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</si>
  <si>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</si>
  <si>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</si>
  <si>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</si>
  <si>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</si>
  <si>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</si>
  <si>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</si>
  <si>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</si>
  <si>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</si>
  <si>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</si>
  <si>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</si>
  <si>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</si>
  <si>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</si>
  <si>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</si>
  <si>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</si>
  <si>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</si>
  <si>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</si>
  <si>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</si>
  <si>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</si>
  <si>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</si>
  <si>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</si>
  <si>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</si>
  <si>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</si>
  <si>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</si>
  <si>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</si>
  <si>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</si>
  <si>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</si>
  <si>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</si>
  <si>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</si>
  <si>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</si>
  <si>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</si>
  <si>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</si>
  <si>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</si>
  <si>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</si>
  <si>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</si>
  <si>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</si>
  <si>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</si>
  <si>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</si>
  <si>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</si>
  <si>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</si>
  <si>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</si>
  <si>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</si>
  <si>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</si>
  <si>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</si>
  <si>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</si>
  <si>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</si>
  <si>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</si>
  <si>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</si>
  <si>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</si>
  <si>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</si>
  <si>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</si>
  <si>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</si>
  <si>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</si>
  <si>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</si>
  <si>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</si>
  <si>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</si>
  <si>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</si>
  <si>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</si>
  <si>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</si>
  <si>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</si>
  <si>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</si>
  <si>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</si>
  <si>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</si>
  <si>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</si>
  <si>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</si>
  <si>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</si>
  <si>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</si>
  <si>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</si>
  <si>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</si>
  <si>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</si>
  <si>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</si>
  <si>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</si>
  <si>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</si>
  <si>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</si>
  <si>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</si>
  <si>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</si>
  <si>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</si>
  <si>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</si>
  <si>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</si>
  <si>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</si>
  <si>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</si>
  <si>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</si>
  <si>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</si>
  <si>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</si>
  <si>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</si>
  <si>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</si>
  <si>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</si>
  <si>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</si>
  <si>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</si>
  <si>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</si>
  <si>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</si>
  <si>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</si>
  <si>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</si>
  <si>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</si>
  <si>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</si>
  <si>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</si>
  <si>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</si>
  <si>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</si>
  <si>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</si>
  <si>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</si>
  <si>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</si>
  <si>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</si>
  <si>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</si>
  <si>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</si>
  <si>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</si>
  <si>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</si>
  <si>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</si>
  <si>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</si>
  <si>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</si>
  <si>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</si>
  <si>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</si>
  <si>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</si>
  <si>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</si>
  <si>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</si>
  <si>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</si>
  <si>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</si>
  <si>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</si>
  <si>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</si>
  <si>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</si>
  <si>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</si>
  <si>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</si>
  <si>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</si>
  <si>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</si>
  <si>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</si>
  <si>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</si>
  <si>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</si>
  <si>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</si>
  <si>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</si>
  <si>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</si>
  <si>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</si>
  <si>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</si>
  <si>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</si>
  <si>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</si>
  <si>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</si>
  <si>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</si>
  <si>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</si>
  <si>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</si>
  <si>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</si>
  <si>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</si>
  <si>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</si>
  <si>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</si>
  <si>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</si>
  <si>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</si>
  <si>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</si>
  <si>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</si>
  <si>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</si>
  <si>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</si>
  <si>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</si>
  <si>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</si>
  <si>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</si>
  <si>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</si>
  <si>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</si>
  <si>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</si>
  <si>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</si>
  <si>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</si>
  <si>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</si>
  <si>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</si>
  <si>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</si>
  <si>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</si>
  <si>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</si>
  <si>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</si>
  <si>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</si>
  <si>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</si>
  <si>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</si>
  <si>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</si>
  <si>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</si>
  <si>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</si>
  <si>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</si>
  <si>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</si>
  <si>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</si>
  <si>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</si>
  <si>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</si>
  <si>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</si>
  <si>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</si>
  <si>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</si>
  <si>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</si>
  <si>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</si>
  <si>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</si>
  <si>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</si>
  <si>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</si>
  <si>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</si>
  <si>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</si>
  <si>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</si>
  <si>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</si>
  <si>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</si>
  <si>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</si>
  <si>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</si>
  <si>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</si>
  <si>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</si>
  <si>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</si>
  <si>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</si>
  <si>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</si>
  <si>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</si>
  <si>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</si>
  <si>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</si>
  <si>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</si>
  <si>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</si>
  <si>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</si>
  <si>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</si>
  <si>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</si>
  <si>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</si>
  <si>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</si>
  <si>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</si>
  <si>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</si>
  <si>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</si>
  <si>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</si>
  <si>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</si>
  <si>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</si>
  <si>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</si>
  <si>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</si>
  <si>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</si>
  <si>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</si>
  <si>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</si>
  <si>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</si>
  <si>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</si>
  <si>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</si>
  <si>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</si>
  <si>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</si>
  <si>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</si>
  <si>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</si>
  <si>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</si>
  <si>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</si>
  <si>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</si>
  <si>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</si>
  <si>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</si>
  <si>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</si>
  <si>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</si>
  <si>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</si>
  <si>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</si>
  <si>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</si>
  <si>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</si>
  <si>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</si>
  <si>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</si>
  <si>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</si>
  <si>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</si>
  <si>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</si>
  <si>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</si>
  <si>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</si>
  <si>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</si>
  <si>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</si>
  <si>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</si>
  <si>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</si>
  <si>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</si>
  <si>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</si>
  <si>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</si>
  <si>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</si>
  <si>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</si>
  <si>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</si>
  <si>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</si>
  <si>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</si>
  <si>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</si>
  <si>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</si>
  <si>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</si>
  <si>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</si>
  <si>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</si>
  <si>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</si>
  <si>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</si>
  <si>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</si>
  <si>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</si>
  <si>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</si>
  <si>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</si>
  <si>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</si>
  <si>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</si>
  <si>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</si>
  <si>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</si>
  <si>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</si>
  <si>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</si>
  <si>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</si>
  <si>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</si>
  <si>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</si>
  <si>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</si>
  <si>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</si>
  <si>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</si>
  <si>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</si>
  <si>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</si>
  <si>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</si>
  <si>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</si>
  <si>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</si>
  <si>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</si>
  <si>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</si>
  <si>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</si>
  <si>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</si>
  <si>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</si>
  <si>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</si>
  <si>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</si>
  <si>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</si>
  <si>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</si>
  <si>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</si>
  <si>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</si>
  <si>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</si>
  <si>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</si>
  <si>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</si>
  <si>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</si>
  <si>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</si>
  <si>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</si>
  <si>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</si>
  <si>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</si>
  <si>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</si>
  <si>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</si>
  <si>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</si>
  <si>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</si>
  <si>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</si>
  <si>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</si>
  <si>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</si>
  <si>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</si>
  <si>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</si>
  <si>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</si>
  <si>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</si>
  <si>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</si>
  <si>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</si>
  <si>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</si>
  <si>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</si>
  <si>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</si>
  <si>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</si>
  <si>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</si>
  <si>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</si>
  <si>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</si>
  <si>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</si>
  <si>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</si>
  <si>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</si>
  <si>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</si>
  <si>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</si>
  <si>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</si>
  <si>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</si>
  <si>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</si>
  <si>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</si>
  <si>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</si>
  <si>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</si>
  <si>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</si>
  <si>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</si>
  <si>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</si>
  <si>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</si>
  <si>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</si>
  <si>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</si>
  <si>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</si>
  <si>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</si>
  <si>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</si>
  <si>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</si>
  <si>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</si>
  <si>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</si>
  <si>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</si>
  <si>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</si>
  <si>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</si>
  <si>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</si>
  <si>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</si>
  <si>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</si>
  <si>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</si>
  <si>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</si>
  <si>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</si>
  <si>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</si>
  <si>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</si>
  <si>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</si>
  <si>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</si>
  <si>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</si>
  <si>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</si>
  <si>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</si>
  <si>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</si>
  <si>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</si>
  <si>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</si>
  <si>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</si>
  <si>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</si>
  <si>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</si>
  <si>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</si>
  <si>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</si>
  <si>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</si>
  <si>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</si>
  <si>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</si>
  <si>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</si>
  <si>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</si>
  <si>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</si>
  <si>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</si>
  <si>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</si>
  <si>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</si>
  <si>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</si>
  <si>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</si>
  <si>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</si>
  <si>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</si>
  <si>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</si>
  <si>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</si>
  <si>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</si>
  <si>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</si>
  <si>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</si>
  <si>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</si>
  <si>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</si>
  <si>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</si>
  <si>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</si>
  <si>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</si>
  <si>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</si>
  <si>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</si>
  <si>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</si>
  <si>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</si>
  <si>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</si>
  <si>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</si>
  <si>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</si>
  <si>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</si>
  <si>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</si>
  <si>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</si>
  <si>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</si>
  <si>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</si>
  <si>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</si>
  <si>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</si>
  <si>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</si>
  <si>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</si>
  <si>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</si>
  <si>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</si>
  <si>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</si>
  <si>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</si>
  <si>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</si>
  <si>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</si>
  <si>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</si>
  <si>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</si>
  <si>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</si>
  <si>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</si>
  <si>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</si>
  <si>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</si>
  <si>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</si>
  <si>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</si>
  <si>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</si>
  <si>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</si>
  <si>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</si>
  <si>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</si>
  <si>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</si>
  <si>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</si>
  <si>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</si>
  <si>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</si>
  <si>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</si>
  <si>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</si>
  <si>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</si>
  <si>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</si>
  <si>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</si>
  <si>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</si>
  <si>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</si>
  <si>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</si>
  <si>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</si>
  <si>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</si>
  <si>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</si>
  <si>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</si>
  <si>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</si>
  <si>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</si>
  <si>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</si>
  <si>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</si>
  <si>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</si>
  <si>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</si>
  <si>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</si>
  <si>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</si>
  <si>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</si>
  <si>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</si>
  <si>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</si>
  <si>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</si>
  <si>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</si>
  <si>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</si>
  <si>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</si>
  <si>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</si>
  <si>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</si>
  <si>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</si>
  <si>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</si>
  <si>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</si>
  <si>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</si>
  <si>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</si>
  <si>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</si>
  <si>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</si>
  <si>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</si>
  <si>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</si>
  <si>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</si>
  <si>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</si>
  <si>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</si>
  <si>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</si>
  <si>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</si>
  <si>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</si>
  <si>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</si>
  <si>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</si>
  <si>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</si>
  <si>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</si>
  <si>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</si>
  <si>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</si>
  <si>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</si>
  <si>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</si>
  <si>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</si>
  <si>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</si>
  <si>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</si>
  <si>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</si>
  <si>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</si>
  <si>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</si>
  <si>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</si>
  <si>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</si>
  <si>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</si>
  <si>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</si>
  <si>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</si>
  <si>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</si>
  <si>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</si>
  <si>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</si>
  <si>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</si>
  <si>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</si>
  <si>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</si>
  <si>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</si>
  <si>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</si>
  <si>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</si>
  <si>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</si>
  <si>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</si>
  <si>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</si>
  <si>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</si>
  <si>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</si>
  <si>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</si>
  <si>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</si>
  <si>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</si>
  <si>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</si>
  <si>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</si>
  <si>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</si>
  <si>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</si>
  <si>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</si>
  <si>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</si>
  <si>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</si>
  <si>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</si>
  <si>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</si>
  <si>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</si>
  <si>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</si>
  <si>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</si>
  <si>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</si>
  <si>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</si>
  <si>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</si>
  <si>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</si>
  <si>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</si>
  <si>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</si>
  <si>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</si>
  <si>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</si>
  <si>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</si>
  <si>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</si>
  <si>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</si>
  <si>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</si>
  <si>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</si>
  <si>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</si>
  <si>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</si>
  <si>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</si>
  <si>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</si>
  <si>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</si>
  <si>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</si>
  <si>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</si>
  <si>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</si>
  <si>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</si>
  <si>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</si>
  <si>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</si>
  <si>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</si>
  <si>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</si>
  <si>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</si>
  <si>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</si>
  <si>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</si>
  <si>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</si>
  <si>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</si>
  <si>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</si>
  <si>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</si>
  <si>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</si>
  <si>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</si>
  <si>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</si>
  <si>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</si>
  <si>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</si>
  <si>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</si>
  <si>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</si>
  <si>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</si>
  <si>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</si>
  <si>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</si>
  <si>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</si>
  <si>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</si>
  <si>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</si>
  <si>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</si>
  <si>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</si>
  <si>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</si>
  <si>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</si>
  <si>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</si>
  <si>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</si>
  <si>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</si>
  <si>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</si>
  <si>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</si>
  <si>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</si>
  <si>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</si>
  <si>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</si>
  <si>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</si>
  <si>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</si>
  <si>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</si>
  <si>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</si>
  <si>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</si>
  <si>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</si>
  <si>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</si>
  <si>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</si>
  <si>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</si>
  <si>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</si>
  <si>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</si>
  <si>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</si>
  <si>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</si>
  <si>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</si>
  <si>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</si>
  <si>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</si>
  <si>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</si>
  <si>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</si>
  <si>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</si>
  <si>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</si>
  <si>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</si>
  <si>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</si>
  <si>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</si>
  <si>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</si>
  <si>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</si>
  <si>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</si>
  <si>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</si>
  <si>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</si>
  <si>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</si>
  <si>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</si>
  <si>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</si>
  <si>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</si>
  <si>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</si>
  <si>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</si>
  <si>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</si>
  <si>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</si>
  <si>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</si>
  <si>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</si>
  <si>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</si>
  <si>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</si>
  <si>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</si>
  <si>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</si>
  <si>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</si>
  <si>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</si>
  <si>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</si>
  <si>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</si>
  <si>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</si>
  <si>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</si>
  <si>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</si>
  <si>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</si>
  <si>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</si>
  <si>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</si>
  <si>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</si>
  <si>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</si>
  <si>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</si>
  <si>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</si>
  <si>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</si>
  <si>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</si>
  <si>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</si>
  <si>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</si>
  <si>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</si>
  <si>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</si>
  <si>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</si>
  <si>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</si>
  <si>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</si>
  <si>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</si>
  <si>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</si>
  <si>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</si>
  <si>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</si>
  <si>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</si>
  <si>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</si>
  <si>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</si>
  <si>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</si>
  <si>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</si>
  <si>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</si>
  <si>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</si>
  <si>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</si>
  <si>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</si>
  <si>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</si>
  <si>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</si>
  <si>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</si>
  <si>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</si>
  <si>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</si>
  <si>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</si>
  <si>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</si>
  <si>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</si>
  <si>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</si>
  <si>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</si>
  <si>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</si>
  <si>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</si>
  <si>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</si>
  <si>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</si>
  <si>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</si>
  <si>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</si>
  <si>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</si>
  <si>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</si>
  <si>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</si>
  <si>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</si>
  <si>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</si>
  <si>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</si>
  <si>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</si>
  <si>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</si>
  <si>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</si>
  <si>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</si>
  <si>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</si>
  <si>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</si>
  <si>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</si>
  <si>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</si>
  <si>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</si>
  <si>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</si>
  <si>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</si>
  <si>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</si>
  <si>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</si>
  <si>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</si>
  <si>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</si>
  <si>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</si>
  <si>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</si>
  <si>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</si>
  <si>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</si>
  <si>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</si>
  <si>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</si>
  <si>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</si>
  <si>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</si>
  <si>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</si>
  <si>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</si>
  <si>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</si>
  <si>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</si>
  <si>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</si>
  <si>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</si>
  <si>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</si>
  <si>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</si>
  <si>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</si>
  <si>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</si>
  <si>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</si>
  <si>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</si>
  <si>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</si>
  <si>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</si>
  <si>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</si>
  <si>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</si>
  <si>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</si>
  <si>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</si>
  <si>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</si>
  <si>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</si>
  <si>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</si>
  <si>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</si>
  <si>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</si>
  <si>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</si>
  <si>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</si>
  <si>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</si>
  <si>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</si>
  <si>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</si>
  <si>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</si>
  <si>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</si>
  <si>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</si>
  <si>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</si>
  <si>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</si>
  <si>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</si>
  <si>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</si>
  <si>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</si>
  <si>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</si>
  <si>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</si>
  <si>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</si>
  <si>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</si>
  <si>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</si>
  <si>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</si>
  <si>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</si>
  <si>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</si>
  <si>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</si>
  <si>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</si>
  <si>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</si>
  <si>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</si>
  <si>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</si>
  <si>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</si>
  <si>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</si>
  <si>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</si>
  <si>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</si>
  <si>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</si>
  <si>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</si>
  <si>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</si>
  <si>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</si>
  <si>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</si>
  <si>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</si>
  <si>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</si>
  <si>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</si>
  <si>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</si>
  <si>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</si>
  <si>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</si>
  <si>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</si>
  <si>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</si>
  <si>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</si>
  <si>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</si>
  <si>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</si>
  <si>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</si>
  <si>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</si>
  <si>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</si>
  <si>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</si>
  <si>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</si>
  <si>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</si>
  <si>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</si>
  <si>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</si>
  <si>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</si>
  <si>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</si>
  <si>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</si>
  <si>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</si>
  <si>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</si>
  <si>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</si>
  <si>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</si>
  <si>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</si>
  <si>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</si>
  <si>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</si>
  <si>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</si>
  <si>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</si>
  <si>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</si>
  <si>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</si>
  <si>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</si>
  <si>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</si>
  <si>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</si>
  <si>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</si>
  <si>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</si>
  <si>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</si>
  <si>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</si>
  <si>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</si>
  <si>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</si>
  <si>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</si>
  <si>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</si>
  <si>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</si>
  <si>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</si>
  <si>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</si>
  <si>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</si>
  <si>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</si>
  <si>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</si>
  <si>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</si>
  <si>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</si>
  <si>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</si>
  <si>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</si>
  <si>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</si>
  <si>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</si>
  <si>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</si>
  <si>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</si>
  <si>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</si>
  <si>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</si>
  <si>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</si>
  <si>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</si>
  <si>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</si>
  <si>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</si>
  <si>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</si>
  <si>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</si>
  <si>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</si>
  <si>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</si>
  <si>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</si>
  <si>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</si>
  <si>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</si>
  <si>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</si>
  <si>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</si>
  <si>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</si>
  <si>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</si>
  <si>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</si>
  <si>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</si>
  <si>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</si>
  <si>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</si>
  <si>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</si>
  <si>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</si>
  <si>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</si>
  <si>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</si>
  <si>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</si>
  <si>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</si>
  <si>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</si>
  <si>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</si>
  <si>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</si>
  <si>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</si>
  <si>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</si>
  <si>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</si>
  <si>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</si>
  <si>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</si>
  <si>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</si>
  <si>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</si>
  <si>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</si>
  <si>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</si>
  <si>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</si>
  <si>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</si>
  <si>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</si>
  <si>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</si>
  <si>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</si>
  <si>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</si>
  <si>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</si>
  <si>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</si>
  <si>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</si>
  <si>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</si>
  <si>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</si>
  <si>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</si>
  <si>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</si>
  <si>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</si>
  <si>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</si>
  <si>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</si>
  <si>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</si>
  <si>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</si>
  <si>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</si>
  <si>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</si>
  <si>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</si>
  <si>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</si>
  <si>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</si>
  <si>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</si>
  <si>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</si>
  <si>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</si>
  <si>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</si>
  <si>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</si>
  <si>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</si>
  <si>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</si>
  <si>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</si>
  <si>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</si>
  <si>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</si>
  <si>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</si>
  <si>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</si>
  <si>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</si>
  <si>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</si>
  <si>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</si>
  <si>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</si>
  <si>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</si>
  <si>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</si>
  <si>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</si>
  <si>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</si>
  <si>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</si>
  <si>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</si>
  <si>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</si>
  <si>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</si>
  <si>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</si>
  <si>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</si>
  <si>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</si>
  <si>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</si>
  <si>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</si>
  <si>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</si>
  <si>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</si>
  <si>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</si>
  <si>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</si>
  <si>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</si>
  <si>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</si>
  <si>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</si>
  <si>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</si>
  <si>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</si>
  <si>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</si>
  <si>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</si>
  <si>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</si>
  <si>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</si>
  <si>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</si>
  <si>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</si>
  <si>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</si>
  <si>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</si>
  <si>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</si>
  <si>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</si>
  <si>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</si>
  <si>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</si>
  <si>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</si>
  <si>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</si>
  <si>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</si>
  <si>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</si>
  <si>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</si>
  <si>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</si>
  <si>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</si>
  <si>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</si>
  <si>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</si>
  <si>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</si>
  <si>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</si>
  <si>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</si>
  <si>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</si>
  <si>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</si>
  <si>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</si>
  <si>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</si>
  <si>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</si>
  <si>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</si>
  <si>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</si>
  <si>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</si>
  <si>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</si>
  <si>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</si>
  <si>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</si>
  <si>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</si>
  <si>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</si>
  <si>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</si>
  <si>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</si>
  <si>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</si>
  <si>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</si>
  <si>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</si>
  <si>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</si>
  <si>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</si>
  <si>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</si>
  <si>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</si>
  <si>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</si>
  <si>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</si>
  <si>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</si>
  <si>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</si>
  <si>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</si>
  <si>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</si>
  <si>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</si>
  <si>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</si>
  <si>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</si>
  <si>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</si>
  <si>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</si>
  <si>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</si>
  <si>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</si>
  <si>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</si>
  <si>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</si>
  <si>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</si>
  <si>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</si>
  <si>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</si>
  <si>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</si>
  <si>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</si>
  <si>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</si>
  <si>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</si>
  <si>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</si>
  <si>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</si>
  <si>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</si>
  <si>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</si>
  <si>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</si>
  <si>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</si>
  <si>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</si>
  <si>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</si>
  <si>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</si>
  <si>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</si>
  <si>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</si>
  <si>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</si>
  <si>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</si>
  <si>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</si>
  <si>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</si>
  <si>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</si>
  <si>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</si>
  <si>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</si>
  <si>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</si>
  <si>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</si>
  <si>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</si>
  <si>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</si>
  <si>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</si>
  <si>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</si>
  <si>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</si>
  <si>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</si>
  <si>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</si>
  <si>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</si>
  <si>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</si>
  <si>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</si>
  <si>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</si>
  <si>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</si>
  <si>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</si>
  <si>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</si>
  <si>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</si>
  <si>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</si>
  <si>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</si>
  <si>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</si>
  <si>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</si>
  <si>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</si>
  <si>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</si>
  <si>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</si>
  <si>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</si>
  <si>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</si>
  <si>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</si>
  <si>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</si>
  <si>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</si>
  <si>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</si>
  <si>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</si>
  <si>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</si>
  <si>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</si>
  <si>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</si>
  <si>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</si>
  <si>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</si>
  <si>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</si>
  <si>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</si>
  <si>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</si>
  <si>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</si>
  <si>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</si>
  <si>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</si>
  <si>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</si>
  <si>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</si>
  <si>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</si>
  <si>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</si>
  <si>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</si>
  <si>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</si>
  <si>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</si>
  <si>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</si>
  <si>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</si>
  <si>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</si>
  <si>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</si>
  <si>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</si>
  <si>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</si>
  <si>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</si>
  <si>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</si>
  <si>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</si>
  <si>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</si>
  <si>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</si>
  <si>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</si>
  <si>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</si>
  <si>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</si>
  <si>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</si>
  <si>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</si>
  <si>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</si>
  <si>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</si>
  <si>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</si>
  <si>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</si>
  <si>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</si>
  <si>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</si>
  <si>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</si>
  <si>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</si>
  <si>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</si>
  <si>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</si>
  <si>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</si>
  <si>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</si>
  <si>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</si>
  <si>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</si>
  <si>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</si>
  <si>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</si>
  <si>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</si>
  <si>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</si>
  <si>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</si>
  <si>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</si>
  <si>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</si>
  <si>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</si>
  <si>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</si>
  <si>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</si>
  <si>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</si>
  <si>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</si>
  <si>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</si>
  <si>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</si>
  <si>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</si>
  <si>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</si>
  <si>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</si>
  <si>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</si>
  <si>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</si>
  <si>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</si>
  <si>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</si>
  <si>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</si>
  <si>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</si>
  <si>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</si>
  <si>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</si>
  <si>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</si>
  <si>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</si>
  <si>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</si>
  <si>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</si>
  <si>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</si>
  <si>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</si>
  <si>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</si>
  <si>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</si>
  <si>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</si>
  <si>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</si>
  <si>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</si>
  <si>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</si>
  <si>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</si>
  <si>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</si>
  <si>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</si>
  <si>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</si>
  <si>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</si>
  <si>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</si>
  <si>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</si>
  <si>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</si>
  <si>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</si>
  <si>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</si>
  <si>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</si>
  <si>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</si>
  <si>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</si>
  <si>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</si>
  <si>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</si>
  <si>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</si>
  <si>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</si>
  <si>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</si>
  <si>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</si>
  <si>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</si>
  <si>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</si>
  <si>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</si>
  <si>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</si>
  <si>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</si>
  <si>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</si>
  <si>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</si>
  <si>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</si>
  <si>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</si>
  <si>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</si>
  <si>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</si>
  <si>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</si>
  <si>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</si>
  <si>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</si>
  <si>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</si>
  <si>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</si>
  <si>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</si>
  <si>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</si>
  <si>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</si>
  <si>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</si>
  <si>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</si>
  <si>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</si>
  <si>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</si>
  <si>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</si>
  <si>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</si>
  <si>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</si>
  <si>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</si>
  <si>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</si>
  <si>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</si>
  <si>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</si>
  <si>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</si>
  <si>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</si>
  <si>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</si>
  <si>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</si>
  <si>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</si>
  <si>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</si>
  <si>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</si>
  <si>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</si>
  <si>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</si>
  <si>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</si>
  <si>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</si>
  <si>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</si>
  <si>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</si>
  <si>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</si>
  <si>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</si>
  <si>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</si>
  <si>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</si>
  <si>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</si>
  <si>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</si>
  <si>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</si>
  <si>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</si>
  <si>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</si>
  <si>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</si>
  <si>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</si>
  <si>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</si>
  <si>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</si>
  <si>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</si>
  <si>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</si>
  <si>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</si>
  <si>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</si>
  <si>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</si>
  <si>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</si>
  <si>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</si>
  <si>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</si>
  <si>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</si>
  <si>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</si>
  <si>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</si>
  <si>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</si>
  <si>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</si>
  <si>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</si>
  <si>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</si>
  <si>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</si>
  <si>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</si>
  <si>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</si>
  <si>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</si>
  <si>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</si>
  <si>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</si>
  <si>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</si>
  <si>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</si>
  <si>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</si>
  <si>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</si>
  <si>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</si>
  <si>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</si>
  <si>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</si>
  <si>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</si>
  <si>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</si>
  <si>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</si>
  <si>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</si>
  <si>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</si>
  <si>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</si>
  <si>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</si>
  <si>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</si>
  <si>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</si>
  <si>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</si>
  <si>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</si>
  <si>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</si>
  <si>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</si>
  <si>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</si>
  <si>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</si>
  <si>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</si>
  <si>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</si>
  <si>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</si>
  <si>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</si>
  <si>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</si>
  <si>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</si>
  <si>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</si>
  <si>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</si>
  <si>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</si>
  <si>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</si>
  <si>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</si>
  <si>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</si>
  <si>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</si>
  <si>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</si>
  <si>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</si>
  <si>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</si>
  <si>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</si>
  <si>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</si>
  <si>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</si>
  <si>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</si>
  <si>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</si>
  <si>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</si>
  <si>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</si>
  <si>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</si>
  <si>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</si>
  <si>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</si>
  <si>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</si>
  <si>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</si>
  <si>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</si>
  <si>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</si>
  <si>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</si>
  <si>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</si>
  <si>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</si>
  <si>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</si>
  <si>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</si>
  <si>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</si>
  <si>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</si>
  <si>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</si>
  <si>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</si>
  <si>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</si>
  <si>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</si>
  <si>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</si>
  <si>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</si>
  <si>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</si>
  <si>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</si>
  <si>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</si>
  <si>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</si>
  <si>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</si>
  <si>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</si>
  <si>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</si>
  <si>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</si>
  <si>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</si>
  <si>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</si>
  <si>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</si>
  <si>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</si>
  <si>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</si>
  <si>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</si>
  <si>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</si>
  <si>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</si>
  <si>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</si>
  <si>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</si>
  <si>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</si>
  <si>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</si>
  <si>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</si>
  <si>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</si>
  <si>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</si>
  <si>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</si>
  <si>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</si>
  <si>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</si>
  <si>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</si>
  <si>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</si>
  <si>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</si>
  <si>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</si>
  <si>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</si>
  <si>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</si>
  <si>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</si>
  <si>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</si>
  <si>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</si>
  <si>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</si>
  <si>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</si>
  <si>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</si>
  <si>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</si>
  <si>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</si>
  <si>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</si>
  <si>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</si>
  <si>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</si>
  <si>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</si>
  <si>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</si>
  <si>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</si>
  <si>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</si>
  <si>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</si>
  <si>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</si>
  <si>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</si>
  <si>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</si>
  <si>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</si>
  <si>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</si>
  <si>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</si>
  <si>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</si>
  <si>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</si>
  <si>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</si>
  <si>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</si>
  <si>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</si>
  <si>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</si>
  <si>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</si>
  <si>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</si>
  <si>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</si>
  <si>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</si>
  <si>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</si>
  <si>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</si>
  <si>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</si>
  <si>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</si>
  <si>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</si>
  <si>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</si>
  <si>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</si>
  <si>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</si>
  <si>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</si>
  <si>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</si>
  <si>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</si>
  <si>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</si>
  <si>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</si>
  <si>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</si>
  <si>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</si>
  <si>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</si>
  <si>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</si>
  <si>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</si>
  <si>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</si>
  <si>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</si>
  <si>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</si>
  <si>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</si>
  <si>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</si>
  <si>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</si>
  <si>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</si>
  <si>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</si>
  <si>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</si>
  <si>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</si>
  <si>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</si>
  <si>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</si>
  <si>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</si>
  <si>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</si>
  <si>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</si>
  <si>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</si>
  <si>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</si>
  <si>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</si>
  <si>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</si>
  <si>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</si>
  <si>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</si>
  <si>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</si>
  <si>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</si>
  <si>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</si>
  <si>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</si>
  <si>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</si>
  <si>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</si>
  <si>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</si>
  <si>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</si>
  <si>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</si>
  <si>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</si>
  <si>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</si>
  <si>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</si>
  <si>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</si>
  <si>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</si>
  <si>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</si>
  <si>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</si>
  <si>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</si>
  <si>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</si>
  <si>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</si>
  <si>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</si>
  <si>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</si>
  <si>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</si>
  <si>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</si>
  <si>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</si>
  <si>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</si>
  <si>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</si>
  <si>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</si>
  <si>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</si>
  <si>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</si>
  <si>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</si>
  <si>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</si>
  <si>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</si>
  <si>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</si>
  <si>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</si>
  <si>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</si>
  <si>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</si>
  <si>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</si>
  <si>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</si>
  <si>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</si>
  <si>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</si>
  <si>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</si>
  <si>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</si>
  <si>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</si>
  <si>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</si>
  <si>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</si>
  <si>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</si>
  <si>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</si>
  <si>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</si>
  <si>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</si>
  <si>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</si>
  <si>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</si>
  <si>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</si>
  <si>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</si>
  <si>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</si>
  <si>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</si>
  <si>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</si>
  <si>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</si>
  <si>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</si>
  <si>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</si>
  <si>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</si>
  <si>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</si>
  <si>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</si>
  <si>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</si>
  <si>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</si>
  <si>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</si>
  <si>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</si>
  <si>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</si>
  <si>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</si>
  <si>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</si>
  <si>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</si>
  <si>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</si>
  <si>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</si>
  <si>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</si>
  <si>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</si>
  <si>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</si>
  <si>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</si>
  <si>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</si>
  <si>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</si>
  <si>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</si>
  <si>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</si>
  <si>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</si>
  <si>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</si>
  <si>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</si>
  <si>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</si>
  <si>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</si>
  <si>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</si>
  <si>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</si>
  <si>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</si>
  <si>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</si>
  <si>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</si>
  <si>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</si>
  <si>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</si>
  <si>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</si>
  <si>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</si>
  <si>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</si>
  <si>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</si>
  <si>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</si>
  <si>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</si>
  <si>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</si>
  <si>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</si>
  <si>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</si>
  <si>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</si>
  <si>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</si>
  <si>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</si>
  <si>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</si>
  <si>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</si>
  <si>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</si>
  <si>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</si>
  <si>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</si>
  <si>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</si>
  <si>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</si>
  <si>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</si>
  <si>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</si>
  <si>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</si>
  <si>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</si>
  <si>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</si>
  <si>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</si>
  <si>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</si>
  <si>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</si>
  <si>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</si>
  <si>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</si>
  <si>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</si>
  <si>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</si>
  <si>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</si>
  <si>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</si>
  <si>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</si>
  <si>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</si>
  <si>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</si>
  <si>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</si>
  <si>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</si>
  <si>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</si>
  <si>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</si>
  <si>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</si>
  <si>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</si>
  <si>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</si>
  <si>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</si>
  <si>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</si>
  <si>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</si>
  <si>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</si>
  <si>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</si>
  <si>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</si>
  <si>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</si>
  <si>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</si>
  <si>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</si>
  <si>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</si>
  <si>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</si>
  <si>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</si>
  <si>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</si>
  <si>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</si>
  <si>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</si>
  <si>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</si>
  <si>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</si>
  <si>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</si>
  <si>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</si>
  <si>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</si>
  <si>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</si>
  <si>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</si>
  <si>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</si>
  <si>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</si>
  <si>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</si>
  <si>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</si>
  <si>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</si>
  <si>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</si>
  <si>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</si>
  <si>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</si>
  <si>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</si>
  <si>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</si>
  <si>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</si>
  <si>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</si>
  <si>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</si>
  <si>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</si>
  <si>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</si>
  <si>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</si>
  <si>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</si>
  <si>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</si>
  <si>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</si>
  <si>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</si>
  <si>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</si>
  <si>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</si>
  <si>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</si>
  <si>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</si>
  <si>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</si>
  <si>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</si>
  <si>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</si>
  <si>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</si>
  <si>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</si>
  <si>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</si>
  <si>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</si>
  <si>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</si>
  <si>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</si>
  <si>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</si>
  <si>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</si>
  <si>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</si>
  <si>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</si>
  <si>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</si>
  <si>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</si>
  <si>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</si>
  <si>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</si>
  <si>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</si>
  <si>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</si>
  <si>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</si>
  <si>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</si>
  <si>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</si>
  <si>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</si>
  <si>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</si>
  <si>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</si>
  <si>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</si>
  <si>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</si>
  <si>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</si>
  <si>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</si>
  <si>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</si>
  <si>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</si>
  <si>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</si>
  <si>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</si>
  <si>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</si>
  <si>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</si>
  <si>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</si>
  <si>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</si>
  <si>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</si>
  <si>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</si>
  <si>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</si>
  <si>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</si>
  <si>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</si>
  <si>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</si>
  <si>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</si>
  <si>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</si>
  <si>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</si>
  <si>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</si>
  <si>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</si>
  <si>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</si>
  <si>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</si>
  <si>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</si>
  <si>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</si>
  <si>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</si>
  <si>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</si>
  <si>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</si>
  <si>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</si>
  <si>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</si>
  <si>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</si>
  <si>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</si>
  <si>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</si>
  <si>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</si>
  <si>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</si>
  <si>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</si>
  <si>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</si>
  <si>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</si>
  <si>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</si>
  <si>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</si>
  <si>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</si>
  <si>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</si>
  <si>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</si>
  <si>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</si>
  <si>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</si>
  <si>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</si>
  <si>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</si>
  <si>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</si>
  <si>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</si>
  <si>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</si>
  <si>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</si>
  <si>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</si>
  <si>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</si>
  <si>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</si>
  <si>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</si>
  <si>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</si>
  <si>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</si>
  <si>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</si>
  <si>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</si>
  <si>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</si>
  <si>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</si>
  <si>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</si>
  <si>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</si>
  <si>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</si>
  <si>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</si>
  <si>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</si>
  <si>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</si>
  <si>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</si>
  <si>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</si>
  <si>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</si>
  <si>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</si>
  <si>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</si>
  <si>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</si>
  <si>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</si>
  <si>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</si>
  <si>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</si>
  <si>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</si>
  <si>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</si>
  <si>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</si>
  <si>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</si>
  <si>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</si>
  <si>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</si>
  <si>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</si>
  <si>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</si>
  <si>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</si>
  <si>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</si>
  <si>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</si>
  <si>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</si>
  <si>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</si>
  <si>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</si>
  <si>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</si>
  <si>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</si>
  <si>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</si>
  <si>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</si>
  <si>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</si>
  <si>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</si>
  <si>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</si>
  <si>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</si>
  <si>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</si>
  <si>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</si>
  <si>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</si>
  <si>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</si>
  <si>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</si>
  <si>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</si>
  <si>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</si>
  <si>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</si>
  <si>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</si>
  <si>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</si>
  <si>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</si>
  <si>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</si>
  <si>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</si>
  <si>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</si>
  <si>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</si>
  <si>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</si>
  <si>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</si>
  <si>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</si>
  <si>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</si>
  <si>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</si>
  <si>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</si>
  <si>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</si>
  <si>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</si>
  <si>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</si>
  <si>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</si>
  <si>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</si>
  <si>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</si>
  <si>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</si>
  <si>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</si>
  <si>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</si>
  <si>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</si>
  <si>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</si>
  <si>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</si>
  <si>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</si>
  <si>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</si>
  <si>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</si>
  <si>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</si>
  <si>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</si>
  <si>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</si>
  <si>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</si>
  <si>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</si>
  <si>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</si>
  <si>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</si>
  <si>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</si>
  <si>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</si>
  <si>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</si>
  <si>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</si>
  <si>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</si>
  <si>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</si>
  <si>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</si>
  <si>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</si>
  <si>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</si>
  <si>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</si>
  <si>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</si>
  <si>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</si>
  <si>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</si>
  <si>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</si>
  <si>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</si>
  <si>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</si>
  <si>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</si>
  <si>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</si>
  <si>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</si>
  <si>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</si>
  <si>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</si>
  <si>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</si>
  <si>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</si>
  <si>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</si>
  <si>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</si>
  <si>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</si>
  <si>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</si>
  <si>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</si>
  <si>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</si>
  <si>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</si>
  <si>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</si>
  <si>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</si>
  <si>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</si>
  <si>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</si>
  <si>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</si>
  <si>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</si>
  <si>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</si>
  <si>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</si>
  <si>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</si>
  <si>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</si>
  <si>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</si>
  <si>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</si>
  <si>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</si>
  <si>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</si>
  <si>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</si>
  <si>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</si>
  <si>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</si>
  <si>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</si>
  <si>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</si>
  <si>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</si>
  <si>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</si>
  <si>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</si>
  <si>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</si>
  <si>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</si>
  <si>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</si>
  <si>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</si>
  <si>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</si>
  <si>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</si>
  <si>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</si>
  <si>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</si>
  <si>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</si>
  <si>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</si>
  <si>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</si>
  <si>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</si>
  <si>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</si>
  <si>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</si>
  <si>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</si>
  <si>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</si>
  <si>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</si>
  <si>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</si>
  <si>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</si>
  <si>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</si>
  <si>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</si>
  <si>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</si>
  <si>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</si>
  <si>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</si>
  <si>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</si>
  <si>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</si>
  <si>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</si>
  <si>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</si>
  <si>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</si>
  <si>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</si>
  <si>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</si>
  <si>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</si>
  <si>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</si>
  <si>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</si>
  <si>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</si>
  <si>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</si>
  <si>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</si>
  <si>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</si>
  <si>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</si>
  <si>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</si>
  <si>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</si>
  <si>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</si>
  <si>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</si>
  <si>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</si>
  <si>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</si>
  <si>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</si>
  <si>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</si>
  <si>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</si>
  <si>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</si>
  <si>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</si>
  <si>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</si>
  <si>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</si>
  <si>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</si>
  <si>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</si>
  <si>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</si>
  <si>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</si>
  <si>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</si>
  <si>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</si>
  <si>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</si>
  <si>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</si>
  <si>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</si>
  <si>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</si>
  <si>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</si>
  <si>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</si>
  <si>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</si>
  <si>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</si>
  <si>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</si>
  <si>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</si>
  <si>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</si>
  <si>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</si>
  <si>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</si>
  <si>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</si>
  <si>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</si>
  <si>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</si>
  <si>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</si>
  <si>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</si>
  <si>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</si>
  <si>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</si>
  <si>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</si>
  <si>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</si>
  <si>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</si>
  <si>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</si>
  <si>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</si>
  <si>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</si>
  <si>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</si>
  <si>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</si>
  <si>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</si>
  <si>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</si>
  <si>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</si>
  <si>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</si>
  <si>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</si>
  <si>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</si>
  <si>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</si>
  <si>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</si>
  <si>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</si>
  <si>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</si>
  <si>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</si>
  <si>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</si>
  <si>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</si>
  <si>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</si>
  <si>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</si>
  <si>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</si>
  <si>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</si>
  <si>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</si>
  <si>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</si>
  <si>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</si>
  <si>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</si>
  <si>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</si>
  <si>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</si>
  <si>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</si>
  <si>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</si>
  <si>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</si>
  <si>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</si>
  <si>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</si>
  <si>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</si>
  <si>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</si>
  <si>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</si>
  <si>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</si>
  <si>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</si>
  <si>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</si>
  <si>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</si>
  <si>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</si>
  <si>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</si>
  <si>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</si>
  <si>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</si>
  <si>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</si>
  <si>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</si>
  <si>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</si>
  <si>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</si>
  <si>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</si>
  <si>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</si>
  <si>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</si>
  <si>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</si>
  <si>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</si>
  <si>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</si>
  <si>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</si>
  <si>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</si>
  <si>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</si>
  <si>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</si>
  <si>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</si>
  <si>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</si>
  <si>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</si>
  <si>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</si>
  <si>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</si>
  <si>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</si>
  <si>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</si>
  <si>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</si>
  <si>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</si>
  <si>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</si>
  <si>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</si>
  <si>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</si>
  <si>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</si>
  <si>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</si>
  <si>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</si>
  <si>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</si>
  <si>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</si>
  <si>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</si>
  <si>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</si>
  <si>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</si>
  <si>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</si>
  <si>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</si>
  <si>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</si>
  <si>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</si>
  <si>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</si>
  <si>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</si>
  <si>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</si>
  <si>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</si>
  <si>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</si>
  <si>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</si>
  <si>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</si>
  <si>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</si>
  <si>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</si>
  <si>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</si>
  <si>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</si>
  <si>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</si>
  <si>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</si>
  <si>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</si>
  <si>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</si>
  <si>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</si>
  <si>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</si>
  <si>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</si>
  <si>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</si>
  <si>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</si>
  <si>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</si>
  <si>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</si>
  <si>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</si>
  <si>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</si>
  <si>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</si>
  <si>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</si>
  <si>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</si>
  <si>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</si>
  <si>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</si>
  <si>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</si>
  <si>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</si>
  <si>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</si>
  <si>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</si>
  <si>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</si>
  <si>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</si>
  <si>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</si>
  <si>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</si>
  <si>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</si>
  <si>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</si>
  <si>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</si>
  <si>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</si>
  <si>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</si>
  <si>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</si>
  <si>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</si>
  <si>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</si>
  <si>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</si>
  <si>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</si>
  <si>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</si>
  <si>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</si>
  <si>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</si>
  <si>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</si>
  <si>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</si>
  <si>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</si>
  <si>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</si>
  <si>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</si>
  <si>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</si>
  <si>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</si>
  <si>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</si>
  <si>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</si>
  <si>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</si>
  <si>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</si>
  <si>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</si>
  <si>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</si>
  <si>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</si>
  <si>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</si>
  <si>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</si>
  <si>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</si>
  <si>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</si>
  <si>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</si>
  <si>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</si>
  <si>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</si>
  <si>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</si>
  <si>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</si>
  <si>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</si>
  <si>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</si>
  <si>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</si>
  <si>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</si>
  <si>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</si>
  <si>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</si>
  <si>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</si>
  <si>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</si>
  <si>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</si>
  <si>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</si>
  <si>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</si>
  <si>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</si>
  <si>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</si>
  <si>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</si>
  <si>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</si>
  <si>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</si>
  <si>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</si>
  <si>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</si>
  <si>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</si>
  <si>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</si>
  <si>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</si>
  <si>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</si>
  <si>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</si>
  <si>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</si>
  <si>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</si>
  <si>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</si>
  <si>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</si>
  <si>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</si>
  <si>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</si>
  <si>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</si>
  <si>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</si>
  <si>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</si>
  <si>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</si>
  <si>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</si>
  <si>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</si>
  <si>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</si>
  <si>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</si>
  <si>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</si>
  <si>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</si>
  <si>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</si>
  <si>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</si>
  <si>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</si>
  <si>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</si>
  <si>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</si>
  <si>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</si>
  <si>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</si>
  <si>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</si>
  <si>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</si>
  <si>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</si>
  <si>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</si>
  <si>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</si>
  <si>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</si>
  <si>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</si>
  <si>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</si>
  <si>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</si>
  <si>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</si>
  <si>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</si>
  <si>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</si>
  <si>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</si>
  <si>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</si>
  <si>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</si>
  <si>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</si>
  <si>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</si>
  <si>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</si>
  <si>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</si>
  <si>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</si>
  <si>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</si>
  <si>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</si>
  <si>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</si>
  <si>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</si>
  <si>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</si>
  <si>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</si>
  <si>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</si>
  <si>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</si>
  <si>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</si>
  <si>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</si>
  <si>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</si>
  <si>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</si>
  <si>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</si>
  <si>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</si>
  <si>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</si>
  <si>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</si>
  <si>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</si>
  <si>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</si>
  <si>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</si>
  <si>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</si>
  <si>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</si>
  <si>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</si>
  <si>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</si>
  <si>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</si>
  <si>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</si>
  <si>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</si>
  <si>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</si>
  <si>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</si>
  <si>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</si>
  <si>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</si>
  <si>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</si>
  <si>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</si>
  <si>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</si>
  <si>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</si>
  <si>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</si>
  <si>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</si>
  <si>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</si>
  <si>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</si>
  <si>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</si>
  <si>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</si>
  <si>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</si>
  <si>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</si>
  <si>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</si>
  <si>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</si>
  <si>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</si>
  <si>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</si>
  <si>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</si>
  <si>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</si>
  <si>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</si>
  <si>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</si>
  <si>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</si>
  <si>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</si>
  <si>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</si>
  <si>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</si>
  <si>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</si>
  <si>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</si>
  <si>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</si>
  <si>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</si>
  <si>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</si>
  <si>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</si>
  <si>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</si>
  <si>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</si>
  <si>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</si>
  <si>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</si>
  <si>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</si>
  <si>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</si>
  <si>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</si>
  <si>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</si>
  <si>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</si>
  <si>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</si>
  <si>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</si>
  <si>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</si>
  <si>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</si>
  <si>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</si>
  <si>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</si>
  <si>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</si>
  <si>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</si>
  <si>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</si>
  <si>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</si>
  <si>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</si>
  <si>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</si>
  <si>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</si>
  <si>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</si>
  <si>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</si>
  <si>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</si>
  <si>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</si>
  <si>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</si>
  <si>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</si>
  <si>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</si>
  <si>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</si>
  <si>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</si>
  <si>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</si>
  <si>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</si>
  <si>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</si>
  <si>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</si>
  <si>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</si>
  <si>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</si>
  <si>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</si>
  <si>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</si>
  <si>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</si>
  <si>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</si>
  <si>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</si>
  <si>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</si>
  <si>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</si>
  <si>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</si>
  <si>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</si>
  <si>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</si>
  <si>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</si>
  <si>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</si>
  <si>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</si>
  <si>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</si>
  <si>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</si>
  <si>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</si>
  <si>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</si>
  <si>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</si>
  <si>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</si>
  <si>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</si>
  <si>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</si>
  <si>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</si>
  <si>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</si>
  <si>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</si>
  <si>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</si>
  <si>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</si>
  <si>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</si>
  <si>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</si>
  <si>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</si>
  <si>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</si>
  <si>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</si>
  <si>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</si>
  <si>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</si>
  <si>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</si>
  <si>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</si>
  <si>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</si>
  <si>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</si>
  <si>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</si>
  <si>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</si>
  <si>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</si>
  <si>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</si>
  <si>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</si>
  <si>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</si>
  <si>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</si>
  <si>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</si>
  <si>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</si>
  <si>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</si>
  <si>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</si>
  <si>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</si>
  <si>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</si>
  <si>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</si>
  <si>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</si>
  <si>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</si>
  <si>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</si>
  <si>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</si>
  <si>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</si>
  <si>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</si>
  <si>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</si>
  <si>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</si>
  <si>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</si>
  <si>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</si>
  <si>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</si>
  <si>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</si>
  <si>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</si>
  <si>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</si>
  <si>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</si>
  <si>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</si>
  <si>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</si>
  <si>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</si>
  <si>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</si>
  <si>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</si>
  <si>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</si>
  <si>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</si>
  <si>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</si>
  <si>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</si>
  <si>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</si>
  <si>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</si>
  <si>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</si>
  <si>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</si>
  <si>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</si>
  <si>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</si>
  <si>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</si>
  <si>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</si>
  <si>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</si>
  <si>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</si>
  <si>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</si>
  <si>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</si>
  <si>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</si>
  <si>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</si>
  <si>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</si>
  <si>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</si>
  <si>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</si>
  <si>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</si>
  <si>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</si>
  <si>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</si>
  <si>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</si>
  <si>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</si>
  <si>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</si>
  <si>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</si>
  <si>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</si>
  <si>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</si>
  <si>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</si>
  <si>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</si>
  <si>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</si>
  <si>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</si>
  <si>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</si>
  <si>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</si>
  <si>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</si>
  <si>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</si>
  <si>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</si>
  <si>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</si>
  <si>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</si>
  <si>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</si>
  <si>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</si>
  <si>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</si>
  <si>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</si>
  <si>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</si>
  <si>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</si>
  <si>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</si>
  <si>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</si>
  <si>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</si>
  <si>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</si>
  <si>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</si>
  <si>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</si>
  <si>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</si>
  <si>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</si>
  <si>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</si>
  <si>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</si>
  <si>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</si>
  <si>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</si>
  <si>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</si>
  <si>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</si>
  <si>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</si>
  <si>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</si>
  <si>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</si>
  <si>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</si>
  <si>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</si>
  <si>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</si>
  <si>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</si>
  <si>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</si>
  <si>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</si>
  <si>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</si>
  <si>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</si>
  <si>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</si>
  <si>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</si>
  <si>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</si>
  <si>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</si>
  <si>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</si>
  <si>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</si>
  <si>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</si>
  <si>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</si>
  <si>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</si>
  <si>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</si>
  <si>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</si>
  <si>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</si>
  <si>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</si>
  <si>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</si>
  <si>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</si>
  <si>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</si>
  <si>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</si>
  <si>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</si>
  <si>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</si>
  <si>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</si>
  <si>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</si>
  <si>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</si>
  <si>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</si>
  <si>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</si>
  <si>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</si>
  <si>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</si>
  <si>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</si>
  <si>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</si>
  <si>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</si>
  <si>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</si>
  <si>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</si>
  <si>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</si>
  <si>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</si>
  <si>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</si>
  <si>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</si>
  <si>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</si>
  <si>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</si>
  <si>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</si>
  <si>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</si>
  <si>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</si>
  <si>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</si>
  <si>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</si>
  <si>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</si>
  <si>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</si>
  <si>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</si>
  <si>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</si>
  <si>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</si>
  <si>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</si>
  <si>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</si>
  <si>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</si>
  <si>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</si>
  <si>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</si>
  <si>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</si>
  <si>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</si>
  <si>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</si>
  <si>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</si>
  <si>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</si>
  <si>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</si>
  <si>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</si>
  <si>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</si>
  <si>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</si>
  <si>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</si>
  <si>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</si>
  <si>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</si>
  <si>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</si>
  <si>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</si>
  <si>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</si>
  <si>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</si>
  <si>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</si>
  <si>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</si>
  <si>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</si>
  <si>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</si>
  <si>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</si>
  <si>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</si>
  <si>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</si>
  <si>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</si>
  <si>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</si>
  <si>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</si>
  <si>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</si>
  <si>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</si>
  <si>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</si>
  <si>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</si>
  <si>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</si>
  <si>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</si>
  <si>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</si>
  <si>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</si>
  <si>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</si>
  <si>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</si>
  <si>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</si>
  <si>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</si>
  <si>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</si>
  <si>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</si>
  <si>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</si>
  <si>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</si>
  <si>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</si>
  <si>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</si>
  <si>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</si>
  <si>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</si>
  <si>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</si>
  <si>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</si>
  <si>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</si>
  <si>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</si>
  <si>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</si>
  <si>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</si>
  <si>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</si>
  <si>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</si>
  <si>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</si>
  <si>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</si>
  <si>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</si>
  <si>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</si>
  <si>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</si>
  <si>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</si>
  <si>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</si>
  <si>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</si>
  <si>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</si>
  <si>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</si>
  <si>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</si>
  <si>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</si>
  <si>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</si>
  <si>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</si>
  <si>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</si>
  <si>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</si>
  <si>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</si>
  <si>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</si>
  <si>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</si>
  <si>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</si>
  <si>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</si>
  <si>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</si>
  <si>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</si>
  <si>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</si>
  <si>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</si>
  <si>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</si>
  <si>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</si>
  <si>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</si>
  <si>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</si>
  <si>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</si>
  <si>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</si>
  <si>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</si>
  <si>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</si>
  <si>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</si>
  <si>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</si>
  <si>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</si>
  <si>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</si>
  <si>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</si>
  <si>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</si>
  <si>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</si>
  <si>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</si>
  <si>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</si>
  <si>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</si>
  <si>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</si>
  <si>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</si>
  <si>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</si>
  <si>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</si>
  <si>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</si>
  <si>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</si>
  <si>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</si>
  <si>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</si>
  <si>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</si>
  <si>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</si>
  <si>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</si>
  <si>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</si>
  <si>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</si>
  <si>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</si>
  <si>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</si>
  <si>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</si>
  <si>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</si>
  <si>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</si>
  <si>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</si>
  <si>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</si>
  <si>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</si>
  <si>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</si>
  <si>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</si>
  <si>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</si>
  <si>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</si>
  <si>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</si>
  <si>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</si>
  <si>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</si>
  <si>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</si>
  <si>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</si>
  <si>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</si>
  <si>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</si>
  <si>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</si>
  <si>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</si>
  <si>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</si>
  <si>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</si>
  <si>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</si>
  <si>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</si>
  <si>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</si>
  <si>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</si>
  <si>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</si>
  <si>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</si>
  <si>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</si>
  <si>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</si>
  <si>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</si>
  <si>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</si>
  <si>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</si>
  <si>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</si>
  <si>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</si>
  <si>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</si>
  <si>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</si>
  <si>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</si>
  <si>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</si>
  <si>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</si>
  <si>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</si>
  <si>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</si>
  <si>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</si>
  <si>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</si>
  <si>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</si>
  <si>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</si>
  <si>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</si>
  <si>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</si>
  <si>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</si>
  <si>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</si>
  <si>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</si>
  <si>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</si>
  <si>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</si>
  <si>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</si>
  <si>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</si>
  <si>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</si>
  <si>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</si>
  <si>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</si>
  <si>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</si>
  <si>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</si>
  <si>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</si>
  <si>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</si>
  <si>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</si>
  <si>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</si>
  <si>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</si>
  <si>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</si>
  <si>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</si>
  <si>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</si>
  <si>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</si>
  <si>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</si>
  <si>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</si>
  <si>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</si>
  <si>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</si>
  <si>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</si>
  <si>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</si>
  <si>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</si>
  <si>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</si>
  <si>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</si>
  <si>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</si>
  <si>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</si>
  <si>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</si>
  <si>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</si>
  <si>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</si>
  <si>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</si>
  <si>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</si>
  <si>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</si>
  <si>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</si>
  <si>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</si>
  <si>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</si>
  <si>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</si>
  <si>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</si>
  <si>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</si>
  <si>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</si>
  <si>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</si>
  <si>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</si>
  <si>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</si>
  <si>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</si>
  <si>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</si>
  <si>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</si>
  <si>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</si>
  <si>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</si>
  <si>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</si>
  <si>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</si>
  <si>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</si>
  <si>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</si>
  <si>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</si>
  <si>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</si>
  <si>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</si>
  <si>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</si>
  <si>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</si>
  <si>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</si>
  <si>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</si>
  <si>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</si>
  <si>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</si>
  <si>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</si>
  <si>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</si>
  <si>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</si>
  <si>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</si>
  <si>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</si>
  <si>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</si>
  <si>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</si>
  <si>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</si>
  <si>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</si>
  <si>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</si>
  <si>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</si>
  <si>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</si>
  <si>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</si>
  <si>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</si>
  <si>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</si>
  <si>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</si>
  <si>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</si>
  <si>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</si>
  <si>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</si>
  <si>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</si>
  <si>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</si>
  <si>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</si>
  <si>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</si>
  <si>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</si>
  <si>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</si>
  <si>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</si>
  <si>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</si>
  <si>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</si>
  <si>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</si>
  <si>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</si>
  <si>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</si>
  <si>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</si>
  <si>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</si>
  <si>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</si>
  <si>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</si>
  <si>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</si>
  <si>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</si>
  <si>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</si>
  <si>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</si>
  <si>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</si>
  <si>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</si>
  <si>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</si>
  <si>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</si>
  <si>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</si>
  <si>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</si>
  <si>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</si>
  <si>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</si>
  <si>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</si>
  <si>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</si>
  <si>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</si>
  <si>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</si>
  <si>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</si>
  <si>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</si>
  <si>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</si>
  <si>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</si>
  <si>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</si>
  <si>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</si>
  <si>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</si>
  <si>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</si>
  <si>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</si>
  <si>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</si>
  <si>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</si>
  <si>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</si>
  <si>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</si>
  <si>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</si>
  <si>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</si>
  <si>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</si>
  <si>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</si>
  <si>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</si>
  <si>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</si>
  <si>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</si>
  <si>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</si>
  <si>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</si>
  <si>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</si>
  <si>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</si>
  <si>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</si>
  <si>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</si>
  <si>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</si>
  <si>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</si>
  <si>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</si>
  <si>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</si>
  <si>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</si>
  <si>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</si>
  <si>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</si>
  <si>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</si>
  <si>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</si>
  <si>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</si>
  <si>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</si>
  <si>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</si>
  <si>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</si>
  <si>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</si>
  <si>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</si>
  <si>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</si>
  <si>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</si>
  <si>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</si>
  <si>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</si>
  <si>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</si>
  <si>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</si>
  <si>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</si>
  <si>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</si>
  <si>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</si>
  <si>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</si>
  <si>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</si>
  <si>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</si>
  <si>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</si>
  <si>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</si>
  <si>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</si>
  <si>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</si>
  <si>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</si>
  <si>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</si>
  <si>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</si>
  <si>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</si>
  <si>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</si>
  <si>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</si>
  <si>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</si>
  <si>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</si>
  <si>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</si>
  <si>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</si>
  <si>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</si>
  <si>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</si>
  <si>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</si>
  <si>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</si>
  <si>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</si>
  <si>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</si>
  <si>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</si>
  <si>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</si>
  <si>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</si>
  <si>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</si>
  <si>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</si>
  <si>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</si>
  <si>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</si>
  <si>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</si>
  <si>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</si>
  <si>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</si>
  <si>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</si>
  <si>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</si>
  <si>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</si>
  <si>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</si>
  <si>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</si>
  <si>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</si>
  <si>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</si>
  <si>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</si>
  <si>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</si>
  <si>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</si>
  <si>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</si>
  <si>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</si>
  <si>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</si>
  <si>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</si>
  <si>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</si>
  <si>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</si>
  <si>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</si>
  <si>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</si>
  <si>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</si>
  <si>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</si>
  <si>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</si>
  <si>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</si>
  <si>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</si>
  <si>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</si>
  <si>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</si>
  <si>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</si>
  <si>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</si>
  <si>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</si>
  <si>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</si>
  <si>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</si>
  <si>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</si>
  <si>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</si>
  <si>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</si>
  <si>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</si>
  <si>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</si>
  <si>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</si>
  <si>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</si>
  <si>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</si>
  <si>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</si>
  <si>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</si>
  <si>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</si>
  <si>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</si>
  <si>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</si>
  <si>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</si>
  <si>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</si>
  <si>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</si>
  <si>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</si>
  <si>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</si>
  <si>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</si>
  <si>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</si>
  <si>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</si>
  <si>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</si>
  <si>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</si>
  <si>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</si>
  <si>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</si>
  <si>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</si>
  <si>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</si>
  <si>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</si>
  <si>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</si>
  <si>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</si>
  <si>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</si>
  <si>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</si>
  <si>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</si>
  <si>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</si>
  <si>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</si>
  <si>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</si>
  <si>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</si>
  <si>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</si>
  <si>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</si>
  <si>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</si>
  <si>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</si>
  <si>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</si>
  <si>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</si>
  <si>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</si>
  <si>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</si>
  <si>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</si>
  <si>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</si>
  <si>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</si>
  <si>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</si>
  <si>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</si>
  <si>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</si>
  <si>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</si>
  <si>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</si>
  <si>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</si>
  <si>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</si>
  <si>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</si>
  <si>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</si>
  <si>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</si>
  <si>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</si>
  <si>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</si>
  <si>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</si>
  <si>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</si>
  <si>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</si>
  <si>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</si>
  <si>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</si>
  <si>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</si>
  <si>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</si>
  <si>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</si>
  <si>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</si>
  <si>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</si>
  <si>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</si>
  <si>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</si>
  <si>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</si>
  <si>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</si>
  <si>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</si>
  <si>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</si>
  <si>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</si>
  <si>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</si>
  <si>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</si>
  <si>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</si>
  <si>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</si>
  <si>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</si>
  <si>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</si>
  <si>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</si>
  <si>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</si>
  <si>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</si>
  <si>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</si>
  <si>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</si>
  <si>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</si>
  <si>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</si>
  <si>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</si>
  <si>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</si>
  <si>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</si>
  <si>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</si>
  <si>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</si>
  <si>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</si>
  <si>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</si>
  <si>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</si>
  <si>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</si>
  <si>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</si>
  <si>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</si>
  <si>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</si>
  <si>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</si>
  <si>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</si>
  <si>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</si>
  <si>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</si>
  <si>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</si>
  <si>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</si>
  <si>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</si>
  <si>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</si>
  <si>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</si>
  <si>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</si>
  <si>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</si>
  <si>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</si>
  <si>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</si>
  <si>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</si>
  <si>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</si>
  <si>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</si>
  <si>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</si>
  <si>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</si>
  <si>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</si>
  <si>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</si>
  <si>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</si>
  <si>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</si>
  <si>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</si>
  <si>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</si>
  <si>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</si>
  <si>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</si>
  <si>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</si>
  <si>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</si>
  <si>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</si>
  <si>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</si>
  <si>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</si>
  <si>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</si>
  <si>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</si>
  <si>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</si>
  <si>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</si>
  <si>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</si>
  <si>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</si>
  <si>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</si>
  <si>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</si>
  <si>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</si>
  <si>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</si>
  <si>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</si>
  <si>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</si>
  <si>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</si>
  <si>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</si>
  <si>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</si>
  <si>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</si>
  <si>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</si>
  <si>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</si>
  <si>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</si>
  <si>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</si>
  <si>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</si>
  <si>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</si>
  <si>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</si>
  <si>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</si>
  <si>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</si>
  <si>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</si>
  <si>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</si>
  <si>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</si>
  <si>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</si>
  <si>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</si>
  <si>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</si>
  <si>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</si>
  <si>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</si>
  <si>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</si>
  <si>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</si>
  <si>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</si>
  <si>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</si>
  <si>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</si>
  <si>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</si>
  <si>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</si>
  <si>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</si>
  <si>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</si>
  <si>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</si>
  <si>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</si>
  <si>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</si>
  <si>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</si>
  <si>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</si>
  <si>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</si>
  <si>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</si>
  <si>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</si>
  <si>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</si>
  <si>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</si>
  <si>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</si>
  <si>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</si>
  <si>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</si>
  <si>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</si>
  <si>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</si>
  <si>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</si>
  <si>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</si>
  <si>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</si>
  <si>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</si>
  <si>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</si>
  <si>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</si>
  <si>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</si>
  <si>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</si>
  <si>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</si>
  <si>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</si>
  <si>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</si>
  <si>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</si>
  <si>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</si>
  <si>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</si>
  <si>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</si>
  <si>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</si>
  <si>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</si>
  <si>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</si>
  <si>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</si>
  <si>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</si>
  <si>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</si>
  <si>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</si>
  <si>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</si>
  <si>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</si>
  <si>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</si>
  <si>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</si>
  <si>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</si>
  <si>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</si>
  <si>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</si>
  <si>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</si>
  <si>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</si>
  <si>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</si>
  <si>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</si>
  <si>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</si>
  <si>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</si>
  <si>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</si>
  <si>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</si>
  <si>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</si>
  <si>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</si>
  <si>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</si>
  <si>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</si>
  <si>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</si>
  <si>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</si>
  <si>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</si>
  <si>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</si>
  <si>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</si>
  <si>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</si>
  <si>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</si>
  <si>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</si>
  <si>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</si>
  <si>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</si>
  <si>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</si>
  <si>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</si>
  <si>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</si>
  <si>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</si>
  <si>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</si>
  <si>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</si>
  <si>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</si>
  <si>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</si>
  <si>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</si>
  <si>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</si>
  <si>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</si>
  <si>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</si>
  <si>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</si>
  <si>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</si>
  <si>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</si>
  <si>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</si>
  <si>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</si>
  <si>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</si>
  <si>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</si>
  <si>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</si>
  <si>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</si>
  <si>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</si>
  <si>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</si>
  <si>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</si>
  <si>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</si>
  <si>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</si>
  <si>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</si>
  <si>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</si>
  <si>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</si>
  <si>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</si>
  <si>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</si>
  <si>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</si>
  <si>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</si>
  <si>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</si>
  <si>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</si>
  <si>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</si>
  <si>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</si>
  <si>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</si>
  <si>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</si>
  <si>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</si>
  <si>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</si>
  <si>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</si>
  <si>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</si>
  <si>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</si>
  <si>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</si>
  <si>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</si>
  <si>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</si>
  <si>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</si>
  <si>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</si>
  <si>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</si>
  <si>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</si>
  <si>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</si>
  <si>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</si>
  <si>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</si>
  <si>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</si>
  <si>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</si>
  <si>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</si>
  <si>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</si>
  <si>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</si>
  <si>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</si>
  <si>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</si>
  <si>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</si>
  <si>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</si>
  <si>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</si>
  <si>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</si>
  <si>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</si>
  <si>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</si>
  <si>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</si>
  <si>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</si>
  <si>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</si>
  <si>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</si>
  <si>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</si>
  <si>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</si>
  <si>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</si>
  <si>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</si>
  <si>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</si>
  <si>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</si>
  <si>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</si>
  <si>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</si>
  <si>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</si>
  <si>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</si>
  <si>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</si>
  <si>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</si>
  <si>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</si>
  <si>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</si>
  <si>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</si>
  <si>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</si>
  <si>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</si>
  <si>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</si>
  <si>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</si>
  <si>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</si>
  <si>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</si>
  <si>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</si>
  <si>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</si>
  <si>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</si>
  <si>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</si>
  <si>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</si>
  <si>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</si>
  <si>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</si>
  <si>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</si>
  <si>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</si>
  <si>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</si>
  <si>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</si>
  <si>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</si>
  <si>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</si>
  <si>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</si>
  <si>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</si>
  <si>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</si>
  <si>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</si>
  <si>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</si>
  <si>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</si>
  <si>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</si>
  <si>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</si>
  <si>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</si>
  <si>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</si>
  <si>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</si>
  <si>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</si>
  <si>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</si>
  <si>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</si>
  <si>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</si>
  <si>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</si>
  <si>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</si>
  <si>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</si>
  <si>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</si>
  <si>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</si>
  <si>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</si>
  <si>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</si>
  <si>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</si>
  <si>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</si>
  <si>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</si>
  <si>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</si>
  <si>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</si>
  <si>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</si>
  <si>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</si>
  <si>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</si>
  <si>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</si>
  <si>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</si>
  <si>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</si>
  <si>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</si>
  <si>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</si>
  <si>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</si>
  <si>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</si>
  <si>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</si>
  <si>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</si>
  <si>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</si>
  <si>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</si>
  <si>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</si>
  <si>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</si>
  <si>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</si>
  <si>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</si>
  <si>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</si>
  <si>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</si>
  <si>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</si>
  <si>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</si>
  <si>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</si>
  <si>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</si>
  <si>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</si>
  <si>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</si>
  <si>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</si>
  <si>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</si>
  <si>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</si>
  <si>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</si>
  <si>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</si>
  <si>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</si>
  <si>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</si>
  <si>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</si>
  <si>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</si>
  <si>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</si>
  <si>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</si>
  <si>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</si>
  <si>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</si>
  <si>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</si>
  <si>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</si>
  <si>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</si>
  <si>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</si>
  <si>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</si>
  <si>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</si>
  <si>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</si>
  <si>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</si>
  <si>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</si>
  <si>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</si>
  <si>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</si>
  <si>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</si>
  <si>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</si>
  <si>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</si>
  <si>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</si>
  <si>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</si>
  <si>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</si>
  <si>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</si>
  <si>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</si>
  <si>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</si>
  <si>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</si>
  <si>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</si>
  <si>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</si>
  <si>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</si>
  <si>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</si>
  <si>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</si>
  <si>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</si>
  <si>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</si>
  <si>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</si>
  <si>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</si>
  <si>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</si>
  <si>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</si>
  <si>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</si>
  <si>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</si>
  <si>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</si>
  <si>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</si>
  <si>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</si>
  <si>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</si>
  <si>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</si>
  <si>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</si>
  <si>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</si>
  <si>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</si>
  <si>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</si>
  <si>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</si>
  <si>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</si>
  <si>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</si>
  <si>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</si>
  <si>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</si>
  <si>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</si>
  <si>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</si>
  <si>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</si>
  <si>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</si>
  <si>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</si>
  <si>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</si>
  <si>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</si>
  <si>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</si>
  <si>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</si>
  <si>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</si>
  <si>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</si>
  <si>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</si>
  <si>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</si>
  <si>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</si>
  <si>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</si>
  <si>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</si>
  <si>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</si>
  <si>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</si>
  <si>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</si>
  <si>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</si>
  <si>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</si>
  <si>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</si>
  <si>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</si>
  <si>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</si>
  <si>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</si>
  <si>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</si>
  <si>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</si>
  <si>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</si>
  <si>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</si>
  <si>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</si>
  <si>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</si>
  <si>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</si>
  <si>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</si>
  <si>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</si>
  <si>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</si>
  <si>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</si>
  <si>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</si>
  <si>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</si>
  <si>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</si>
  <si>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</si>
  <si>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</si>
  <si>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</si>
  <si>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</si>
  <si>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</si>
  <si>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</si>
  <si>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</si>
  <si>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</si>
  <si>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</si>
  <si>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</si>
  <si>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</si>
  <si>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</si>
  <si>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</si>
  <si>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</si>
  <si>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</si>
  <si>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</si>
  <si>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</si>
  <si>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</si>
  <si>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</si>
  <si>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</si>
  <si>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</si>
  <si>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</si>
  <si>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</si>
  <si>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</si>
  <si>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</si>
  <si>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</si>
  <si>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</si>
  <si>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</si>
  <si>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</si>
  <si>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</si>
  <si>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</si>
  <si>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</si>
  <si>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</si>
  <si>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</si>
  <si>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</si>
  <si>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</si>
  <si>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</si>
  <si>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</si>
  <si>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</si>
  <si>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</si>
  <si>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</si>
  <si>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</si>
  <si>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</si>
  <si>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</si>
  <si>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</si>
  <si>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</si>
  <si>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</si>
  <si>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</si>
  <si>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</si>
  <si>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</si>
  <si>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</si>
  <si>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</si>
  <si>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</si>
  <si>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</si>
  <si>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</si>
  <si>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</si>
  <si>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</si>
  <si>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</si>
  <si>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</si>
  <si>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</si>
  <si>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</si>
  <si>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</si>
  <si>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</si>
  <si>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</si>
  <si>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</si>
  <si>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</si>
  <si>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</si>
  <si>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</si>
  <si>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</si>
  <si>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</si>
  <si>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</si>
  <si>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</si>
  <si>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</si>
  <si>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</si>
  <si>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</si>
  <si>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</si>
  <si>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</si>
  <si>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</si>
  <si>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</si>
  <si>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</si>
  <si>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</si>
  <si>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</si>
  <si>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</si>
  <si>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</si>
  <si>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</si>
  <si>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</si>
  <si>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</si>
  <si>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</si>
  <si>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</si>
  <si>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</si>
  <si>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</si>
  <si>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</si>
  <si>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</si>
  <si>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</si>
  <si>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</si>
  <si>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</si>
  <si>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</si>
  <si>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</si>
  <si>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</si>
  <si>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</si>
  <si>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</si>
  <si>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</si>
  <si>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</si>
  <si>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</si>
  <si>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</si>
  <si>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</si>
  <si>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</si>
  <si>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</si>
  <si>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</si>
  <si>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</si>
  <si>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</si>
  <si>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</si>
  <si>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</si>
  <si>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</si>
  <si>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</si>
  <si>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</si>
  <si>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</si>
  <si>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</si>
  <si>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</si>
  <si>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</si>
  <si>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</si>
  <si>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</si>
  <si>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</si>
  <si>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</si>
  <si>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</si>
  <si>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</si>
  <si>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</si>
  <si>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</si>
  <si>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</si>
  <si>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</si>
  <si>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</si>
  <si>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</si>
  <si>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</si>
  <si>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</si>
  <si>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</si>
  <si>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</si>
  <si>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</si>
  <si>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</si>
  <si>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</si>
  <si>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</si>
  <si>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</si>
  <si>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</si>
  <si>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</si>
  <si>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</si>
  <si>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</si>
  <si>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</si>
  <si>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</si>
  <si>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</si>
  <si>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</si>
  <si>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</si>
  <si>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</si>
  <si>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</si>
  <si>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</si>
  <si>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</si>
  <si>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</si>
  <si>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</si>
  <si>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</si>
  <si>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</si>
  <si>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</si>
  <si>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</si>
  <si>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</si>
  <si>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</si>
  <si>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</si>
  <si>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</si>
  <si>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</si>
  <si>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</si>
  <si>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</si>
  <si>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</si>
  <si>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</si>
  <si>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</si>
  <si>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</si>
  <si>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</si>
  <si>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</si>
  <si>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</si>
  <si>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</si>
  <si>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</si>
  <si>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</si>
  <si>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</si>
  <si>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</si>
  <si>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</si>
  <si>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</si>
  <si>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</si>
  <si>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</si>
  <si>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</si>
  <si>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</si>
  <si>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</si>
  <si>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</si>
  <si>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</si>
  <si>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</si>
  <si>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</si>
  <si>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</si>
  <si>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</si>
  <si>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</si>
  <si>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</si>
  <si>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</si>
  <si>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</si>
  <si>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</si>
  <si>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</si>
  <si>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</si>
  <si>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</si>
  <si>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</si>
  <si>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</si>
  <si>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</si>
  <si>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</si>
  <si>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</si>
  <si>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</si>
  <si>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</si>
  <si>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</si>
  <si>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</si>
  <si>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</si>
  <si>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</si>
  <si>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</si>
  <si>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</si>
  <si>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</si>
  <si>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</si>
  <si>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</si>
  <si>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</si>
  <si>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</si>
  <si>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</si>
  <si>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</si>
  <si>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</si>
  <si>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</si>
  <si>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</si>
  <si>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</si>
  <si>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</si>
  <si>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</si>
  <si>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</si>
  <si>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</si>
  <si>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</si>
  <si>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</si>
  <si>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</si>
  <si>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</si>
  <si>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</si>
  <si>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</si>
  <si>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</si>
  <si>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</si>
  <si>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</si>
  <si>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</si>
  <si>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</si>
  <si>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</si>
  <si>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</si>
  <si>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</si>
  <si>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</si>
  <si>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</si>
  <si>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</si>
  <si>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</si>
  <si>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</si>
  <si>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</si>
  <si>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</si>
  <si>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</si>
  <si>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</si>
  <si>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</si>
  <si>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</si>
  <si>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</si>
  <si>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</si>
  <si>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</si>
  <si>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</si>
  <si>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</si>
  <si>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</si>
  <si>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</si>
  <si>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</si>
  <si>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</si>
  <si>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</si>
  <si>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</si>
  <si>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</si>
  <si>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</si>
  <si>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</si>
  <si>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</si>
  <si>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</si>
  <si>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</si>
  <si>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</si>
  <si>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</si>
  <si>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</si>
  <si>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</si>
  <si>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</si>
  <si>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</si>
  <si>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</si>
  <si>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</si>
  <si>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</si>
  <si>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</si>
  <si>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</si>
  <si>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</si>
  <si>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</si>
  <si>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</si>
  <si>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</si>
  <si>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</si>
  <si>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</si>
  <si>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</si>
  <si>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</si>
  <si>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</si>
  <si>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</si>
  <si>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</si>
  <si>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</si>
  <si>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</si>
  <si>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</si>
  <si>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</si>
  <si>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</si>
  <si>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</si>
  <si>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</si>
  <si>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</si>
  <si>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</si>
  <si>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</si>
  <si>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</si>
  <si>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</si>
  <si>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</si>
  <si>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</si>
  <si>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</si>
  <si>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</si>
  <si>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</si>
  <si>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</si>
  <si>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</si>
  <si>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</si>
  <si>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</si>
  <si>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</si>
  <si>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</si>
  <si>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</si>
  <si>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</si>
  <si>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</si>
  <si>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</si>
  <si>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</si>
  <si>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</si>
  <si>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</si>
  <si>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</si>
  <si>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</si>
  <si>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</si>
  <si>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</si>
  <si>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</si>
  <si>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</si>
  <si>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</si>
  <si>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</si>
  <si>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</si>
  <si>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</si>
  <si>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</si>
  <si>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</si>
  <si>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</si>
  <si>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</si>
  <si>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</si>
  <si>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</si>
  <si>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</si>
  <si>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</si>
  <si>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</si>
  <si>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</si>
  <si>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</si>
  <si>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</si>
  <si>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</si>
  <si>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</si>
  <si>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</si>
  <si>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</si>
  <si>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</si>
  <si>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</si>
  <si>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</si>
  <si>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</si>
  <si>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</si>
  <si>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</si>
  <si>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</si>
  <si>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</si>
  <si>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</si>
  <si>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</si>
  <si>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</si>
  <si>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</si>
  <si>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</si>
  <si>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</si>
  <si>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</si>
  <si>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</si>
  <si>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</si>
  <si>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</si>
  <si>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</si>
  <si>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</si>
  <si>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</si>
  <si>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</si>
  <si>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</si>
  <si>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</si>
  <si>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</si>
  <si>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</si>
  <si>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</si>
  <si>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</si>
  <si>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</si>
  <si>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</si>
  <si>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</si>
  <si>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</si>
  <si>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</si>
  <si>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</si>
  <si>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</si>
  <si>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</si>
  <si>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</si>
  <si>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</si>
  <si>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</si>
  <si>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</si>
  <si>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</si>
  <si>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</si>
  <si>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</si>
  <si>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</si>
  <si>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</si>
  <si>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</si>
  <si>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</si>
  <si>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</si>
  <si>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</si>
  <si>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</si>
  <si>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</si>
  <si>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</si>
  <si>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</si>
  <si>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</si>
  <si>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</si>
  <si>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</si>
  <si>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</si>
  <si>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</si>
  <si>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</si>
  <si>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</si>
  <si>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</si>
  <si>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</si>
  <si>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</si>
  <si>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</si>
  <si>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</si>
  <si>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</si>
  <si>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</si>
  <si>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</si>
  <si>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</si>
  <si>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</si>
  <si>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</si>
  <si>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</si>
  <si>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</si>
  <si>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</si>
  <si>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</si>
  <si>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</si>
  <si>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</si>
  <si>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</si>
  <si>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</si>
  <si>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</si>
  <si>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</si>
  <si>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</si>
  <si>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</si>
  <si>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</si>
  <si>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</si>
  <si>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</si>
  <si>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</si>
  <si>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</si>
  <si>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</si>
  <si>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</si>
  <si>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</si>
  <si>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</si>
  <si>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</si>
  <si>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</si>
  <si>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</si>
  <si>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</si>
  <si>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</si>
  <si>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</si>
  <si>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</si>
  <si>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</si>
  <si>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</si>
  <si>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</si>
  <si>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</si>
  <si>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</si>
  <si>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</si>
  <si>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</si>
  <si>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</si>
  <si>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</si>
  <si>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</si>
  <si>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</si>
  <si>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</si>
  <si>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</si>
  <si>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</si>
  <si>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</si>
  <si>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</si>
  <si>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</si>
  <si>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</si>
  <si>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</si>
  <si>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</si>
  <si>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</si>
  <si>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</si>
  <si>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</si>
  <si>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</si>
  <si>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</si>
  <si>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</si>
  <si>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</si>
  <si>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</si>
  <si>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</si>
  <si>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</si>
  <si>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</si>
  <si>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</si>
  <si>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</si>
  <si>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</si>
  <si>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</si>
  <si>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</si>
  <si>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</si>
  <si>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</si>
  <si>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</si>
  <si>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</si>
  <si>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</si>
  <si>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</si>
  <si>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</si>
  <si>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</si>
  <si>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</si>
  <si>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</si>
  <si>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</si>
  <si>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</si>
  <si>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</si>
  <si>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</si>
  <si>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</si>
  <si>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</si>
  <si>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</si>
  <si>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</si>
  <si>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</si>
  <si>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</si>
  <si>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</si>
  <si>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</si>
  <si>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</si>
  <si>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</si>
  <si>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</si>
  <si>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</si>
  <si>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</si>
  <si>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</si>
  <si>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</si>
  <si>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</si>
  <si>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</si>
  <si>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</si>
  <si>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</si>
  <si>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</si>
  <si>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</si>
  <si>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</si>
  <si>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</si>
  <si>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</si>
  <si>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</si>
  <si>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</si>
  <si>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</si>
  <si>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</si>
  <si>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</si>
  <si>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</si>
  <si>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</si>
  <si>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</si>
  <si>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</si>
  <si>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</si>
  <si>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</si>
  <si>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</si>
  <si>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</si>
  <si>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</si>
  <si>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</si>
  <si>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</si>
  <si>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</si>
  <si>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</si>
  <si>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</si>
  <si>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</si>
  <si>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</si>
  <si>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</si>
  <si>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</si>
  <si>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</si>
  <si>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</si>
  <si>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</si>
  <si>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</si>
  <si>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</si>
  <si>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</si>
  <si>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</si>
  <si>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</si>
  <si>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</si>
  <si>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</si>
  <si>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</si>
  <si>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</si>
  <si>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</si>
  <si>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</si>
  <si>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</si>
  <si>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</si>
  <si>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</si>
  <si>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</si>
  <si>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</si>
  <si>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</si>
  <si>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</si>
  <si>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</si>
  <si>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</si>
  <si>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</si>
  <si>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</si>
  <si>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</si>
  <si>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</si>
  <si>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</si>
  <si>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</si>
  <si>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</si>
  <si>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</si>
  <si>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</si>
  <si>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</si>
  <si>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</si>
  <si>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</si>
  <si>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</si>
  <si>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</si>
  <si>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</si>
  <si>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</si>
  <si>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</si>
  <si>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</si>
  <si>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</si>
  <si>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</si>
  <si>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</si>
  <si>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</si>
  <si>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</si>
  <si>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</si>
  <si>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</si>
  <si>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</si>
  <si>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</si>
  <si>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</si>
  <si>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</si>
  <si>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</si>
  <si>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</si>
  <si>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</si>
  <si>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</si>
  <si>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</si>
  <si>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</si>
  <si>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</si>
  <si>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</si>
  <si>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</si>
  <si>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</si>
  <si>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</si>
  <si>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</si>
  <si>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</si>
  <si>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</si>
  <si>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</si>
  <si>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</si>
  <si>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</si>
  <si>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</si>
  <si>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</si>
  <si>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</si>
  <si>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</si>
  <si>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</si>
  <si>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</si>
  <si>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</si>
  <si>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</si>
  <si>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</si>
  <si>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</si>
  <si>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</si>
  <si>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</si>
  <si>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</si>
  <si>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</si>
  <si>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</si>
  <si>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</si>
  <si>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</si>
  <si>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</si>
  <si>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</si>
  <si>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</si>
  <si>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</si>
  <si>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</si>
  <si>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</si>
  <si>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</si>
  <si>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</si>
  <si>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</si>
  <si>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</si>
  <si>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</si>
  <si>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</si>
  <si>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</si>
  <si>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</si>
  <si>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</si>
  <si>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</si>
  <si>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</si>
  <si>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</si>
  <si>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</si>
  <si>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</si>
  <si>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</si>
  <si>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</si>
  <si>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</si>
  <si>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</si>
  <si>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</si>
  <si>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</si>
  <si>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</si>
  <si>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</si>
  <si>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</si>
  <si>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</si>
  <si>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</si>
  <si>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</si>
  <si>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</si>
  <si>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</si>
  <si>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</si>
  <si>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</si>
  <si>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</si>
  <si>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</si>
  <si>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</si>
  <si>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</si>
  <si>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</si>
  <si>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</si>
  <si>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</si>
  <si>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</si>
  <si>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</si>
  <si>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</si>
  <si>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</si>
  <si>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</si>
  <si>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</si>
  <si>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</si>
  <si>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</si>
  <si>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</si>
  <si>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</si>
  <si>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</si>
  <si>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</si>
  <si>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</si>
  <si>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</si>
  <si>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</si>
  <si>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</si>
  <si>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</si>
  <si>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</si>
  <si>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</si>
  <si>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</si>
  <si>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</si>
  <si>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</si>
  <si>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</si>
  <si>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</si>
  <si>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</si>
  <si>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</si>
  <si>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</si>
  <si>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</si>
  <si>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</si>
  <si>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</si>
  <si>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</si>
  <si>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</si>
  <si>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</si>
  <si>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</si>
  <si>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</si>
  <si>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</si>
  <si>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</si>
  <si>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</si>
  <si>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</si>
  <si>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</si>
  <si>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</si>
  <si>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</si>
  <si>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</si>
  <si>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</si>
  <si>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</si>
  <si>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</si>
  <si>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</si>
  <si>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</si>
  <si>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</si>
  <si>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</si>
  <si>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</si>
  <si>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</si>
  <si>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</si>
  <si>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</si>
  <si>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</si>
  <si>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</si>
  <si>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</si>
  <si>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</si>
  <si>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</si>
  <si>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</si>
  <si>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</si>
  <si>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</si>
  <si>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</si>
  <si>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</si>
  <si>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</si>
  <si>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</si>
  <si>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</si>
  <si>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</si>
  <si>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</si>
  <si>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</si>
  <si>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</si>
  <si>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</si>
  <si>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</si>
  <si>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</si>
  <si>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</si>
  <si>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</si>
  <si>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</si>
  <si>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</si>
  <si>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</si>
  <si>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</si>
  <si>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</si>
  <si>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</si>
  <si>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</si>
  <si>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</si>
  <si>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</si>
  <si>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</si>
  <si>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</si>
  <si>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</si>
  <si>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</si>
  <si>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</si>
  <si>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</si>
  <si>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</si>
  <si>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</si>
  <si>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</si>
  <si>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</si>
  <si>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</si>
  <si>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</si>
  <si>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</si>
  <si>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</si>
  <si>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</si>
  <si>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</si>
  <si>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</si>
  <si>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</si>
  <si>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</si>
  <si>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</si>
  <si>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</si>
  <si>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</si>
  <si>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</si>
  <si>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</si>
  <si>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</si>
  <si>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</si>
  <si>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</si>
  <si>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</si>
  <si>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</si>
  <si>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</si>
  <si>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</si>
  <si>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</si>
  <si>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</si>
  <si>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</si>
  <si>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</si>
  <si>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</si>
  <si>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</si>
  <si>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</si>
  <si>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</si>
  <si>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</si>
  <si>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</si>
  <si>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</si>
  <si>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</si>
  <si>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</si>
  <si>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</si>
  <si>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</si>
  <si>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</si>
  <si>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</si>
  <si>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</si>
  <si>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</si>
  <si>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</si>
  <si>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</si>
  <si>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</si>
  <si>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</si>
  <si>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</si>
  <si>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</si>
  <si>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</si>
  <si>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</si>
  <si>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</si>
  <si>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</si>
  <si>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</si>
  <si>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</si>
  <si>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</si>
  <si>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</si>
  <si>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</si>
  <si>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</si>
  <si>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</si>
  <si>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</si>
  <si>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</si>
  <si>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</si>
  <si>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</si>
  <si>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</si>
  <si>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</si>
  <si>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</si>
  <si>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</si>
  <si>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</si>
  <si>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</si>
  <si>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</si>
  <si>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</si>
  <si>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</si>
  <si>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</si>
  <si>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</si>
  <si>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</si>
  <si>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</si>
  <si>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</si>
  <si>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</si>
  <si>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</si>
  <si>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</si>
  <si>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</si>
  <si>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</si>
  <si>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</si>
  <si>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</si>
  <si>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</si>
  <si>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</si>
  <si>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</si>
  <si>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</si>
  <si>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</si>
  <si>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</si>
  <si>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</si>
  <si>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</si>
  <si>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</si>
  <si>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</si>
  <si>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</si>
  <si>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</si>
  <si>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</si>
  <si>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</si>
  <si>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</si>
  <si>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</si>
  <si>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</si>
  <si>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</si>
  <si>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</si>
  <si>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</si>
  <si>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</si>
  <si>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</si>
  <si>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</si>
  <si>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</si>
  <si>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</si>
  <si>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</si>
  <si>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</si>
  <si>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</si>
  <si>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</si>
  <si>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</si>
  <si>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</si>
  <si>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</si>
  <si>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</si>
  <si>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</si>
  <si>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</si>
  <si>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</si>
  <si>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</si>
  <si>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</si>
  <si>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</si>
  <si>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</si>
  <si>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</si>
  <si>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</si>
  <si>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</si>
  <si>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</si>
  <si>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</si>
  <si>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</si>
  <si>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</si>
  <si>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</si>
  <si>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</si>
  <si>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</si>
  <si>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</si>
  <si>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</si>
  <si>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</si>
  <si>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</si>
  <si>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</si>
  <si>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</si>
  <si>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</si>
  <si>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</si>
  <si>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</si>
  <si>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</si>
  <si>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</si>
  <si>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</si>
  <si>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</si>
  <si>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</si>
  <si>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</si>
  <si>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</si>
  <si>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</si>
  <si>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</si>
  <si>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</si>
  <si>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</si>
  <si>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</si>
  <si>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</si>
  <si>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</si>
  <si>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</si>
  <si>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</si>
  <si>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</si>
  <si>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</si>
  <si>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</si>
  <si>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</si>
  <si>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</si>
  <si>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</si>
  <si>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</si>
  <si>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</si>
  <si>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</si>
  <si>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</si>
  <si>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</si>
  <si>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</si>
  <si>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</si>
  <si>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</si>
  <si>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</si>
  <si>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</si>
  <si>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</si>
  <si>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</si>
  <si>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</si>
  <si>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</si>
  <si>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</si>
  <si>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</si>
  <si>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</si>
  <si>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</si>
  <si>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</si>
  <si>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</si>
  <si>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</si>
  <si>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</si>
  <si>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</si>
  <si>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</si>
  <si>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</si>
  <si>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</si>
  <si>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</si>
  <si>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</si>
  <si>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</si>
  <si>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</si>
  <si>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</si>
  <si>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</si>
  <si>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</si>
  <si>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</si>
  <si>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</si>
  <si>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</si>
  <si>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</si>
  <si>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</si>
  <si>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</si>
  <si>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</si>
  <si>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</si>
  <si>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</si>
  <si>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</si>
  <si>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</si>
  <si>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</si>
  <si>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</si>
  <si>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</si>
  <si>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</si>
  <si>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</si>
  <si>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</si>
  <si>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</si>
  <si>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</si>
  <si>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</si>
  <si>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</si>
  <si>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</si>
  <si>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</si>
  <si>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</si>
  <si>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</si>
  <si>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</si>
  <si>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</si>
  <si>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</si>
  <si>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</si>
  <si>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</si>
  <si>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</si>
  <si>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</si>
  <si>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</si>
  <si>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</si>
  <si>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</si>
  <si>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</si>
  <si>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</si>
  <si>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</si>
  <si>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</si>
  <si>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</si>
  <si>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</si>
  <si>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</si>
  <si>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</si>
  <si>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</si>
  <si>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</si>
  <si>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</si>
  <si>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</si>
  <si>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</si>
  <si>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</si>
  <si>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</si>
  <si>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</si>
  <si>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</si>
  <si>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</si>
  <si>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</si>
  <si>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</si>
  <si>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</si>
  <si>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</si>
  <si>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</si>
  <si>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</si>
  <si>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</si>
  <si>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</si>
  <si>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</si>
  <si>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</si>
  <si>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</si>
  <si>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</si>
  <si>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</si>
  <si>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</si>
  <si>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</si>
  <si>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</si>
  <si>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</si>
  <si>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</si>
  <si>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</si>
  <si>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</si>
  <si>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</si>
  <si>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</si>
  <si>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</si>
  <si>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</si>
  <si>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</si>
  <si>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</si>
  <si>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</si>
  <si>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</si>
  <si>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</si>
  <si>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</si>
  <si>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</si>
  <si>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</si>
  <si>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</si>
  <si>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</si>
  <si>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</si>
  <si>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</si>
  <si>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</si>
  <si>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</si>
  <si>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</si>
  <si>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</si>
  <si>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</si>
  <si>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</si>
  <si>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</si>
  <si>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</si>
  <si>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</si>
  <si>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</si>
  <si>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</si>
  <si>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</si>
  <si>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</si>
  <si>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</si>
  <si>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</si>
  <si>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</si>
  <si>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</si>
  <si>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</si>
  <si>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</si>
  <si>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</si>
  <si>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</si>
  <si>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</si>
  <si>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</si>
  <si>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</si>
  <si>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</si>
  <si>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</si>
  <si>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</si>
  <si>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</si>
  <si>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</si>
  <si>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</si>
  <si>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</si>
  <si>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</si>
  <si>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</si>
  <si>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</si>
  <si>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</si>
  <si>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</si>
  <si>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</si>
  <si>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</si>
  <si>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</si>
  <si>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</si>
  <si>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</si>
  <si>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</si>
  <si>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</si>
  <si>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</si>
  <si>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</si>
  <si>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</si>
  <si>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</si>
  <si>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</si>
  <si>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</si>
  <si>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</si>
  <si>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</si>
  <si>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</si>
  <si>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</si>
  <si>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</si>
  <si>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</si>
  <si>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</si>
  <si>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</si>
  <si>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</si>
  <si>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</si>
  <si>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</si>
  <si>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</si>
  <si>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</si>
  <si>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</si>
  <si>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</si>
  <si>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</si>
  <si>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</si>
  <si>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</si>
  <si>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</si>
  <si>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</si>
  <si>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</si>
  <si>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</si>
  <si>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</si>
  <si>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</si>
  <si>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</si>
  <si>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</si>
  <si>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</si>
  <si>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</si>
  <si>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</si>
  <si>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</si>
  <si>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</si>
  <si>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</si>
  <si>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</si>
  <si>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</si>
  <si>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</si>
  <si>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</si>
  <si>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</si>
  <si>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</si>
  <si>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</si>
  <si>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</si>
  <si>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</si>
  <si>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</si>
  <si>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</si>
  <si>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</si>
  <si>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</si>
  <si>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</si>
  <si>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</si>
  <si>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</si>
  <si>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</si>
  <si>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</si>
  <si>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</si>
  <si>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</si>
  <si>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</si>
  <si>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</si>
  <si>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</si>
  <si>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</si>
  <si>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</si>
  <si>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</si>
  <si>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</si>
  <si>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</si>
  <si>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</si>
  <si>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</si>
  <si>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</si>
  <si>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</si>
  <si>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</si>
  <si>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</si>
  <si>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</si>
  <si>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</si>
  <si>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</si>
  <si>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</si>
  <si>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</si>
  <si>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</si>
  <si>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</si>
  <si>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</si>
  <si>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</si>
  <si>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</si>
  <si>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</si>
  <si>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</si>
  <si>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</si>
  <si>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</si>
  <si>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</si>
  <si>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</si>
  <si>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</si>
  <si>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</si>
  <si>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</si>
  <si>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</si>
  <si>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</si>
  <si>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T-073754-1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</si>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</sst>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0" fillId="0" borderId="6" xfId="0" applyNumberFormat="1" applyBorder="1" applyAlignment="1"/>
    <xf numFmtId="0" fontId="0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40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9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7.9078999999999979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10.046400000000002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34.033299999999997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17.277200000000001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63.565199999999997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16.941300000000002</c:v>
                </c:pt>
                <c:pt idx="1">
                  <c:v>0</c:v>
                </c:pt>
                <c:pt idx="2">
                  <c:v>3.3136999999999999</c:v>
                </c:pt>
                <c:pt idx="3">
                  <c:v>12.960799999999999</c:v>
                </c:pt>
                <c:pt idx="4">
                  <c:v>11.9184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77.304200000000009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7.8437999999999972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6.5799999999999415E-2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19.787699999999994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04" totalsRowShown="0" headerRowDxfId="138" tableBorderDxfId="137">
  <autoFilter ref="A1:AW1004" xr:uid="{00000000-000C-0000-FFFF-FFFF00000000}">
    <filterColumn colId="11">
      <filters>
        <filter val="P-198"/>
      </filters>
    </filterColumn>
  </autoFilter>
  <tableColumns count="49">
    <tableColumn id="1" xr3:uid="{00000000-0010-0000-0000-000001000000}" name="DESENHO_x000a_MDE" dataDxfId="136"/>
    <tableColumn id="43" xr3:uid="{56981E1B-CD3E-434D-AB02-C5F83A6F3E43}" name="DESENHO_x000a_CLIENTE" dataDxfId="135"/>
    <tableColumn id="2" xr3:uid="{00000000-0010-0000-0000-000002000000}" name="QTE" dataDxfId="134"/>
    <tableColumn id="3" xr3:uid="{00000000-0010-0000-0000-000003000000}" name="DESCRIÇÃO" dataDxfId="133"/>
    <tableColumn id="41" xr3:uid="{00000000-0010-0000-0000-000029000000}" name="COD.MDE" dataDxfId="132"/>
    <tableColumn id="40" xr3:uid="{00000000-0010-0000-0000-000028000000}" name="REMESSA" dataDxfId="131"/>
    <tableColumn id="4" xr3:uid="{00000000-0010-0000-0000-000004000000}" name="PESO UNI" dataDxfId="130"/>
    <tableColumn id="5" xr3:uid="{00000000-0010-0000-0000-000005000000}" name="PESO TOTAL" dataDxfId="129"/>
    <tableColumn id="6" xr3:uid="{00000000-0010-0000-0000-000006000000}" name="Revisão" dataDxfId="128"/>
    <tableColumn id="7" xr3:uid="{00000000-0010-0000-0000-000007000000}" name="TAG" dataDxfId="127"/>
    <tableColumn id="38" xr3:uid="{00000000-0010-0000-0000-000026000000}" name="PRODUTO" dataDxfId="126"/>
    <tableColumn id="8" xr3:uid="{00000000-0010-0000-0000-000008000000}" name="PEDIDO" dataDxfId="125"/>
    <tableColumn id="9" xr3:uid="{00000000-0010-0000-0000-000009000000}" name="Engenharia" dataDxfId="124"/>
    <tableColumn id="10" xr3:uid="{00000000-0010-0000-0000-00000A000000}" name="FORNECEDOR" dataDxfId="123"/>
    <tableColumn id="11" xr3:uid="{00000000-0010-0000-0000-00000B000000}" name="QTDE/ Fabricação" dataDxfId="122"/>
    <tableColumn id="12" xr3:uid="{00000000-0010-0000-0000-00000C000000}" name="DATA/Fabricação" dataDxfId="121"/>
    <tableColumn id="13" xr3:uid="{00000000-0010-0000-0000-00000D000000}" name="SALDO PENDENTE/Fabricação" dataDxfId="120"/>
    <tableColumn id="14" xr3:uid="{00000000-0010-0000-0000-00000E000000}" name="EVOLUÇÃO PRETO / Fabricação_x000a_(kg)" dataDxfId="119"/>
    <tableColumn id="15" xr3:uid="{00000000-0010-0000-0000-00000F000000}" name="PRONTO ACABADO kg" dataDxfId="118">
      <calculatedColumnFormula>IFERROR(H2*AG2,"")</calculatedColumnFormula>
    </tableColumn>
    <tableColumn id="16" xr3:uid="{00000000-0010-0000-0000-000010000000}" name="Pendencia  / Fabricação_x000a_EM KG" dataDxfId="117"/>
    <tableColumn id="17" xr3:uid="{00000000-0010-0000-0000-000011000000}" name="QIANTIDADE EXPEDIDA" dataDxfId="116"/>
    <tableColumn id="18" xr3:uid="{00000000-0010-0000-0000-000012000000}" name="ROMANEIO " dataDxfId="115"/>
    <tableColumn id="19" xr3:uid="{00000000-0010-0000-0000-000013000000}" name="DATA EXPEDIÇÃO" dataDxfId="114"/>
    <tableColumn id="20" xr3:uid="{00000000-0010-0000-0000-000014000000}" name="Peso Expedido" dataDxfId="113"/>
    <tableColumn id="21" xr3:uid="{00000000-0010-0000-0000-000015000000}" name="QUANTIDADE PENDENTE/Expedição" dataDxfId="112"/>
    <tableColumn id="22" xr3:uid="{00000000-0010-0000-0000-000016000000}" name="PESO PENDENTE/Expedição" dataDxfId="111"/>
    <tableColumn id="23" xr3:uid="{00000000-0010-0000-0000-000017000000}" name="MATÉRIA PRIMA" dataDxfId="110"/>
    <tableColumn id="24" xr3:uid="{00000000-0010-0000-0000-000018000000}" name="RELATORIO" dataDxfId="109"/>
    <tableColumn id="25" xr3:uid="{00000000-0010-0000-0000-000019000000}" name="PREPARAÇÃO " dataDxfId="108"/>
    <tableColumn id="26" xr3:uid="{00000000-0010-0000-0000-00001A000000}" name="CALDEIRARIA" dataDxfId="107"/>
    <tableColumn id="27" xr3:uid="{00000000-0010-0000-0000-00001B000000}" name="SOLDA" dataDxfId="106"/>
    <tableColumn id="28" xr3:uid="{00000000-0010-0000-0000-00001C000000}" name="ACABAMENTO" dataDxfId="105"/>
    <tableColumn id="29" xr3:uid="{00000000-0010-0000-0000-00001D000000}" name="PRONTO ACABADO" dataDxfId="104"/>
    <tableColumn id="30" xr3:uid="{00000000-0010-0000-0000-00001E000000}" name="EXPEDIÇÃO " dataDxfId="103"/>
    <tableColumn id="31" xr3:uid="{00000000-0010-0000-0000-00001F000000}" name="FINALIZADO " dataDxfId="102"/>
    <tableColumn id="32" xr3:uid="{00000000-0010-0000-0000-000020000000}" name="Coluna1" dataDxfId="101"/>
    <tableColumn id="33" xr3:uid="{00000000-0010-0000-0000-000021000000}" name="Coluna2" dataDxfId="100"/>
    <tableColumn id="34" xr3:uid="{00000000-0010-0000-0000-000022000000}" name="Coluna3" dataDxfId="99"/>
    <tableColumn id="35" xr3:uid="{00000000-0010-0000-0000-000023000000}" name="Coluna4" dataDxfId="98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7"/>
    <tableColumn id="42" xr3:uid="{44772FB5-94B9-4683-9D51-42A525419432}" name="Colunas7" dataDxfId="96"/>
    <tableColumn id="44" xr3:uid="{7DBCA215-A831-41EC-8668-4217050D7CEF}" name="Coluna5" dataDxfId="95"/>
    <tableColumn id="52" xr3:uid="{0F1E3E30-ACD2-41A7-9FEB-CFC4141C720F}" name="PRONTO NO PRETO" dataDxfId="94"/>
    <tableColumn id="53" xr3:uid="{7B42991E-C57D-449B-9CA4-FF51ED3B7EE1}" name="PRONTO ACABADO3" dataDxfId="93"/>
    <tableColumn id="54" xr3:uid="{B185D57F-2904-41B4-A913-414AD30553DC}" name="PESO EXPEDIDO2" dataDxfId="92"/>
    <tableColumn id="55" xr3:uid="{216FC5C0-1E81-4ACF-B1FE-D38AAA1F26E6}" name="PRONTO ACABADO2" dataDxfId="91"/>
    <tableColumn id="57" xr3:uid="{58807113-78D0-4422-B88A-8E66792B9681}" name="Coluna7" dataDxfId="90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3" totalsRowShown="0" headerRowDxfId="89" headerRowBorderDxfId="88" tableBorderDxfId="87" totalsRowBorderDxfId="86">
  <autoFilter ref="A1:F23" xr:uid="{9E04BDB3-7991-400D-A075-6EF4E207F167}"/>
  <tableColumns count="6">
    <tableColumn id="1" xr3:uid="{0986BF72-EBA9-4CAA-A22C-20021A2F0193}" name="PEDIDO" dataDxfId="85"/>
    <tableColumn id="2" xr3:uid="{1E29E510-3230-4D4A-9101-BF1603DA1959}" name="EQUIPAMENTO" dataDxfId="84"/>
    <tableColumn id="3" xr3:uid="{27EA8246-98FE-4DF0-AB4F-2563340E3A33}" name="DATA PREVISTA " dataDxfId="83"/>
    <tableColumn id="4" xr3:uid="{178705E0-20E1-4EA8-BD6A-04EDA09B960F}" name="DATA REPROGRAMADA" dataDxfId="82"/>
    <tableColumn id="5" xr3:uid="{D69E8AE6-FCF7-4D70-8443-DFF41092DBA5}" name="Observação" dataDxfId="81"/>
    <tableColumn id="6" xr3:uid="{7ED96CF2-6F65-4A02-A0B9-FFDE23E894EB}" name="CLIENTE" dataDxfId="8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9">
  <autoFilter ref="D3:R395" xr:uid="{D635AFD0-01A4-4F4C-B4BB-2C0A84AFA373}"/>
  <tableColumns count="15">
    <tableColumn id="1" xr3:uid="{71019319-E348-41C4-90A8-BD800AFA385A}" name="TAG" dataDxfId="78"/>
    <tableColumn id="2" xr3:uid="{6205B1F5-4B96-401E-A8F0-D0B582A87E91}" name="PEDIDO" dataDxfId="77">
      <calculatedColumnFormula>VLOOKUP(Tabela2[[#This Row],[TAG]],MICRO!J:L,3,0)</calculatedColumnFormula>
    </tableColumn>
    <tableColumn id="3" xr3:uid="{EBC41BBB-459B-4DB5-8152-2C7C2C7ADFAA}" name="FORNECEDOR" dataDxfId="76" dataCellStyle="Normal 2"/>
    <tableColumn id="4" xr3:uid="{EE719B42-3B82-4AC6-AB4D-66A5AF76AAFC}" name="RECEBIDO ENGENHARIA (kg)" dataDxfId="75">
      <calculatedColumnFormula>SUMIF(MICRO!AP:AP,O:O,MICRO!H:H)</calculatedColumnFormula>
    </tableColumn>
    <tableColumn id="5" xr3:uid="{F8EF71F0-2467-40E6-8596-0C50AE8B2E56}" name="EM AVANÇO NO PRETO (kg)" dataDxfId="74">
      <calculatedColumnFormula>SUMIF(MICRO!AP:AP,O:O,MICRO!R:R)</calculatedColumnFormula>
    </tableColumn>
    <tableColumn id="6" xr3:uid="{70FA8036-1726-409E-865E-BBD68DD0CF2B}" name="Pendencia  / Fabricação_x000a_EM KG _x000a_(Kg)" dataDxfId="73">
      <calculatedColumnFormula>SUMIF(MICRO!AP:AP,O:O,MICRO!T:T)</calculatedColumnFormula>
    </tableColumn>
    <tableColumn id="7" xr3:uid="{2EDBF5C8-B6A0-4234-9B37-F4D245CBE335}" name="EVOLUÇÃO %" dataDxfId="72">
      <calculatedColumnFormula>IF(G4 = 0,0,H4/G4)</calculatedColumnFormula>
    </tableColumn>
    <tableColumn id="8" xr3:uid="{981D372E-5C81-43AA-82CF-C526D0CD7BC5}" name="PESO EXPEDIDO" dataDxfId="71">
      <calculatedColumnFormula>SUMIF(MICRO!AP:AP,O:O,MICRO!X:X)</calculatedColumnFormula>
    </tableColumn>
    <tableColumn id="9" xr3:uid="{9581E1B5-4976-4A66-B050-5EDFF64499FF}" name="% EXPEDIDO" dataDxfId="70">
      <calculatedColumnFormula>IF(G4&lt;&gt;0,SUM(K4/G4*1),"0%")</calculatedColumnFormula>
    </tableColumn>
    <tableColumn id="10" xr3:uid="{5A0DEF47-FBD5-46D6-A019-DB5E3CF46E5B}" name="PESO PENDENTE4" dataDxfId="69">
      <calculatedColumnFormula>G4-K4</calculatedColumnFormula>
    </tableColumn>
    <tableColumn id="11" xr3:uid="{AD13F8E0-0652-4176-B922-E74BEC175E7A}" name="Coluna1" dataDxfId="68">
      <calculatedColumnFormula>E4&amp;F4</calculatedColumnFormula>
    </tableColumn>
    <tableColumn id="12" xr3:uid="{9AB5E2D8-1AD6-4B63-A9ED-66372E94A48F}" name="Coluna2" dataDxfId="67">
      <calculatedColumnFormula>D4&amp;E4&amp;F4</calculatedColumnFormula>
    </tableColumn>
    <tableColumn id="13" xr3:uid="{ED15B1A8-5672-4E4D-9246-3BC797332C64}" name="PRONTO NO PRETO" dataDxfId="66">
      <calculatedColumnFormula>SUMIF(MICRO!AP:AP,O4,MICRO!AS:AS)</calculatedColumnFormula>
    </tableColumn>
    <tableColumn id="14" xr3:uid="{986427E9-0E8F-46D1-987F-01DBA908B397}" name="PRONTO ACABADO" dataDxfId="65">
      <calculatedColumnFormula>SUMIF(MICRO!AP:AP,O4,MICRO!AT:AT)</calculatedColumnFormula>
    </tableColumn>
    <tableColumn id="15" xr3:uid="{4361E9F4-014E-4677-9D4A-8DBAE707BA31}" name="PESO EXPEDIDO2" dataDxfId="64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04"/>
  <sheetViews>
    <sheetView showGridLines="0" tabSelected="1" zoomScale="77" zoomScaleNormal="77" workbookViewId="0">
      <pane ySplit="1" topLeftCell="A809" activePane="bottomLeft" state="frozen"/>
      <selection activeCell="B52" sqref="B52:D52"/>
      <selection pane="bottomLeft" activeCell="H1" sqref="H1:H1048576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>IFERROR(H37*((AA37*0.25)+(AC37*0.25)+(AD37*0.225)+(AE37*0.225)+(AF37*0.05)),"")</f>
        <v>144</v>
      </c>
      <c r="S37" s="18">
        <f>IFERROR(H37*AG37,"")</f>
        <v>144</v>
      </c>
      <c r="T37" s="19">
        <f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>IFERROR(H38*((AA38*0.25)+(AC38*0.25)+(AD38*0.225)+(AE38*0.225)+(AF38*0.05)),"")</f>
        <v>741</v>
      </c>
      <c r="S38" s="18">
        <f>IFERROR(H38*AG38,"")</f>
        <v>741</v>
      </c>
      <c r="T38" s="19">
        <f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>IF(Z38&lt;=0,"ok","")</f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>IFERROR(H39*((AA39*0.25)+(AC39*0.25)+(AD39*0.225)+(AE39*0.225)+(AF39*0.05)),"")</f>
        <v>405</v>
      </c>
      <c r="S39" s="18">
        <f>IFERROR(H39*AG39,"")</f>
        <v>405</v>
      </c>
      <c r="T39" s="19">
        <f>IFERROR(S39-H39,"")</f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>U39-C39</f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>IF(Z39&lt;=0,"ok","")</f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>IFERROR(H40*((AA40*0.25)+(AC40*0.25)+(AD40*0.225)+(AE40*0.225)+(AF40*0.05)),"")</f>
        <v>10.8</v>
      </c>
      <c r="S40" s="18">
        <f>IFERROR(H40*AG40,"")</f>
        <v>10.8</v>
      </c>
      <c r="T40" s="19">
        <f>IFERROR(S40-H40,"")</f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>U40-C40</f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>IF(Z40&lt;=0,"ok","")</f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>IFERROR(H41*((AA41*0.25)+(AC41*0.25)+(AD41*0.225)+(AE41*0.225)+(AF41*0.05)),"")</f>
        <v>160</v>
      </c>
      <c r="S41" s="18">
        <f>IFERROR(H41*AG41,"")</f>
        <v>160</v>
      </c>
      <c r="T41" s="19">
        <f>IFERROR(S41-H41,"")</f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>U41-C41</f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>IF(Z41&lt;=0,"ok","")</f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>IFERROR(H42*((AA42*0.25)+(AC42*0.25)+(AD42*0.225)+(AE42*0.225)+(AF42*0.05)),"")</f>
        <v>12.8</v>
      </c>
      <c r="S42" s="18">
        <f>IFERROR(H42*AG42,"")</f>
        <v>12.8</v>
      </c>
      <c r="T42" s="19">
        <f>IFERROR(S42-H42,"")</f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>U42-C42</f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>IF(Z42&lt;=0,"ok","")</f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>IFERROR(H43*((AA43*0.25)+(AC43*0.25)+(AD43*0.225)+(AE43*0.225)+(AF43*0.05)),"")</f>
        <v>10.8</v>
      </c>
      <c r="S43" s="18">
        <f>IFERROR(H43*AG43,"")</f>
        <v>10.8</v>
      </c>
      <c r="T43" s="19">
        <f>IFERROR(S43-H43,"")</f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>U43-C43</f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>IF(Z43&lt;=0,"ok","")</f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>IFERROR(H44*((AA44*0.25)+(AC44*0.25)+(AD44*0.225)+(AE44*0.225)+(AF44*0.05)),"")</f>
        <v>12.8</v>
      </c>
      <c r="S44" s="18">
        <f>IFERROR(H44*AG44,"")</f>
        <v>12.8</v>
      </c>
      <c r="T44" s="19">
        <f>IFERROR(S44-H44,"")</f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>U44-C44</f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>IF(Z44&lt;=0,"ok","")</f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>IFERROR(H45*((AA45*0.25)+(AC45*0.25)+(AD45*0.225)+(AE45*0.225)+(AF45*0.05)),"")</f>
        <v>576</v>
      </c>
      <c r="S45" s="18">
        <f>IFERROR(H45*AG45,"")</f>
        <v>576</v>
      </c>
      <c r="T45" s="19">
        <f>IFERROR(S45-H45,"")</f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>U45-C45</f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>IF(Z45&lt;=0,"ok","")</f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>IFERROR(H46*((AA46*0.25)+(AC46*0.25)+(AD46*0.225)+(AE46*0.225)+(AF46*0.05)),"")</f>
        <v>96</v>
      </c>
      <c r="S46" s="18">
        <f>IFERROR(H46*AG46,"")</f>
        <v>96</v>
      </c>
      <c r="T46" s="19">
        <f>IFERROR(S46-H46,"")</f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>U46-C46</f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>IF(Z46&lt;=0,"ok","")</f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>IFERROR(H47*((AA47*0.25)+(AC47*0.25)+(AD47*0.225)+(AE47*0.225)+(AF47*0.05)),"")</f>
        <v>357</v>
      </c>
      <c r="S47" s="18">
        <f>IFERROR(H47*AG47,"")</f>
        <v>357</v>
      </c>
      <c r="T47" s="19">
        <f>IFERROR(S47-H47,"")</f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>U47-C47</f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>IF(Z47&lt;=0,"ok","")</f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>IFERROR(H48*((AA48*0.25)+(AC48*0.25)+(AD48*0.225)+(AE48*0.225)+(AF48*0.05)),"")</f>
        <v>384</v>
      </c>
      <c r="S48" s="18">
        <f>IFERROR(H48*AG48,"")</f>
        <v>384</v>
      </c>
      <c r="T48" s="19">
        <f>IFERROR(S48-H48,"")</f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>U48-C48</f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>IF(Z48&lt;=0,"ok","")</f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>IFERROR(H49*((AA49*0.25)+(AC49*0.25)+(AD49*0.225)+(AE49*0.225)+(AF49*0.05)),"")</f>
        <v>2112</v>
      </c>
      <c r="S49" s="18">
        <f>IFERROR(H49*AG49,"")</f>
        <v>2112</v>
      </c>
      <c r="T49" s="19">
        <f>IFERROR(S49-H49,"")</f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>U49-C49</f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>IF(Z49&lt;=0,"ok","")</f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>IFERROR(H50*((AA50*0.25)+(AC50*0.25)+(AD50*0.225)+(AE50*0.225)+(AF50*0.05)),"")</f>
        <v>68.400000000000006</v>
      </c>
      <c r="S50" s="18">
        <f>IFERROR(H50*AG50,"")</f>
        <v>68.400000000000006</v>
      </c>
      <c r="T50" s="19">
        <f>IFERROR(S50-H50,"")</f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>U50-C50</f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>IF(Z50&lt;=0,"ok","")</f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>IFERROR(H51*((AA51*0.25)+(AC51*0.25)+(AD51*0.225)+(AE51*0.225)+(AF51*0.05)),"")</f>
        <v>16.740000000000002</v>
      </c>
      <c r="S51" s="18">
        <f>IFERROR(H51*AG51,"")</f>
        <v>0</v>
      </c>
      <c r="T51" s="19">
        <f>IFERROR(S51-H51,"")</f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>U51-C51</f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>IF(Z51&lt;=0,"ok","")</f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>IFERROR(H52*((AA52*0.25)+(AC52*0.25)+(AD52*0.225)+(AE52*0.225)+(AF52*0.05)),"")</f>
        <v>0.9</v>
      </c>
      <c r="S52" s="18">
        <f>IFERROR(H52*AG52,"")</f>
        <v>0</v>
      </c>
      <c r="T52" s="19">
        <f>IFERROR(S52-H52,"")</f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>U52-C52</f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>IF(Z52&lt;=0,"ok","")</f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>IFERROR(H53*((AA53*0.25)+(AC53*0.25)+(AD53*0.225)+(AE53*0.225)+(AF53*0.05)),"")</f>
        <v>28.8</v>
      </c>
      <c r="S53" s="18">
        <f>IFERROR(H53*AG53,"")</f>
        <v>28.8</v>
      </c>
      <c r="T53" s="19">
        <f>IFERROR(S53-H53,"")</f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>U53-C53</f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>IF(Z53&lt;=0,"ok","")</f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2"/>
        <v>28.8</v>
      </c>
      <c r="AV53" s="37">
        <f t="shared" si="13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>IFERROR(H54*((AA54*0.25)+(AC54*0.25)+(AD54*0.225)+(AE54*0.225)+(AF54*0.05)),"")</f>
        <v>520</v>
      </c>
      <c r="S54" s="18">
        <f>IFERROR(H54*AG54,"")</f>
        <v>520</v>
      </c>
      <c r="T54" s="19">
        <f>IFERROR(S54-H54,"")</f>
        <v>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>U54-C54</f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/>
      <c r="AI54" s="33" t="str">
        <f>IF(Z54&lt;=0,"ok","")</f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520</v>
      </c>
      <c r="AU54" s="37">
        <f t="shared" si="12"/>
        <v>0</v>
      </c>
      <c r="AV54" s="37">
        <f t="shared" si="13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>IFERROR(H55*((AA55*0.25)+(AC55*0.25)+(AD55*0.225)+(AE55*0.225)+(AF55*0.05)),"")</f>
        <v>16.8</v>
      </c>
      <c r="S55" s="18">
        <f>IFERROR(H55*AG55,"")</f>
        <v>16.8</v>
      </c>
      <c r="T55" s="19">
        <f>IFERROR(S55-H55,"")</f>
        <v>0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>U55-C55</f>
        <v>-2</v>
      </c>
      <c r="Z55" s="20">
        <f>Tabela1[[#This Row],[PESO TOTAL]]-Tabela1[[#This Row],[Peso Expedido]]</f>
        <v>16.8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/>
      <c r="AI55" s="33" t="str">
        <f>IF(Z55&lt;=0,"ok","")</f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16.8</v>
      </c>
      <c r="AU55" s="37">
        <f t="shared" si="12"/>
        <v>0</v>
      </c>
      <c r="AV55" s="37">
        <f t="shared" si="13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>IFERROR(H56*((AA56*0.25)+(AC56*0.25)+(AD56*0.225)+(AE56*0.225)+(AF56*0.05)),"")</f>
        <v>10.8</v>
      </c>
      <c r="S56" s="18">
        <f>IFERROR(H56*AG56,"")</f>
        <v>10.8</v>
      </c>
      <c r="T56" s="19">
        <f>IFERROR(S56-H56,"")</f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>U56-C56</f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>IF(Z56&lt;=0,"ok","")</f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>IFERROR(H57*((AA57*0.25)+(AC57*0.25)+(AD57*0.225)+(AE57*0.225)+(AF57*0.05)),"")</f>
        <v>41.9</v>
      </c>
      <c r="S57" s="18">
        <f>IFERROR(H57*AG57,"")</f>
        <v>41.9</v>
      </c>
      <c r="T57" s="19">
        <f>IFERROR(S57-H57,"")</f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>U57-C57</f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>IF(Z57&lt;=0,"ok","")</f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>IFERROR(H58*((AA58*0.25)+(AC58*0.25)+(AD58*0.225)+(AE58*0.225)+(AF58*0.05)),"")</f>
        <v>54</v>
      </c>
      <c r="S58" s="18">
        <f>IFERROR(H58*AG58,"")</f>
        <v>54</v>
      </c>
      <c r="T58" s="19">
        <f>IFERROR(S58-H58,"")</f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>U58-C58</f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>IF(Z58&lt;=0,"ok","")</f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>IFERROR(H59*((AA59*0.25)+(AC59*0.25)+(AD59*0.225)+(AE59*0.225)+(AF59*0.05)),"")</f>
        <v>95.2</v>
      </c>
      <c r="S59" s="18">
        <f>IFERROR(H59*AG59,"")</f>
        <v>95.2</v>
      </c>
      <c r="T59" s="19">
        <f>IFERROR(S59-H59,"")</f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>U59-C59</f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>IF(Z59&lt;=0,"ok","")</f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>IFERROR(H60*((AA60*0.25)+(AC60*0.25)+(AD60*0.225)+(AE60*0.225)+(AF60*0.05)),"")</f>
        <v>2142</v>
      </c>
      <c r="S60" s="18">
        <f>IFERROR(H60*AG60,"")</f>
        <v>2142</v>
      </c>
      <c r="T60" s="19">
        <f>IFERROR(S60-H60,"")</f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>U60-C60</f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>IF(Z60&lt;=0,"ok","")</f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>IFERROR(H61*((AA61*0.25)+(AC61*0.25)+(AD61*0.225)+(AE61*0.225)+(AF61*0.05)),"")</f>
        <v>591.79999999999995</v>
      </c>
      <c r="S61" s="18">
        <f>IFERROR(H61*AG61,"")</f>
        <v>591.79999999999995</v>
      </c>
      <c r="T61" s="19">
        <f>IFERROR(S61-H61,"")</f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>U61-C61</f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>IF(Z61&lt;=0,"ok","")</f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>IFERROR(H62*((AA62*0.25)+(AC62*0.25)+(AD62*0.225)+(AE62*0.225)+(AF62*0.05)),"")</f>
        <v>394.5</v>
      </c>
      <c r="S62" s="18">
        <f>IFERROR(H62*AG62,"")</f>
        <v>394.5</v>
      </c>
      <c r="T62" s="19">
        <f>IFERROR(S62-H62,"")</f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>U62-C62</f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>IF(Z62&lt;=0,"ok","")</f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>IFERROR(H63*((AA63*0.25)+(AC63*0.25)+(AD63*0.225)+(AE63*0.225)+(AF63*0.05)),"")</f>
        <v>118.2</v>
      </c>
      <c r="S63" s="18">
        <f>IFERROR(H63*AG63,"")</f>
        <v>118.2</v>
      </c>
      <c r="T63" s="19">
        <f>IFERROR(S63-H63,"")</f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>U63-C63</f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>IF(Z63&lt;=0,"ok","")</f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>IFERROR(H64*((AA64*0.25)+(AC64*0.25)+(AD64*0.225)+(AE64*0.225)+(AF64*0.05)),"")</f>
        <v>53.8</v>
      </c>
      <c r="S64" s="18">
        <f>IFERROR(H64*AG64,"")</f>
        <v>53.8</v>
      </c>
      <c r="T64" s="19">
        <f>IFERROR(S64-H64,"")</f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>U64-C64</f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>IF(Z64&lt;=0,"ok","")</f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>IFERROR(H65*((AA65*0.25)+(AC65*0.25)+(AD65*0.225)+(AE65*0.225)+(AF65*0.05)),"")</f>
        <v>1064</v>
      </c>
      <c r="S65" s="18">
        <f>IFERROR(H65*AG65,"")</f>
        <v>1064</v>
      </c>
      <c r="T65" s="19">
        <f>IFERROR(S65-H65,"")</f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>U65-C65</f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>IF(Z65&lt;=0,"ok","")</f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>IFERROR(H66*((AA66*0.25)+(AC66*0.25)+(AD66*0.225)+(AE66*0.225)+(AF66*0.05)),"")</f>
        <v>230.4</v>
      </c>
      <c r="S66" s="18">
        <f>IFERROR(H66*AG66,"")</f>
        <v>230.4</v>
      </c>
      <c r="T66" s="19">
        <f>IFERROR(S66-H66,"")</f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>U66-C66</f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>IF(Z66&lt;=0,"ok","")</f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>IFERROR(H67*((AA67*0.25)+(AC67*0.25)+(AD67*0.225)+(AE67*0.225)+(AF67*0.05)),"")</f>
        <v>83.2</v>
      </c>
      <c r="S67" s="18">
        <f>IFERROR(H67*AG67,"")</f>
        <v>83.2</v>
      </c>
      <c r="T67" s="19">
        <f>IFERROR(S67-H67,"")</f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>U67-C67</f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>IF(Z67&lt;=0,"ok","")</f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83.2</v>
      </c>
      <c r="AV67" s="37">
        <f t="shared" si="13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>IFERROR(H68*((AA68*0.25)+(AC68*0.25)+(AD68*0.225)+(AE68*0.225)+(AF68*0.05)),"")</f>
        <v>98</v>
      </c>
      <c r="S68" s="18">
        <f>IFERROR(H68*AG68,"")</f>
        <v>98</v>
      </c>
      <c r="T68" s="19">
        <f>IFERROR(S68-H68,"")</f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>U68-C68</f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>IF(Z68&lt;=0,"ok","")</f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>IFERROR(H69*((AA69*0.25)+(AC69*0.25)+(AD69*0.225)+(AE69*0.225)+(AF69*0.05)),"")</f>
        <v>56</v>
      </c>
      <c r="S69" s="18">
        <f>IFERROR(H69*AG69,"")</f>
        <v>56</v>
      </c>
      <c r="T69" s="19">
        <f>IFERROR(S69-H69,"")</f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>U69-C69</f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>IF(Z69&lt;=0,"ok","")</f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4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>IFERROR(H70*((AA70*0.25)+(AC70*0.25)+(AD70*0.225)+(AE70*0.225)+(AF70*0.05)),"")</f>
        <v>10.8</v>
      </c>
      <c r="S70" s="18">
        <f>IFERROR(H70*AG70,"")</f>
        <v>10.8</v>
      </c>
      <c r="T70" s="19">
        <f>IFERROR(S70-H70,"")</f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>U70-C70</f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>IF(Z70&lt;=0,"ok","")</f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4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>IFERROR(H71*((AA71*0.25)+(AC71*0.25)+(AD71*0.225)+(AE71*0.225)+(AF71*0.05)),"")</f>
        <v>10.8</v>
      </c>
      <c r="S71" s="18">
        <f>IFERROR(H71*AG71,"")</f>
        <v>10.8</v>
      </c>
      <c r="T71" s="19">
        <f>IFERROR(S71-H71,"")</f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>U71-C71</f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>IF(Z71&lt;=0,"ok","")</f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4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>IFERROR(H72*((AA72*0.25)+(AC72*0.25)+(AD72*0.225)+(AE72*0.225)+(AF72*0.05)),"")</f>
        <v>3103.2000000000003</v>
      </c>
      <c r="S72" s="18">
        <f>IFERROR(H72*AG72,"")</f>
        <v>3103.2000000000003</v>
      </c>
      <c r="T72" s="19">
        <f>IFERROR(S72-H72,"")</f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>U72-C72</f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>IF(Z72&lt;=0,"ok","")</f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4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>IFERROR(H73*((AA73*0.25)+(AC73*0.25)+(AD73*0.225)+(AE73*0.225)+(AF73*0.05)),"")</f>
        <v>240</v>
      </c>
      <c r="S73" s="18">
        <f>IFERROR(H73*AG73,"")</f>
        <v>240</v>
      </c>
      <c r="T73" s="19">
        <f>IFERROR(S73-H73,"")</f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>U73-C73</f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>IF(Z73&lt;=0,"ok","")</f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4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>IFERROR(H74*((AA74*0.25)+(AC74*0.25)+(AD74*0.225)+(AE74*0.225)+(AF74*0.05)),"")</f>
        <v>56</v>
      </c>
      <c r="S74" s="18">
        <f>IFERROR(H74*AG74,"")</f>
        <v>56</v>
      </c>
      <c r="T74" s="19">
        <f>IFERROR(S74-H74,"")</f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>U74-C74</f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>IF(Z74&lt;=0,"ok","")</f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4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>IFERROR(H75*((AA75*0.25)+(AC75*0.25)+(AD75*0.225)+(AE75*0.225)+(AF75*0.05)),"")</f>
        <v>1200</v>
      </c>
      <c r="S75" s="18">
        <f>IFERROR(H75*AG75,"")</f>
        <v>1200</v>
      </c>
      <c r="T75" s="19">
        <f>IFERROR(S75-H75,"")</f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>U75-C75</f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>IF(Z75&lt;=0,"ok","")</f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4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>IFERROR(H76*((AA76*0.25)+(AC76*0.25)+(AD76*0.225)+(AE76*0.225)+(AF76*0.05)),"")</f>
        <v>864</v>
      </c>
      <c r="S76" s="18">
        <f>IFERROR(H76*AG76,"")</f>
        <v>864</v>
      </c>
      <c r="T76" s="19">
        <f>IFERROR(S76-H76,"")</f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>U76-C76</f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>IF(Z76&lt;=0,"ok","")</f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4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>IFERROR(H77*((AA77*0.25)+(AC77*0.25)+(AD77*0.225)+(AE77*0.225)+(AF77*0.05)),"")</f>
        <v>804</v>
      </c>
      <c r="S77" s="18">
        <f>IFERROR(H77*AG77,"")</f>
        <v>804</v>
      </c>
      <c r="T77" s="19">
        <f>IFERROR(S77-H77,"")</f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>U77-C77</f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>IF(Z77&lt;=0,"ok","")</f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4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>IFERROR(H78*((AA78*0.25)+(AC78*0.25)+(AD78*0.225)+(AE78*0.225)+(AF78*0.05)),"")</f>
        <v>469</v>
      </c>
      <c r="S78" s="18">
        <f>IFERROR(H78*AG78,"")</f>
        <v>469</v>
      </c>
      <c r="T78" s="19">
        <f>IFERROR(S78-H78,"")</f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>U78-C78</f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>IF(Z78&lt;=0,"ok","")</f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4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>IFERROR(H79*((AA79*0.25)+(AC79*0.25)+(AD79*0.225)+(AE79*0.225)+(AF79*0.05)),"")</f>
        <v>10.8</v>
      </c>
      <c r="S79" s="18">
        <f>IFERROR(H79*AG79,"")</f>
        <v>10.8</v>
      </c>
      <c r="T79" s="19">
        <f>IFERROR(S79-H79,"")</f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>U79-C79</f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>IF(Z79&lt;=0,"ok","")</f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4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5">IFERROR(H80*((AA80*0.25)+(AC80*0.25)+(AD80*0.225)+(AE80*0.225)+(AF80*0.05)),"")</f>
        <v>122.99999999999999</v>
      </c>
      <c r="S80" s="18">
        <f t="shared" ref="S80:S117" si="16">IFERROR(H80*AG80,"")</f>
        <v>122.99999999999999</v>
      </c>
      <c r="T80" s="19">
        <f t="shared" ref="T80:T114" si="17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6" si="18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4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2"/>
        <v>122.99999999999999</v>
      </c>
      <c r="AV80" s="37">
        <f t="shared" si="13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>IFERROR(H81*((AA81*0.25)+(AC81*0.25)+(AD81*0.225)+(AE81*0.225)+(AF81*0.05)),"")</f>
        <v>45</v>
      </c>
      <c r="S81" s="18">
        <f>IFERROR(H81*AG81,"")</f>
        <v>45</v>
      </c>
      <c r="T81" s="19">
        <f>IFERROR(S81-H81,"")</f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>U81-C81</f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>IF(Z81&lt;=0,"ok","")</f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4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>IFERROR(H82*((AA82*0.25)+(AC82*0.25)+(AD82*0.225)+(AE82*0.225)+(AF82*0.05)),"")</f>
        <v>396.3</v>
      </c>
      <c r="S82" s="18">
        <f>IFERROR(H82*AG82,"")</f>
        <v>396.3</v>
      </c>
      <c r="T82" s="19">
        <f>IFERROR(S82-H82,"")</f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>U82-C82</f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>IF(Z82&lt;=0,"ok","")</f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4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2"/>
        <v>396.3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>IFERROR(H83*((AA83*0.25)+(AC83*0.25)+(AD83*0.225)+(AE83*0.225)+(AF83*0.05)),"")</f>
        <v>290.60000000000002</v>
      </c>
      <c r="S83" s="18">
        <f>IFERROR(H83*AG83,"")</f>
        <v>290.60000000000002</v>
      </c>
      <c r="T83" s="19">
        <f>IFERROR(S83-H83,"")</f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>U83-C83</f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>IF(Z83&lt;=0,"ok","")</f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4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2"/>
        <v>290.60000000000002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>IFERROR(H84*((AA84*0.25)+(AC84*0.25)+(AD84*0.225)+(AE84*0.225)+(AF84*0.05)),"")</f>
        <v>290.60000000000002</v>
      </c>
      <c r="S84" s="18">
        <f>IFERROR(H84*AG84,"")</f>
        <v>290.60000000000002</v>
      </c>
      <c r="T84" s="19">
        <f>IFERROR(S84-H84,"")</f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>U84-C84</f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>IF(Z84&lt;=0,"ok","")</f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4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2"/>
        <v>290.60000000000002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>IFERROR(H85*((AA85*0.25)+(AC85*0.25)+(AD85*0.225)+(AE85*0.225)+(AF85*0.05)),"")</f>
        <v>295</v>
      </c>
      <c r="S85" s="18">
        <f>IFERROR(H85*AG85,"")</f>
        <v>295</v>
      </c>
      <c r="T85" s="19">
        <f>IFERROR(S85-H85,"")</f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>U85-C85</f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>IF(Z85&lt;=0,"ok","")</f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4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2"/>
        <v>295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>IFERROR(H86*((AA86*0.25)+(AC86*0.25)+(AD86*0.225)+(AE86*0.225)+(AF86*0.05)),"")</f>
        <v>144</v>
      </c>
      <c r="S86" s="18">
        <f>IFERROR(H86*AG86,"")</f>
        <v>144</v>
      </c>
      <c r="T86" s="19">
        <f>IFERROR(S86-H86,"")</f>
        <v>0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>U86-C86</f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17">
        <v>1</v>
      </c>
      <c r="AE86" s="17">
        <v>1</v>
      </c>
      <c r="AF86" s="17">
        <v>1</v>
      </c>
      <c r="AG86" s="17">
        <v>1</v>
      </c>
      <c r="AH86" s="33"/>
      <c r="AI86" s="33" t="str">
        <f>IF(Z86&lt;=0,"ok","")</f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4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144</v>
      </c>
      <c r="AU86" s="37">
        <f t="shared" si="12"/>
        <v>0</v>
      </c>
      <c r="AV86" s="37">
        <f t="shared" si="13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>IFERROR(H87*((AA87*0.25)+(AC87*0.25)+(AD87*0.225)+(AE87*0.225)+(AF87*0.05)),"")</f>
        <v>29.6</v>
      </c>
      <c r="S87" s="18">
        <f>IFERROR(H87*AG87,"")</f>
        <v>29.6</v>
      </c>
      <c r="T87" s="19">
        <f>IFERROR(S87-H87,"")</f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>U87-C87</f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>IF(Z87&lt;=0,"ok","")</f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4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2"/>
        <v>29.6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>IFERROR(H88*((AA88*0.25)+(AC88*0.25)+(AD88*0.225)+(AE88*0.225)+(AF88*0.05)),"")</f>
        <v>252</v>
      </c>
      <c r="S88" s="18">
        <f>IFERROR(H88*AG88,"")</f>
        <v>252</v>
      </c>
      <c r="T88" s="19">
        <f>IFERROR(S88-H88,"")</f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>U88-C88</f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>IF(Z88&lt;=0,"ok","")</f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4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2"/>
        <v>252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>IFERROR(H89*((AA89*0.25)+(AC89*0.25)+(AD89*0.225)+(AE89*0.225)+(AF89*0.05)),"")</f>
        <v>154.6</v>
      </c>
      <c r="S89" s="18">
        <f>IFERROR(H89*AG89,"")</f>
        <v>154.6</v>
      </c>
      <c r="T89" s="19">
        <f>IFERROR(S89-H89,"")</f>
        <v>0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>U89-C89</f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/>
      <c r="AI89" s="33" t="str">
        <f>IF(Z89&lt;=0,"ok","")</f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4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154.6</v>
      </c>
      <c r="AU89" s="37">
        <f t="shared" si="12"/>
        <v>0</v>
      </c>
      <c r="AV89" s="37">
        <f t="shared" si="13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>IFERROR(H90*((AA90*0.25)+(AC90*0.25)+(AD90*0.225)+(AE90*0.225)+(AF90*0.05)),"")</f>
        <v>36.4</v>
      </c>
      <c r="S90" s="18">
        <f>IFERROR(H90*AG90,"")</f>
        <v>36.4</v>
      </c>
      <c r="T90" s="19">
        <f>IFERROR(S90-H90,"")</f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>U90-C90</f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>IF(Z90&lt;=0,"ok","")</f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4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>IFERROR(H91*((AA91*0.25)+(AC91*0.25)+(AD91*0.225)+(AE91*0.225)+(AF91*0.05)),"")</f>
        <v>291.2</v>
      </c>
      <c r="S91" s="18">
        <f>IFERROR(H91*AG91,"")</f>
        <v>291.2</v>
      </c>
      <c r="T91" s="19">
        <f>IFERROR(S91-H91,"")</f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>U91-C91</f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>IF(Z91&lt;=0,"ok","")</f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4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2"/>
        <v>291.2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>IFERROR(H92*((AA92*0.25)+(AC92*0.25)+(AD92*0.225)+(AE92*0.225)+(AF92*0.05)),"")</f>
        <v>470.01600000000008</v>
      </c>
      <c r="S92" s="18">
        <f>IFERROR(H92*AG92,"")</f>
        <v>0</v>
      </c>
      <c r="T92" s="19">
        <f>IFERROR(S92-H92,"")</f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>U92-C92</f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4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>IFERROR(H93*((AA93*0.25)+(AC93*0.25)+(AD93*0.225)+(AE93*0.225)+(AF93*0.05)),"")</f>
        <v>78.336000000000013</v>
      </c>
      <c r="S93" s="18">
        <f>IFERROR(H93*AG93,"")</f>
        <v>0</v>
      </c>
      <c r="T93" s="19">
        <f>IFERROR(S93-H93,"")</f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>U93-C93</f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>IF(Z93&lt;=0,"ok","")</f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4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>IFERROR(H94*((AA94*0.25)+(AC94*0.25)+(AD94*0.225)+(AE94*0.225)+(AF94*0.05)),"")</f>
        <v>134.4</v>
      </c>
      <c r="S94" s="18">
        <f>IFERROR(H94*AG94,"")</f>
        <v>134.4</v>
      </c>
      <c r="T94" s="19">
        <f>IFERROR(S94-H94,"")</f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>U94-C94</f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>IF(Z94&lt;=0,"ok","")</f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4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>IFERROR(H95*((AA95*0.25)+(AC95*0.25)+(AD95*0.225)+(AE95*0.225)+(AF95*0.05)),"")</f>
        <v>42.21</v>
      </c>
      <c r="S95" s="18">
        <f>IFERROR(H95*AG95,"")</f>
        <v>0</v>
      </c>
      <c r="T95" s="19">
        <f>IFERROR(S95-H95,"")</f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>U95-C95</f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>IF(Z95&lt;=0,"ok","")</f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4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>IFERROR(H96*((AA96*0.25)+(AC96*0.25)+(AD96*0.225)+(AE96*0.225)+(AF96*0.05)),"")</f>
        <v>34.020000000000003</v>
      </c>
      <c r="S96" s="18">
        <f>IFERROR(H96*AG96,"")</f>
        <v>0</v>
      </c>
      <c r="T96" s="19">
        <f>IFERROR(S96-H96,"")</f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>U96-C96</f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>IF(Z96&lt;=0,"ok","")</f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4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>IFERROR(H97*((AA97*0.25)+(AC97*0.25)+(AD97*0.225)+(AE97*0.225)+(AF97*0.05)),"")</f>
        <v>26.3</v>
      </c>
      <c r="S97" s="18">
        <f>IFERROR(H97*AG97,"")</f>
        <v>26.3</v>
      </c>
      <c r="T97" s="19">
        <f>IFERROR(S97-H97,"")</f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>U97-C97</f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>IF(Z97&lt;=0,"ok","")</f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4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2"/>
        <v>26.3</v>
      </c>
      <c r="AV97" s="37">
        <f t="shared" si="13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>IFERROR(H98*((AA98*0.25)+(AC98*0.25)+(AD98*0.225)+(AE98*0.225)+(AF98*0.05)),"")</f>
        <v>2.4</v>
      </c>
      <c r="S98" s="18">
        <f>IFERROR(H98*AG98,"")</f>
        <v>2.4</v>
      </c>
      <c r="T98" s="19">
        <f>IFERROR(S98-H98,"")</f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>U98-C98</f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>IF(Z98&lt;=0,"ok","")</f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4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>IFERROR(H99*((AA99*0.25)+(AC99*0.25)+(AD99*0.225)+(AE99*0.225)+(AF99*0.05)),"")</f>
        <v>0.9900000000000001</v>
      </c>
      <c r="S99" s="18">
        <f>IFERROR(H99*AG99,"")</f>
        <v>0</v>
      </c>
      <c r="T99" s="19">
        <f>IFERROR(S99-H99,"")</f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>U99-C99</f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>IF(Z99&lt;=0,"ok","")</f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4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>IFERROR(H100*((AA100*0.25)+(AC100*0.25)+(AD100*0.225)+(AE100*0.225)+(AF100*0.05)),"")</f>
        <v>1.08</v>
      </c>
      <c r="S100" s="18">
        <f>IFERROR(H100*AG100,"")</f>
        <v>0</v>
      </c>
      <c r="T100" s="19">
        <f>IFERROR(S100-H100,"")</f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>U100-C100</f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>IF(Z100&lt;=0,"ok","")</f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4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>IFERROR(H101*((AA101*0.25)+(AC101*0.25)+(AD101*0.225)+(AE101*0.225)+(AF101*0.05)),"")</f>
        <v>10.8</v>
      </c>
      <c r="S101" s="18">
        <f>IFERROR(H101*AG101,"")</f>
        <v>10.8</v>
      </c>
      <c r="T101" s="19">
        <f>IFERROR(S101-H101,"")</f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>U101-C101</f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>IF(Z101&lt;=0,"ok","")</f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4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19">IF(AH101="",0,IF(ISTEXT(AH101),H101*VALUE(SUBSTITUTE(AH101,"%",""))/100,H101*AH101))</f>
        <v>10.8</v>
      </c>
      <c r="AV101" s="37">
        <f t="shared" ref="AV101:AV163" si="20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>IFERROR(H102*((AA102*0.25)+(AC102*0.25)+(AD102*0.225)+(AE102*0.225)+(AF102*0.05)),"")</f>
        <v>12.8</v>
      </c>
      <c r="S102" s="18">
        <f>IFERROR(H102*AG102,"")</f>
        <v>12.8</v>
      </c>
      <c r="T102" s="19">
        <f>IFERROR(S102-H102,"")</f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>U102-C102</f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>IF(Z102&lt;=0,"ok","")</f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4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19"/>
        <v>12.8</v>
      </c>
      <c r="AV102" s="37">
        <f t="shared" si="20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>IFERROR(H103*((AA103*0.25)+(AC103*0.25)+(AD103*0.225)+(AE103*0.225)+(AF103*0.05)),"")</f>
        <v>324</v>
      </c>
      <c r="S103" s="18">
        <f>IFERROR(H103*AG103,"")</f>
        <v>324</v>
      </c>
      <c r="T103" s="19">
        <f>IFERROR(S103-H103,"")</f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>U103-C103</f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>IF(Z103&lt;=0,"ok","")</f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4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19"/>
        <v>324</v>
      </c>
      <c r="AV103" s="37">
        <f t="shared" si="20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>IFERROR(H104*((AA104*0.25)+(AC104*0.25)+(AD104*0.225)+(AE104*0.225)+(AF104*0.05)),"")</f>
        <v>11.514999999999999</v>
      </c>
      <c r="S104" s="18">
        <f>IFERROR(H104*AG104,"")</f>
        <v>0</v>
      </c>
      <c r="T104" s="19">
        <f>IFERROR(S104-H104,"")</f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>U104-C104</f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>IF(Z104&lt;=0,"ok","")</f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4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19"/>
        <v>0</v>
      </c>
      <c r="AV104" s="37">
        <f t="shared" si="20"/>
        <v>0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>IFERROR(H105*((AA105*0.25)+(AC105*0.25)+(AD105*0.225)+(AE105*0.225)+(AF105*0.05)),"")</f>
        <v>378</v>
      </c>
      <c r="S105" s="18">
        <f>IFERROR(H105*AG105,"")</f>
        <v>378</v>
      </c>
      <c r="T105" s="19">
        <f>IFERROR(S105-H105,"")</f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>U105-C105</f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>IF(Z105&lt;=0,"ok","")</f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4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19"/>
        <v>378</v>
      </c>
      <c r="AV105" s="37">
        <f t="shared" si="20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>IFERROR(H106*((AA106*0.25)+(AC106*0.25)+(AD106*0.225)+(AE106*0.225)+(AF106*0.05)),"")</f>
        <v>120</v>
      </c>
      <c r="S106" s="18">
        <f>IFERROR(H106*AG106,"")</f>
        <v>120</v>
      </c>
      <c r="T106" s="19">
        <f>IFERROR(S106-H106,"")</f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>U106-C106</f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>IF(Z106&lt;=0,"ok","")</f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4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19"/>
        <v>120</v>
      </c>
      <c r="AV106" s="37">
        <f t="shared" si="20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>IFERROR(H107*((AA107*0.25)+(AC107*0.25)+(AD107*0.225)+(AE107*0.225)+(AF107*0.05)),"")</f>
        <v>18.5</v>
      </c>
      <c r="S107" s="18">
        <f>IFERROR(H107*AG107,"")</f>
        <v>18.5</v>
      </c>
      <c r="T107" s="19">
        <f>IFERROR(S107-H107,"")</f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>U107-C107</f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>IF(Z107&lt;=0,"ok","")</f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4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19"/>
        <v>18.5</v>
      </c>
      <c r="AV107" s="37">
        <f t="shared" si="20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>IFERROR(H108*((AA108*0.25)+(AC108*0.25)+(AD108*0.225)+(AE108*0.225)+(AF108*0.05)),"")</f>
        <v>31.2</v>
      </c>
      <c r="S108" s="18">
        <f>IFERROR(H108*AG108,"")</f>
        <v>31.2</v>
      </c>
      <c r="T108" s="19">
        <f>IFERROR(S108-H108,"")</f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>U108-C108</f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>IF(Z108&lt;=0,"ok","")</f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4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19"/>
        <v>31.2</v>
      </c>
      <c r="AV108" s="37">
        <f t="shared" si="20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>IFERROR(H109*((AA109*0.25)+(AC109*0.25)+(AD109*0.225)+(AE109*0.225)+(AF109*0.05)),"")</f>
        <v>30</v>
      </c>
      <c r="S109" s="18">
        <f>IFERROR(H109*AG109,"")</f>
        <v>30</v>
      </c>
      <c r="T109" s="19">
        <f>IFERROR(S109-H109,"")</f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>U109-C109</f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>IF(Z109&lt;=0,"ok","")</f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4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19"/>
        <v>0</v>
      </c>
      <c r="AV109" s="37">
        <f t="shared" si="20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>IFERROR(H110*((AA110*0.25)+(AC110*0.25)+(AD110*0.225)+(AE110*0.225)+(AF110*0.05)),"")</f>
        <v>103.2</v>
      </c>
      <c r="S110" s="18">
        <f>IFERROR(H110*AG110,"")</f>
        <v>103.2</v>
      </c>
      <c r="T110" s="19">
        <f>IFERROR(S110-H110,"")</f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>U110-C110</f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>IF(Z110&lt;=0,"ok","")</f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4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19"/>
        <v>103.2</v>
      </c>
      <c r="AV110" s="37">
        <f t="shared" si="20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>IFERROR(H111*((AA111*0.25)+(AC111*0.25)+(AD111*0.225)+(AE111*0.225)+(AF111*0.05)),"")</f>
        <v>309.10000000000002</v>
      </c>
      <c r="S111" s="18">
        <f>IFERROR(H111*AG111,"")</f>
        <v>309.10000000000002</v>
      </c>
      <c r="T111" s="19">
        <f>IFERROR(S111-H111,"")</f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>U111-C111</f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>IF(Z111&lt;=0,"ok","")</f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4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19"/>
        <v>309.10000000000002</v>
      </c>
      <c r="AV111" s="37">
        <f t="shared" si="20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>IFERROR(H112*((AA112*0.25)+(AC112*0.25)+(AD112*0.225)+(AE112*0.225)+(AF112*0.05)),"")</f>
        <v>392</v>
      </c>
      <c r="S112" s="18">
        <f>IFERROR(H112*AG112,"")</f>
        <v>392</v>
      </c>
      <c r="T112" s="19">
        <f>IFERROR(S112-H112,"")</f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>U112-C112</f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>IF(Z112&lt;=0,"ok","")</f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4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19"/>
        <v>392</v>
      </c>
      <c r="AV112" s="37">
        <f t="shared" si="20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>IFERROR(H113*((AA113*0.25)+(AC113*0.25)+(AD113*0.225)+(AE113*0.225)+(AF113*0.05)),"")</f>
        <v>41.8</v>
      </c>
      <c r="S113" s="18">
        <f>IFERROR(H113*AG113,"")</f>
        <v>41.8</v>
      </c>
      <c r="T113" s="19">
        <f>IFERROR(S113-H113,"")</f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>U113-C113</f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>IF(Z113&lt;=0,"ok","")</f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4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19"/>
        <v>41.8</v>
      </c>
      <c r="AV113" s="37">
        <f t="shared" si="20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>IFERROR(H114*((AA114*0.25)+(AC114*0.25)+(AD114*0.225)+(AE114*0.225)+(AF114*0.05)),"")</f>
        <v>10.8</v>
      </c>
      <c r="S114" s="18">
        <f>IFERROR(H114*AG114,"")</f>
        <v>10.8</v>
      </c>
      <c r="T114" s="19">
        <f>IFERROR(S114-H114,"")</f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>U114-C114</f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>IF(Z114&lt;=0,"ok","")</f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4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19"/>
        <v>10.8</v>
      </c>
      <c r="AV114" s="37">
        <f t="shared" si="2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1">IFERROR(H115*((AA115*0.25)+(AC115*0.25)+(AD115*0.225)+(AE115*0.225)+(AF115*0.05)),"")</f>
        <v>97.199999999999989</v>
      </c>
      <c r="S115" s="18">
        <f t="shared" si="16"/>
        <v>97.199999999999989</v>
      </c>
      <c r="T115" s="19">
        <f t="shared" ref="T115:T148" si="22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8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ref="AI92:AI154" si="23">IF(Z115&lt;=0,"ok","")</f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4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19"/>
        <v>0</v>
      </c>
      <c r="AV115" s="37">
        <f t="shared" si="2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>IFERROR(H116*((AA116*0.25)+(AC116*0.25)+(AD116*0.225)+(AE116*0.225)+(AF116*0.05)),"")</f>
        <v>0</v>
      </c>
      <c r="S116" s="18">
        <f>IFERROR(H116*AG116,"")</f>
        <v>0</v>
      </c>
      <c r="T116" s="19">
        <f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>U116-C116</f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4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19"/>
        <v>0</v>
      </c>
      <c r="AV116" s="37">
        <f t="shared" si="2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>IFERROR(H117*((AA117*0.25)+(AC117*0.25)+(AD117*0.225)+(AE117*0.225)+(AF117*0.05)),"")</f>
        <v>0</v>
      </c>
      <c r="S117" s="18">
        <f>IFERROR(H117*AG117,"")</f>
        <v>0</v>
      </c>
      <c r="T117" s="19">
        <f>IFERROR(S117-H117,"")</f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>IF(Z117&lt;=0,"ok","")</f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4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19"/>
        <v>0</v>
      </c>
      <c r="AV117" s="37">
        <f t="shared" si="2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>IFERROR(H118*((AA118*0.25)+(AC118*0.25)+(AD118*0.225)+(AE118*0.225)+(AF118*0.05)),"")</f>
        <v>0</v>
      </c>
      <c r="S118" s="18">
        <f>IFERROR(H118*AG118,"")</f>
        <v>0</v>
      </c>
      <c r="T118" s="19">
        <f>IFERROR(S118-H118,"")</f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>U118-C118</f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>IF(Z118&lt;=0,"ok","")</f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4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19"/>
        <v>0</v>
      </c>
      <c r="AV118" s="37">
        <f t="shared" si="2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>IFERROR(H119*((AA119*0.25)+(AC119*0.25)+(AD119*0.225)+(AE119*0.225)+(AF119*0.05)),"")</f>
        <v>0</v>
      </c>
      <c r="S119" s="18">
        <f>IFERROR(H119*AG119,"")</f>
        <v>0</v>
      </c>
      <c r="T119" s="19">
        <f>IFERROR(S119-H119,"")</f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>U119-C119</f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>IF(Z119&lt;=0,"ok","")</f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4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19"/>
        <v>0</v>
      </c>
      <c r="AV119" s="37">
        <f t="shared" si="2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>IFERROR(H120*((AA120*0.25)+(AC120*0.25)+(AD120*0.225)+(AE120*0.225)+(AF120*0.05)),"")</f>
        <v>0</v>
      </c>
      <c r="S120" s="18">
        <f>IFERROR(H120*AG120,"")</f>
        <v>0</v>
      </c>
      <c r="T120" s="19">
        <f>IFERROR(S120-H120,"")</f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>U120-C120</f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>IF(Z120&lt;=0,"ok","")</f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4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19"/>
        <v>0</v>
      </c>
      <c r="AV120" s="37">
        <f t="shared" si="2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0</v>
      </c>
      <c r="S121" s="18">
        <f>IFERROR(H121*AG121,"")</f>
        <v>0</v>
      </c>
      <c r="T121" s="19">
        <f>IFERROR(S121-H121,"")</f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>U121-C121</f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>IF(Z121&lt;=0,"ok","")</f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4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19"/>
        <v>0</v>
      </c>
      <c r="AV121" s="37">
        <f t="shared" si="2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>IFERROR(H122*((AA122*0.25)+(AC122*0.25)+(AD122*0.225)+(AE122*0.225)+(AF122*0.05)),"")</f>
        <v>0</v>
      </c>
      <c r="S122" s="18">
        <f>IFERROR(H122*AG122,"")</f>
        <v>0</v>
      </c>
      <c r="T122" s="19">
        <f>IFERROR(S122-H122,"")</f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>U122-C122</f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>IF(Z122&lt;=0,"ok","")</f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4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19"/>
        <v>0</v>
      </c>
      <c r="AV122" s="37">
        <f t="shared" si="2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>IFERROR(H123*((AA123*0.25)+(AC123*0.25)+(AD123*0.225)+(AE123*0.225)+(AF123*0.05)),"")</f>
        <v>0</v>
      </c>
      <c r="S123" s="18">
        <f>IFERROR(H123*AG123,"")</f>
        <v>0</v>
      </c>
      <c r="T123" s="19">
        <f>IFERROR(S123-H123,"")</f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>U123-C123</f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>IF(Z123&lt;=0,"ok","")</f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4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19"/>
        <v>0</v>
      </c>
      <c r="AV123" s="37">
        <f t="shared" si="2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>IFERROR(H124*((AA124*0.25)+(AC124*0.25)+(AD124*0.225)+(AE124*0.225)+(AF124*0.05)),"")</f>
        <v>0</v>
      </c>
      <c r="S124" s="18">
        <f>IFERROR(H124*AG124,"")</f>
        <v>0</v>
      </c>
      <c r="T124" s="19">
        <f>IFERROR(S124-H124,"")</f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>U124-C124</f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>IF(Z124&lt;=0,"ok","")</f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4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19"/>
        <v>0</v>
      </c>
      <c r="AV124" s="37">
        <f t="shared" si="2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>IFERROR(H125*((AA125*0.25)+(AC125*0.25)+(AD125*0.225)+(AE125*0.225)+(AF125*0.05)),"")</f>
        <v>0</v>
      </c>
      <c r="S125" s="18">
        <f>IFERROR(H125*AG125,"")</f>
        <v>0</v>
      </c>
      <c r="T125" s="19">
        <f>IFERROR(S125-H125,"")</f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>U125-C125</f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>IF(Z125&lt;=0,"ok","")</f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4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19"/>
        <v>0</v>
      </c>
      <c r="AV125" s="37">
        <f t="shared" si="2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>IFERROR(H126*((AA126*0.25)+(AC126*0.25)+(AD126*0.225)+(AE126*0.225)+(AF126*0.05)),"")</f>
        <v>0</v>
      </c>
      <c r="S126" s="18">
        <f>IFERROR(H126*AG126,"")</f>
        <v>0</v>
      </c>
      <c r="T126" s="19">
        <f>IFERROR(S126-H126,"")</f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>U126-C126</f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>IF(Z126&lt;=0,"ok","")</f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4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19"/>
        <v>0</v>
      </c>
      <c r="AV126" s="37">
        <f t="shared" si="2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>IFERROR(H127*((AA127*0.25)+(AC127*0.25)+(AD127*0.225)+(AE127*0.225)+(AF127*0.05)),"")</f>
        <v>0</v>
      </c>
      <c r="S127" s="18">
        <f>IFERROR(H127*AG127,"")</f>
        <v>0</v>
      </c>
      <c r="T127" s="19">
        <f>IFERROR(S127-H127,"")</f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>U127-C127</f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>IF(Z127&lt;=0,"ok","")</f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4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19"/>
        <v>0</v>
      </c>
      <c r="AV127" s="37">
        <f t="shared" si="2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>IFERROR(H128*((AA128*0.25)+(AC128*0.25)+(AD128*0.225)+(AE128*0.225)+(AF128*0.05)),"")</f>
        <v>33</v>
      </c>
      <c r="S128" s="18">
        <f>IFERROR(H128*AG128,"")</f>
        <v>33</v>
      </c>
      <c r="T128" s="19">
        <f>IFERROR(S128-H128,"")</f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>U128-C128</f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>IF(Z128&lt;=0,"ok","")</f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4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19"/>
        <v>0</v>
      </c>
      <c r="AV128" s="37">
        <f t="shared" si="2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>IFERROR(H129*((AA129*0.25)+(AC129*0.25)+(AD129*0.225)+(AE129*0.225)+(AF129*0.05)),"")</f>
        <v>453.9</v>
      </c>
      <c r="S129" s="18">
        <f>IFERROR(H129*AG129,"")</f>
        <v>453.9</v>
      </c>
      <c r="T129" s="19">
        <f>IFERROR(S129-H129,"")</f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>U129-C129</f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4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19"/>
        <v>453.9</v>
      </c>
      <c r="AV129" s="37">
        <f t="shared" si="20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>IFERROR(H130*((AA130*0.25)+(AC130*0.25)+(AD130*0.225)+(AE130*0.225)+(AF130*0.05)),"")</f>
        <v>22.200000000000003</v>
      </c>
      <c r="S130" s="18">
        <f>IFERROR(H130*AG130,"")</f>
        <v>22.200000000000003</v>
      </c>
      <c r="T130" s="19">
        <f>IFERROR(S130-H130,"")</f>
        <v>0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>U130-C130</f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/>
      <c r="AI130" s="33" t="str">
        <f>IF(Z130&lt;=0,"ok","")</f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4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22.200000000000003</v>
      </c>
      <c r="AU130" s="37">
        <f t="shared" si="19"/>
        <v>0</v>
      </c>
      <c r="AV130" s="37">
        <f t="shared" si="20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>IFERROR(H131*((AA131*0.25)+(AC131*0.25)+(AD131*0.225)+(AE131*0.225)+(AF131*0.05)),"")</f>
        <v>470.6</v>
      </c>
      <c r="S131" s="18">
        <f>IFERROR(H131*AG131,"")</f>
        <v>470.6</v>
      </c>
      <c r="T131" s="19">
        <f>IFERROR(S131-H131,"")</f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>U131-C131</f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>IF(Z131&lt;=0,"ok","")</f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4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19"/>
        <v>470.6</v>
      </c>
      <c r="AV131" s="37">
        <f t="shared" si="2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>IFERROR(H132*((AA132*0.25)+(AC132*0.25)+(AD132*0.225)+(AE132*0.225)+(AF132*0.05)),"")</f>
        <v>316.8</v>
      </c>
      <c r="S132" s="18">
        <f>IFERROR(H132*AG132,"")</f>
        <v>316.8</v>
      </c>
      <c r="T132" s="19">
        <f>IFERROR(S132-H132,"")</f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>U132-C132</f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>IF(Z132&lt;=0,"ok","")</f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4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19"/>
        <v>0</v>
      </c>
      <c r="AV132" s="37">
        <f t="shared" si="2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>IFERROR(H133*((AA133*0.25)+(AC133*0.25)+(AD133*0.225)+(AE133*0.225)+(AF133*0.05)),"")</f>
        <v>324</v>
      </c>
      <c r="S133" s="18">
        <f>IFERROR(H133*AG133,"")</f>
        <v>324</v>
      </c>
      <c r="T133" s="19">
        <f>IFERROR(S133-H133,"")</f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>U133-C133</f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>IF(Z133&lt;=0,"ok","")</f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24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19"/>
        <v>0</v>
      </c>
      <c r="AV133" s="37">
        <f t="shared" si="20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>IFERROR(H134*((AA134*0.25)+(AC134*0.25)+(AD134*0.225)+(AE134*0.225)+(AF134*0.05)),"")</f>
        <v>547.20000000000005</v>
      </c>
      <c r="S134" s="18">
        <f>IFERROR(H134*AG134,"")</f>
        <v>547.20000000000005</v>
      </c>
      <c r="T134" s="19">
        <f>IFERROR(S134-H134,"")</f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>U134-C134</f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24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19"/>
        <v>547.20000000000005</v>
      </c>
      <c r="AV134" s="37">
        <f t="shared" si="20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>IFERROR(H135*((AA135*0.25)+(AC135*0.25)+(AD135*0.225)+(AE135*0.225)+(AF135*0.05)),"")</f>
        <v>0</v>
      </c>
      <c r="S135" s="18">
        <f>IFERROR(H135*AG135,"")</f>
        <v>0</v>
      </c>
      <c r="T135" s="19">
        <f>IFERROR(S135-H135,"")</f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>U135-C135</f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>IF(Z135&lt;=0,"ok","")</f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24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19"/>
        <v>0</v>
      </c>
      <c r="AV135" s="37">
        <f t="shared" si="20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>IFERROR(H136*((AA136*0.25)+(AC136*0.25)+(AD136*0.225)+(AE136*0.225)+(AF136*0.05)),"")</f>
        <v>0</v>
      </c>
      <c r="S136" s="18">
        <f>IFERROR(H136*AG136,"")</f>
        <v>0</v>
      </c>
      <c r="T136" s="19">
        <f>IFERROR(S136-H136,"")</f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>U136-C136</f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>IF(Z136&lt;=0,"ok","")</f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24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19"/>
        <v>0</v>
      </c>
      <c r="AV136" s="37">
        <f t="shared" si="20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>IFERROR(H137*((AA137*0.25)+(AC137*0.25)+(AD137*0.225)+(AE137*0.225)+(AF137*0.05)),"")</f>
        <v>0</v>
      </c>
      <c r="S137" s="18">
        <f>IFERROR(H137*AG137,"")</f>
        <v>0</v>
      </c>
      <c r="T137" s="19">
        <f>IFERROR(S137-H137,"")</f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>U137-C137</f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>IF(Z137&lt;=0,"ok","")</f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24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19"/>
        <v>0</v>
      </c>
      <c r="AV137" s="37">
        <f t="shared" si="2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>IFERROR(H138*((AA138*0.25)+(AC138*0.25)+(AD138*0.225)+(AE138*0.225)+(AF138*0.05)),"")</f>
        <v>0</v>
      </c>
      <c r="S138" s="18">
        <f>IFERROR(H138*AG138,"")</f>
        <v>0</v>
      </c>
      <c r="T138" s="19">
        <f>IFERROR(S138-H138,"")</f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>U138-C138</f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>IF(Z138&lt;=0,"ok","")</f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24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19"/>
        <v>0</v>
      </c>
      <c r="AV138" s="37">
        <f t="shared" si="2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>IFERROR(H139*((AA139*0.25)+(AC139*0.25)+(AD139*0.225)+(AE139*0.225)+(AF139*0.05)),"")</f>
        <v>0</v>
      </c>
      <c r="S139" s="18">
        <f>IFERROR(H139*AG139,"")</f>
        <v>0</v>
      </c>
      <c r="T139" s="19">
        <f>IFERROR(S139-H139,"")</f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>U139-C139</f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>IF(Z139&lt;=0,"ok","")</f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24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19"/>
        <v>0</v>
      </c>
      <c r="AV139" s="37">
        <f t="shared" si="2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>IFERROR(H140*((AA140*0.25)+(AC140*0.25)+(AD140*0.225)+(AE140*0.225)+(AF140*0.05)),"")</f>
        <v>0</v>
      </c>
      <c r="S140" s="18">
        <f>IFERROR(H140*AG140,"")</f>
        <v>0</v>
      </c>
      <c r="T140" s="19">
        <f>IFERROR(S140-H140,"")</f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>U140-C140</f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>IF(Z140&lt;=0,"ok","")</f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24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19"/>
        <v>0</v>
      </c>
      <c r="AV140" s="37">
        <f t="shared" si="2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IFERROR(H141*((AA141*0.25)+(AC141*0.25)+(AD141*0.225)+(AE141*0.225)+(AF141*0.05)),"")</f>
        <v>0</v>
      </c>
      <c r="S141" s="18">
        <f>IFERROR(H141*AG141,"")</f>
        <v>0</v>
      </c>
      <c r="T141" s="19">
        <f>IFERROR(S141-H141,"")</f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>U141-C141</f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>IF(Z141&lt;=0,"ok","")</f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24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19"/>
        <v>0</v>
      </c>
      <c r="AV141" s="37">
        <f t="shared" si="2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>IFERROR(H142*((AA142*0.25)+(AC142*0.25)+(AD142*0.225)+(AE142*0.225)+(AF142*0.05)),"")</f>
        <v>0</v>
      </c>
      <c r="S142" s="18">
        <f>IFERROR(H142*AG142,"")</f>
        <v>0</v>
      </c>
      <c r="T142" s="19">
        <f>IFERROR(S142-H142,"")</f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>U142-C142</f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>IF(Z142&lt;=0,"ok","")</f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24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19"/>
        <v>0</v>
      </c>
      <c r="AV142" s="37">
        <f t="shared" si="2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>IFERROR(H143*((AA143*0.25)+(AC143*0.25)+(AD143*0.225)+(AE143*0.225)+(AF143*0.05)),"")</f>
        <v>0</v>
      </c>
      <c r="S143" s="18">
        <f>IFERROR(H143*AG143,"")</f>
        <v>0</v>
      </c>
      <c r="T143" s="19">
        <f>IFERROR(S143-H143,"")</f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>U143-C143</f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>IF(Z143&lt;=0,"ok","")</f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24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19"/>
        <v>0</v>
      </c>
      <c r="AV143" s="37">
        <f t="shared" si="2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>IFERROR(H144*((AA144*0.25)+(AC144*0.25)+(AD144*0.225)+(AE144*0.225)+(AF144*0.05)),"")</f>
        <v>0</v>
      </c>
      <c r="S144" s="18">
        <f>IFERROR(H144*AG144,"")</f>
        <v>0</v>
      </c>
      <c r="T144" s="19">
        <f>IFERROR(S144-H144,"")</f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>U144-C144</f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>IF(Z144&lt;=0,"ok","")</f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24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19"/>
        <v>0</v>
      </c>
      <c r="AV144" s="37">
        <f t="shared" si="2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>IFERROR(H145*((AA145*0.25)+(AC145*0.25)+(AD145*0.225)+(AE145*0.225)+(AF145*0.05)),"")</f>
        <v>0</v>
      </c>
      <c r="S145" s="18">
        <f>IFERROR(H145*AG145,"")</f>
        <v>0</v>
      </c>
      <c r="T145" s="19">
        <f>IFERROR(S145-H145,"")</f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>U145-C145</f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>IF(Z145&lt;=0,"ok","")</f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24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19"/>
        <v>0</v>
      </c>
      <c r="AV145" s="37">
        <f t="shared" si="2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>IFERROR(H146*((AA146*0.25)+(AC146*0.25)+(AD146*0.225)+(AE146*0.225)+(AF146*0.05)),"")</f>
        <v>0</v>
      </c>
      <c r="S146" s="18">
        <f>IFERROR(H146*AG146,"")</f>
        <v>0</v>
      </c>
      <c r="T146" s="19">
        <f>IFERROR(S146-H146,"")</f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>U146-C146</f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>IF(Z146&lt;=0,"ok","")</f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24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19"/>
        <v>0</v>
      </c>
      <c r="AV146" s="37">
        <f t="shared" si="2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>IFERROR(H147*((AA147*0.25)+(AC147*0.25)+(AD147*0.225)+(AE147*0.225)+(AF147*0.05)),"")</f>
        <v>0</v>
      </c>
      <c r="S147" s="18">
        <f>IFERROR(H147*AG147,"")</f>
        <v>0</v>
      </c>
      <c r="T147" s="19">
        <f>IFERROR(S147-H147,"")</f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>U147-C147</f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>IF(Z147&lt;=0,"ok","")</f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24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19"/>
        <v>0</v>
      </c>
      <c r="AV147" s="37">
        <f t="shared" si="2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IFERROR(H148*((AA148*0.25)+(AC148*0.25)+(AD148*0.225)+(AE148*0.225)+(AF148*0.05)),"")</f>
        <v>0</v>
      </c>
      <c r="S148" s="18">
        <f>IFERROR(H148*AG148,"")</f>
        <v>0</v>
      </c>
      <c r="T148" s="19">
        <f>IFERROR(S148-H148,"")</f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>U148-C148</f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>IF(Z148&lt;=0,"ok","")</f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24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19"/>
        <v>0</v>
      </c>
      <c r="AV148" s="37">
        <f t="shared" si="2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>IFERROR(H149*((AA149*0.25)+(AC149*0.25)+(AD149*0.225)+(AE149*0.225)+(AF149*0.05)),"")</f>
        <v>0</v>
      </c>
      <c r="S149" s="18">
        <f>IFERROR(H149*AG149,"")</f>
        <v>0</v>
      </c>
      <c r="T149" s="19">
        <f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>U149-C149</f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>IF(Z149&lt;=0,"ok","")</f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24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19"/>
        <v>0</v>
      </c>
      <c r="AV149" s="37">
        <f t="shared" si="2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>IFERROR(H150*((AA150*0.25)+(AC150*0.25)+(AD150*0.225)+(AE150*0.225)+(AF150*0.05)),"")</f>
        <v>0</v>
      </c>
      <c r="S150" s="18">
        <f>IFERROR(H150*AG150,"")</f>
        <v>0</v>
      </c>
      <c r="T150" s="19">
        <f>IFERROR(S150-H150,"")</f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>U150-C150</f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>IF(Z150&lt;=0,"ok","")</f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24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19"/>
        <v>0</v>
      </c>
      <c r="AV150" s="37">
        <f t="shared" si="20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>IFERROR(H151*((AA151*0.25)+(AC151*0.25)+(AD151*0.225)+(AE151*0.225)+(AF151*0.05)),"")</f>
        <v>240.4</v>
      </c>
      <c r="S151" s="18">
        <f>IFERROR(H151*AG151,"")</f>
        <v>240.4</v>
      </c>
      <c r="T151" s="19">
        <f>IFERROR(S151-H151,"")</f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>U151-C151</f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>IF(Z151&lt;=0,"ok","")</f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24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19"/>
        <v>240.4</v>
      </c>
      <c r="AV151" s="37">
        <f t="shared" si="20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>IFERROR(H152*((AA152*0.25)+(AC152*0.25)+(AD152*0.225)+(AE152*0.225)+(AF152*0.05)),"")</f>
        <v>271.44</v>
      </c>
      <c r="S152" s="18">
        <f>IFERROR(H152*AG152,"")</f>
        <v>0</v>
      </c>
      <c r="T152" s="19">
        <f>IFERROR(S152-H152,"")</f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>U152-C152</f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>IF(Z152&lt;=0,"ok","")</f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24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19"/>
        <v>0</v>
      </c>
      <c r="AV152" s="37">
        <f t="shared" si="20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25">IFERROR(H153*((AA153*0.25)+(AC153*0.25)+(AD153*0.225)+(AE153*0.225)+(AF153*0.05)),"")</f>
        <v>1360</v>
      </c>
      <c r="S153" s="18">
        <f t="shared" ref="S153:S180" si="26">IFERROR(H153*AG153,"")</f>
        <v>1360</v>
      </c>
      <c r="T153" s="19">
        <f t="shared" ref="T153:T216" si="27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28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25"/>
        <v>1360</v>
      </c>
      <c r="S154" s="18">
        <f t="shared" si="26"/>
        <v>1360</v>
      </c>
      <c r="T154" s="19">
        <f t="shared" si="27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8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24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19"/>
        <v>1360</v>
      </c>
      <c r="AV154" s="37">
        <f t="shared" si="2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25"/>
        <v>1335.1</v>
      </c>
      <c r="S155" s="18">
        <f t="shared" si="26"/>
        <v>1335.1</v>
      </c>
      <c r="T155" s="19">
        <f t="shared" si="27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28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29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24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19"/>
        <v>1335.1</v>
      </c>
      <c r="AV155" s="37">
        <f t="shared" si="2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25"/>
        <v>1335.1</v>
      </c>
      <c r="S156" s="18">
        <f t="shared" si="26"/>
        <v>1335.1</v>
      </c>
      <c r="T156" s="19">
        <f t="shared" si="27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8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29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24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19"/>
        <v>1335.1</v>
      </c>
      <c r="AV156" s="37">
        <f t="shared" si="2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25"/>
        <v>25.2</v>
      </c>
      <c r="S157" s="18">
        <f t="shared" si="26"/>
        <v>25.2</v>
      </c>
      <c r="T157" s="19">
        <f t="shared" si="27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28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29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24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19"/>
        <v>25.2</v>
      </c>
      <c r="AV157" s="37">
        <f t="shared" si="2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25"/>
        <v>50.4</v>
      </c>
      <c r="S158" s="18">
        <f t="shared" si="26"/>
        <v>50.4</v>
      </c>
      <c r="T158" s="19">
        <f t="shared" si="27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28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29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24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19"/>
        <v>50.4</v>
      </c>
      <c r="AV158" s="37">
        <f t="shared" si="2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25"/>
        <v>228.4</v>
      </c>
      <c r="S159" s="18">
        <f t="shared" si="26"/>
        <v>228.4</v>
      </c>
      <c r="T159" s="19">
        <f t="shared" si="27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28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29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24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19"/>
        <v>228.4</v>
      </c>
      <c r="AV159" s="37">
        <f t="shared" si="2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25"/>
        <v>19.200000000000003</v>
      </c>
      <c r="S160" s="18">
        <f t="shared" si="26"/>
        <v>19.200000000000003</v>
      </c>
      <c r="T160" s="19">
        <f t="shared" si="27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28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24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19"/>
        <v>19.200000000000003</v>
      </c>
      <c r="AV160" s="37">
        <f t="shared" si="2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25"/>
        <v>128.80000000000001</v>
      </c>
      <c r="S161" s="18">
        <f t="shared" si="26"/>
        <v>128.80000000000001</v>
      </c>
      <c r="T161" s="19">
        <f t="shared" si="27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8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24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19"/>
        <v>128.80000000000001</v>
      </c>
      <c r="AV161" s="37">
        <f t="shared" si="2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25"/>
        <v>25.2</v>
      </c>
      <c r="S162" s="18">
        <f t="shared" si="26"/>
        <v>25.2</v>
      </c>
      <c r="T162" s="19">
        <f t="shared" si="27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28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24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19"/>
        <v>25.2</v>
      </c>
      <c r="AV162" s="37">
        <f t="shared" si="2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25"/>
        <v>50.4</v>
      </c>
      <c r="S163" s="18">
        <f t="shared" si="26"/>
        <v>50.4</v>
      </c>
      <c r="T163" s="19">
        <f t="shared" si="27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28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24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19"/>
        <v>50.4</v>
      </c>
      <c r="AV163" s="37">
        <f t="shared" si="2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25"/>
        <v>228.4</v>
      </c>
      <c r="S164" s="18">
        <f t="shared" si="26"/>
        <v>228.4</v>
      </c>
      <c r="T164" s="19">
        <f t="shared" si="27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28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24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0">IF(AH164="",0,IF(ISTEXT(AH164),H164*VALUE(SUBSTITUTE(AH164,"%",""))/100,H164*AH164))</f>
        <v>228.4</v>
      </c>
      <c r="AV164" s="37">
        <f t="shared" ref="AV164:AV227" si="31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25"/>
        <v>128.80000000000001</v>
      </c>
      <c r="S165" s="18">
        <f t="shared" si="26"/>
        <v>128.80000000000001</v>
      </c>
      <c r="T165" s="19">
        <f t="shared" si="27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28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24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0"/>
        <v>128.80000000000001</v>
      </c>
      <c r="AV165" s="37">
        <f t="shared" si="31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25"/>
        <v>19.200000000000003</v>
      </c>
      <c r="S166" s="18">
        <f t="shared" si="26"/>
        <v>19.200000000000003</v>
      </c>
      <c r="T166" s="19">
        <f t="shared" si="27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8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24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0"/>
        <v>19.200000000000003</v>
      </c>
      <c r="AV166" s="37">
        <f t="shared" si="31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25"/>
        <v>1137.2</v>
      </c>
      <c r="S167" s="18">
        <f t="shared" si="26"/>
        <v>1137.2</v>
      </c>
      <c r="T167" s="19">
        <f t="shared" si="27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28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29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24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0"/>
        <v>1137.2</v>
      </c>
      <c r="AV167" s="37">
        <f t="shared" si="31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25"/>
        <v>142.19999999999999</v>
      </c>
      <c r="S168" s="18">
        <f t="shared" si="26"/>
        <v>142.19999999999999</v>
      </c>
      <c r="T168" s="19">
        <f t="shared" si="27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28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29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24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0"/>
        <v>142.19999999999999</v>
      </c>
      <c r="AV168" s="37">
        <f t="shared" si="31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25"/>
        <v>295.39999999999998</v>
      </c>
      <c r="S169" s="18">
        <f t="shared" si="26"/>
        <v>295.39999999999998</v>
      </c>
      <c r="T169" s="19">
        <f t="shared" si="27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28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29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24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0"/>
        <v>295.39999999999998</v>
      </c>
      <c r="AV169" s="37">
        <f t="shared" si="31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25"/>
        <v>1137.2</v>
      </c>
      <c r="S170" s="18">
        <f t="shared" si="26"/>
        <v>1137.2</v>
      </c>
      <c r="T170" s="19">
        <f t="shared" si="27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28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29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24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0"/>
        <v>1137.2</v>
      </c>
      <c r="AV170" s="37">
        <f t="shared" si="31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25"/>
        <v>142.19999999999999</v>
      </c>
      <c r="S171" s="18">
        <f t="shared" si="26"/>
        <v>142.19999999999999</v>
      </c>
      <c r="T171" s="19">
        <f t="shared" si="27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28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29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24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0"/>
        <v>142.19999999999999</v>
      </c>
      <c r="AV171" s="37">
        <f t="shared" si="31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25"/>
        <v>295.39999999999998</v>
      </c>
      <c r="S172" s="18">
        <f t="shared" si="26"/>
        <v>295.39999999999998</v>
      </c>
      <c r="T172" s="19">
        <f t="shared" si="27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28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29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24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0"/>
        <v>295.39999999999998</v>
      </c>
      <c r="AV172" s="37">
        <f t="shared" si="31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25"/>
        <v>950.5</v>
      </c>
      <c r="S173" s="18">
        <f t="shared" si="26"/>
        <v>950.5</v>
      </c>
      <c r="T173" s="19">
        <f t="shared" si="27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28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29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24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0"/>
        <v>950.5</v>
      </c>
      <c r="AV173" s="37">
        <f t="shared" si="31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25"/>
        <v>950.5</v>
      </c>
      <c r="S174" s="18">
        <f t="shared" si="26"/>
        <v>950.5</v>
      </c>
      <c r="T174" s="19">
        <f t="shared" si="27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8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29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24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0"/>
        <v>950.5</v>
      </c>
      <c r="AV174" s="37">
        <f t="shared" si="31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25"/>
        <v>675.7</v>
      </c>
      <c r="S175" s="18">
        <f t="shared" si="26"/>
        <v>675.7</v>
      </c>
      <c r="T175" s="19">
        <f t="shared" si="27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28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29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24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0"/>
        <v>675.7</v>
      </c>
      <c r="AV175" s="37">
        <f t="shared" si="31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25"/>
        <v>675.7</v>
      </c>
      <c r="S176" s="18">
        <f t="shared" si="26"/>
        <v>675.7</v>
      </c>
      <c r="T176" s="19">
        <f t="shared" si="27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8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29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24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0"/>
        <v>675.7</v>
      </c>
      <c r="AV176" s="37">
        <f t="shared" si="31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25"/>
        <v>1.04</v>
      </c>
      <c r="S177" s="18">
        <f t="shared" si="26"/>
        <v>1.04</v>
      </c>
      <c r="T177" s="19">
        <f t="shared" si="27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28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29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24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0"/>
        <v>1.04</v>
      </c>
      <c r="AV177" s="37">
        <f t="shared" si="31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25"/>
        <v>1.32</v>
      </c>
      <c r="S178" s="18">
        <f t="shared" si="26"/>
        <v>1.32</v>
      </c>
      <c r="T178" s="19">
        <f t="shared" si="27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28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29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24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0"/>
        <v>1.32</v>
      </c>
      <c r="AV178" s="37">
        <f t="shared" si="31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25"/>
        <v>2.04</v>
      </c>
      <c r="S179" s="18">
        <f t="shared" si="26"/>
        <v>2.04</v>
      </c>
      <c r="T179" s="19">
        <f t="shared" si="27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28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29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24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0"/>
        <v>2.04</v>
      </c>
      <c r="AV179" s="37">
        <f t="shared" si="31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25"/>
        <v>0.4</v>
      </c>
      <c r="S180" s="18">
        <f t="shared" si="26"/>
        <v>0.4</v>
      </c>
      <c r="T180" s="19">
        <f t="shared" si="27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32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29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24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0"/>
        <v>0.4</v>
      </c>
      <c r="AV180" s="37">
        <f t="shared" si="31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25"/>
        <v>2.56</v>
      </c>
      <c r="S181" s="18">
        <f t="shared" ref="S181:S244" si="33">IFERROR(H181*AG181,"")</f>
        <v>2.56</v>
      </c>
      <c r="T181" s="19">
        <f t="shared" si="27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32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29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24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0"/>
        <v>2.56</v>
      </c>
      <c r="AV181" s="37">
        <f t="shared" si="31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25"/>
        <v>3.12</v>
      </c>
      <c r="S182" s="18">
        <f t="shared" si="33"/>
        <v>3.12</v>
      </c>
      <c r="T182" s="19">
        <f t="shared" si="27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32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29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24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0"/>
        <v>3.12</v>
      </c>
      <c r="AV182" s="37">
        <f t="shared" si="31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25"/>
        <v>1.06</v>
      </c>
      <c r="S183" s="18">
        <f t="shared" si="33"/>
        <v>1.06</v>
      </c>
      <c r="T183" s="19">
        <f t="shared" si="27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2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29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24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0"/>
        <v>0</v>
      </c>
      <c r="AV183" s="37">
        <f t="shared" si="31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25"/>
        <v>1.48</v>
      </c>
      <c r="S184" s="18">
        <f t="shared" si="33"/>
        <v>1.48</v>
      </c>
      <c r="T184" s="19">
        <f t="shared" si="27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2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29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24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0"/>
        <v>0</v>
      </c>
      <c r="AV184" s="37">
        <f t="shared" si="31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25"/>
        <v>1.02</v>
      </c>
      <c r="S185" s="18">
        <f t="shared" si="33"/>
        <v>1.02</v>
      </c>
      <c r="T185" s="19">
        <f t="shared" si="27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2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29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24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0"/>
        <v>0</v>
      </c>
      <c r="AV185" s="37">
        <f t="shared" si="31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25"/>
        <v>0.30000000000000004</v>
      </c>
      <c r="S186" s="18">
        <f t="shared" si="33"/>
        <v>0.30000000000000004</v>
      </c>
      <c r="T186" s="19">
        <f t="shared" si="27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2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29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24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0"/>
        <v>0</v>
      </c>
      <c r="AV186" s="37">
        <f t="shared" si="31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25"/>
        <v>323.33999999999997</v>
      </c>
      <c r="S187" s="18">
        <f t="shared" si="33"/>
        <v>323.33999999999997</v>
      </c>
      <c r="T187" s="19">
        <f t="shared" si="27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32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29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24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0"/>
        <v>323.33999999999997</v>
      </c>
      <c r="AV187" s="37">
        <f t="shared" si="31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25"/>
        <v>323.33999999999997</v>
      </c>
      <c r="S188" s="18">
        <f t="shared" si="33"/>
        <v>323.33999999999997</v>
      </c>
      <c r="T188" s="19">
        <f t="shared" si="27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2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29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24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0"/>
        <v>323.33999999999997</v>
      </c>
      <c r="AV188" s="37">
        <f t="shared" si="31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25"/>
        <v>189.44</v>
      </c>
      <c r="S189" s="18">
        <f t="shared" si="33"/>
        <v>189.44</v>
      </c>
      <c r="T189" s="19">
        <f t="shared" si="27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32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29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24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0"/>
        <v>189.44</v>
      </c>
      <c r="AV189" s="37">
        <f t="shared" si="31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25"/>
        <v>51.88</v>
      </c>
      <c r="S190" s="18">
        <f t="shared" si="33"/>
        <v>51.88</v>
      </c>
      <c r="T190" s="19">
        <f t="shared" si="27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32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29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24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0"/>
        <v>51.88</v>
      </c>
      <c r="AV190" s="37">
        <f t="shared" si="31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25"/>
        <v>133.64000000000001</v>
      </c>
      <c r="S191" s="18">
        <f t="shared" si="33"/>
        <v>133.64000000000001</v>
      </c>
      <c r="T191" s="19">
        <f t="shared" si="27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32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29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24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0"/>
        <v>133.64000000000001</v>
      </c>
      <c r="AV191" s="37">
        <f t="shared" si="31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25"/>
        <v>51.88</v>
      </c>
      <c r="S192" s="18">
        <f t="shared" si="33"/>
        <v>51.88</v>
      </c>
      <c r="T192" s="19">
        <f t="shared" si="27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32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29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24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0"/>
        <v>51.88</v>
      </c>
      <c r="AV192" s="37">
        <f t="shared" si="31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25"/>
        <v>195.76</v>
      </c>
      <c r="S193" s="18">
        <f t="shared" si="33"/>
        <v>195.76</v>
      </c>
      <c r="T193" s="19">
        <f t="shared" si="27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32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29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24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0"/>
        <v>195.76</v>
      </c>
      <c r="AV193" s="37">
        <f t="shared" si="31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25"/>
        <v>327.64</v>
      </c>
      <c r="S194" s="18">
        <f t="shared" si="33"/>
        <v>327.64</v>
      </c>
      <c r="T194" s="19">
        <f t="shared" si="27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32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29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24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0"/>
        <v>327.64</v>
      </c>
      <c r="AV194" s="37">
        <f t="shared" si="31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25"/>
        <v>186.12</v>
      </c>
      <c r="S195" s="18">
        <f t="shared" si="33"/>
        <v>186.12</v>
      </c>
      <c r="T195" s="19">
        <f t="shared" si="27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32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29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24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0"/>
        <v>186.12</v>
      </c>
      <c r="AV195" s="37">
        <f t="shared" si="31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25"/>
        <v>199.48</v>
      </c>
      <c r="S196" s="18">
        <f t="shared" si="33"/>
        <v>199.48</v>
      </c>
      <c r="T196" s="19">
        <f t="shared" si="27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32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29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34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0"/>
        <v>0</v>
      </c>
      <c r="AV196" s="37">
        <f t="shared" si="31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25"/>
        <v>318.5</v>
      </c>
      <c r="S197" s="18">
        <f t="shared" si="33"/>
        <v>318.5</v>
      </c>
      <c r="T197" s="19">
        <f t="shared" si="27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32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29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34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0"/>
        <v>318.5</v>
      </c>
      <c r="AV197" s="37">
        <f t="shared" si="31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25"/>
        <v>318.5</v>
      </c>
      <c r="S198" s="18">
        <f t="shared" si="33"/>
        <v>318.5</v>
      </c>
      <c r="T198" s="19">
        <f t="shared" si="27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2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29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4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0"/>
        <v>318.5</v>
      </c>
      <c r="AV198" s="37">
        <f t="shared" si="31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25"/>
        <v>66.819999999999993</v>
      </c>
      <c r="S199" s="18">
        <f t="shared" si="33"/>
        <v>66.819999999999993</v>
      </c>
      <c r="T199" s="19">
        <f t="shared" si="27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32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29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4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0"/>
        <v>66.819999999999993</v>
      </c>
      <c r="AV199" s="37">
        <f t="shared" si="31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25"/>
        <v>47.36</v>
      </c>
      <c r="S200" s="18">
        <f t="shared" si="33"/>
        <v>47.36</v>
      </c>
      <c r="T200" s="19">
        <f t="shared" si="27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32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29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4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0"/>
        <v>47.36</v>
      </c>
      <c r="AV200" s="37">
        <f t="shared" si="31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25"/>
        <v>142.07999999999998</v>
      </c>
      <c r="S201" s="18">
        <f t="shared" si="33"/>
        <v>142.07999999999998</v>
      </c>
      <c r="T201" s="19">
        <f t="shared" si="27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32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29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4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0"/>
        <v>142.07999999999998</v>
      </c>
      <c r="AV201" s="37">
        <f t="shared" si="31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25"/>
        <v>103.76</v>
      </c>
      <c r="S202" s="18">
        <f t="shared" si="33"/>
        <v>103.76</v>
      </c>
      <c r="T202" s="19">
        <f t="shared" si="27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32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29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4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0"/>
        <v>103.76</v>
      </c>
      <c r="AV202" s="37">
        <f t="shared" si="31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25"/>
        <v>308</v>
      </c>
      <c r="S203" s="18">
        <f t="shared" si="33"/>
        <v>308</v>
      </c>
      <c r="T203" s="19">
        <f t="shared" si="27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32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29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4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0"/>
        <v>308</v>
      </c>
      <c r="AV203" s="37">
        <f t="shared" si="31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25"/>
        <v>340</v>
      </c>
      <c r="S204" s="18">
        <f t="shared" si="33"/>
        <v>340</v>
      </c>
      <c r="T204" s="19">
        <f t="shared" si="27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32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29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4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0"/>
        <v>340</v>
      </c>
      <c r="AV204" s="37">
        <f t="shared" si="31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25"/>
        <v>200</v>
      </c>
      <c r="S205" s="18">
        <f t="shared" si="33"/>
        <v>200</v>
      </c>
      <c r="T205" s="19">
        <f t="shared" si="27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32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29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4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0"/>
        <v>0</v>
      </c>
      <c r="AV205" s="37">
        <f t="shared" si="31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25"/>
        <v>163.36000000000001</v>
      </c>
      <c r="S206" s="18">
        <f t="shared" si="33"/>
        <v>163.36000000000001</v>
      </c>
      <c r="T206" s="19">
        <f t="shared" si="27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32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29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4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0"/>
        <v>163.36000000000001</v>
      </c>
      <c r="AV206" s="37">
        <f t="shared" si="31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25"/>
        <v>166.34</v>
      </c>
      <c r="S207" s="18">
        <f t="shared" si="33"/>
        <v>166.34</v>
      </c>
      <c r="T207" s="19">
        <f t="shared" si="27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32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29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4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0"/>
        <v>166.34</v>
      </c>
      <c r="AV207" s="37">
        <f t="shared" si="31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25"/>
        <v>230.2</v>
      </c>
      <c r="S208" s="18">
        <f t="shared" si="33"/>
        <v>230.2</v>
      </c>
      <c r="T208" s="19">
        <f t="shared" si="27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32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29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4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0"/>
        <v>230.2</v>
      </c>
      <c r="AV208" s="37">
        <f t="shared" si="31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25"/>
        <v>88.64</v>
      </c>
      <c r="S209" s="18">
        <f t="shared" si="33"/>
        <v>88.64</v>
      </c>
      <c r="T209" s="19">
        <f t="shared" si="27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32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29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4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0"/>
        <v>88.64</v>
      </c>
      <c r="AV209" s="37">
        <f t="shared" si="31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25"/>
        <v>203.5</v>
      </c>
      <c r="S210" s="18">
        <f t="shared" si="33"/>
        <v>203.5</v>
      </c>
      <c r="T210" s="19">
        <f t="shared" si="27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32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29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4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0"/>
        <v>203.5</v>
      </c>
      <c r="AV210" s="37">
        <f t="shared" si="31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25"/>
        <v>125.56</v>
      </c>
      <c r="S211" s="18">
        <f t="shared" si="33"/>
        <v>125.56</v>
      </c>
      <c r="T211" s="19">
        <f t="shared" si="27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32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29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4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0"/>
        <v>125.56</v>
      </c>
      <c r="AV211" s="37">
        <f t="shared" si="31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25"/>
        <v>124.24</v>
      </c>
      <c r="S212" s="18">
        <f t="shared" si="33"/>
        <v>124.24</v>
      </c>
      <c r="T212" s="19">
        <f t="shared" si="27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32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29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4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0"/>
        <v>124.24</v>
      </c>
      <c r="AV212" s="37">
        <f t="shared" si="31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25"/>
        <v>81.64</v>
      </c>
      <c r="S213" s="18">
        <f t="shared" si="33"/>
        <v>81.64</v>
      </c>
      <c r="T213" s="19">
        <f t="shared" si="27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32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29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4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0"/>
        <v>81.64</v>
      </c>
      <c r="AV213" s="37">
        <f t="shared" si="31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25"/>
        <v>78.760000000000005</v>
      </c>
      <c r="S214" s="18">
        <f t="shared" si="33"/>
        <v>78.760000000000005</v>
      </c>
      <c r="T214" s="19">
        <f t="shared" si="27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32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29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4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0"/>
        <v>78.760000000000005</v>
      </c>
      <c r="AV214" s="37">
        <f t="shared" si="31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25"/>
        <v>159.12</v>
      </c>
      <c r="S215" s="18">
        <f t="shared" si="33"/>
        <v>159.12</v>
      </c>
      <c r="T215" s="19">
        <f t="shared" si="27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32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29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4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0"/>
        <v>159.12</v>
      </c>
      <c r="AV215" s="37">
        <f t="shared" si="31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25"/>
        <v>539.91999999999996</v>
      </c>
      <c r="S216" s="18">
        <f t="shared" si="33"/>
        <v>539.91999999999996</v>
      </c>
      <c r="T216" s="19">
        <f t="shared" si="27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32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29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4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0"/>
        <v>539.91999999999996</v>
      </c>
      <c r="AV216" s="37">
        <f t="shared" si="31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35">IFERROR(H217*((AA217*0.25)+(AC217*0.25)+(AD217*0.225)+(AE217*0.225)+(AF217*0.05)),"")</f>
        <v>189.88</v>
      </c>
      <c r="S217" s="18">
        <f t="shared" si="33"/>
        <v>189.88</v>
      </c>
      <c r="T217" s="19">
        <f t="shared" ref="T217:T280" si="36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32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29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4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0"/>
        <v>189.88</v>
      </c>
      <c r="AV217" s="37">
        <f t="shared" si="31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35"/>
        <v>101.64</v>
      </c>
      <c r="S218" s="18">
        <f t="shared" si="33"/>
        <v>101.64</v>
      </c>
      <c r="T218" s="19">
        <f t="shared" si="36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32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29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4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0"/>
        <v>101.64</v>
      </c>
      <c r="AV218" s="37">
        <f t="shared" si="31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35"/>
        <v>111.62</v>
      </c>
      <c r="S219" s="18">
        <f t="shared" si="33"/>
        <v>111.62</v>
      </c>
      <c r="T219" s="19">
        <f t="shared" si="36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32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37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4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0"/>
        <v>111.62</v>
      </c>
      <c r="AV219" s="37">
        <f t="shared" si="31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35"/>
        <v>156.66</v>
      </c>
      <c r="S220" s="18">
        <f t="shared" si="33"/>
        <v>156.66</v>
      </c>
      <c r="T220" s="19">
        <f t="shared" si="36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32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37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4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0"/>
        <v>156.66</v>
      </c>
      <c r="AV220" s="37">
        <f t="shared" si="31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35"/>
        <v>151.04</v>
      </c>
      <c r="S221" s="18">
        <f t="shared" si="33"/>
        <v>151.04</v>
      </c>
      <c r="T221" s="19">
        <f t="shared" si="36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32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37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4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0"/>
        <v>151.04</v>
      </c>
      <c r="AV221" s="37">
        <f t="shared" si="31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35"/>
        <v>350.08</v>
      </c>
      <c r="S222" s="18">
        <f t="shared" si="33"/>
        <v>350.08</v>
      </c>
      <c r="T222" s="19">
        <f t="shared" si="36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32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37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4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0"/>
        <v>350.08</v>
      </c>
      <c r="AV222" s="37">
        <f t="shared" si="31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35"/>
        <v>304.44</v>
      </c>
      <c r="S223" s="18">
        <f t="shared" si="33"/>
        <v>304.44</v>
      </c>
      <c r="T223" s="19">
        <f t="shared" si="36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32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37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4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0"/>
        <v>304.44</v>
      </c>
      <c r="AV223" s="37">
        <f t="shared" si="31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35"/>
        <v>304.44</v>
      </c>
      <c r="S224" s="18">
        <f t="shared" si="33"/>
        <v>304.44</v>
      </c>
      <c r="T224" s="19">
        <f t="shared" si="36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2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37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4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0"/>
        <v>304.44</v>
      </c>
      <c r="AV224" s="37">
        <f t="shared" si="31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35"/>
        <v>279</v>
      </c>
      <c r="S225" s="18">
        <f t="shared" si="33"/>
        <v>279</v>
      </c>
      <c r="T225" s="19">
        <f t="shared" si="36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32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37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4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0"/>
        <v>279</v>
      </c>
      <c r="AV225" s="37">
        <f t="shared" si="31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35"/>
        <v>50.04</v>
      </c>
      <c r="S226" s="18">
        <f t="shared" si="33"/>
        <v>50.04</v>
      </c>
      <c r="T226" s="19">
        <f t="shared" si="36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32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37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4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0"/>
        <v>50.04</v>
      </c>
      <c r="AV226" s="37">
        <f t="shared" si="31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35"/>
        <v>47.36</v>
      </c>
      <c r="S227" s="18">
        <f t="shared" si="33"/>
        <v>47.36</v>
      </c>
      <c r="T227" s="19">
        <f t="shared" si="36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32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37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4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0"/>
        <v>47.36</v>
      </c>
      <c r="AV227" s="37">
        <f t="shared" si="31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35"/>
        <v>245.96</v>
      </c>
      <c r="S228" s="18">
        <f t="shared" si="33"/>
        <v>245.96</v>
      </c>
      <c r="T228" s="19">
        <f t="shared" si="36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32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37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4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38">IF(AH228="",0,IF(ISTEXT(AH228),H228*VALUE(SUBSTITUTE(AH228,"%",""))/100,H228*AH228))</f>
        <v>245.96</v>
      </c>
      <c r="AV228" s="37">
        <f t="shared" ref="AV228:AV291" si="39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35"/>
        <v>245.96</v>
      </c>
      <c r="S229" s="18">
        <f t="shared" si="33"/>
        <v>245.96</v>
      </c>
      <c r="T229" s="19">
        <f t="shared" si="36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32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37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4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38"/>
        <v>245.96</v>
      </c>
      <c r="AV229" s="37">
        <f t="shared" si="39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35"/>
        <v>68.8</v>
      </c>
      <c r="S230" s="18">
        <f t="shared" si="33"/>
        <v>68.8</v>
      </c>
      <c r="T230" s="19">
        <f t="shared" si="36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32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37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4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38"/>
        <v>68.8</v>
      </c>
      <c r="AV230" s="37">
        <f t="shared" si="39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35"/>
        <v>68.739999999999995</v>
      </c>
      <c r="S231" s="18">
        <f t="shared" si="33"/>
        <v>68.739999999999995</v>
      </c>
      <c r="T231" s="19">
        <f t="shared" si="36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32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37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4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38"/>
        <v>68.739999999999995</v>
      </c>
      <c r="AV231" s="37">
        <f t="shared" si="39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35"/>
        <v>68.739999999999995</v>
      </c>
      <c r="S232" s="18">
        <f t="shared" si="33"/>
        <v>68.739999999999995</v>
      </c>
      <c r="T232" s="19">
        <f t="shared" si="36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32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37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4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38"/>
        <v>68.739999999999995</v>
      </c>
      <c r="AV232" s="37">
        <f t="shared" si="39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35"/>
        <v>54.02</v>
      </c>
      <c r="S233" s="18">
        <f t="shared" si="33"/>
        <v>54.02</v>
      </c>
      <c r="T233" s="19">
        <f t="shared" si="36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32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37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4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38"/>
        <v>54.02</v>
      </c>
      <c r="AV233" s="37">
        <f t="shared" si="39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35"/>
        <v>54.02</v>
      </c>
      <c r="S234" s="18">
        <f t="shared" si="33"/>
        <v>54.02</v>
      </c>
      <c r="T234" s="19">
        <f t="shared" si="36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32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37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4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38"/>
        <v>54.02</v>
      </c>
      <c r="AV234" s="37">
        <f t="shared" si="39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35"/>
        <v>95</v>
      </c>
      <c r="S235" s="18">
        <f t="shared" si="33"/>
        <v>95</v>
      </c>
      <c r="T235" s="19">
        <f t="shared" si="36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32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37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4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38"/>
        <v>95</v>
      </c>
      <c r="AV235" s="37">
        <f t="shared" si="39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35"/>
        <v>258.18</v>
      </c>
      <c r="S236" s="18">
        <f t="shared" si="33"/>
        <v>258.18</v>
      </c>
      <c r="T236" s="19">
        <f t="shared" si="36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32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37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4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38"/>
        <v>258.18</v>
      </c>
      <c r="AV236" s="37">
        <f t="shared" si="39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35"/>
        <v>258.18</v>
      </c>
      <c r="S237" s="18">
        <f t="shared" si="33"/>
        <v>258.18</v>
      </c>
      <c r="T237" s="19">
        <f t="shared" si="36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2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37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4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38"/>
        <v>258.18</v>
      </c>
      <c r="AV237" s="37">
        <f t="shared" si="39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35"/>
        <v>284.15999999999997</v>
      </c>
      <c r="S238" s="18">
        <f t="shared" si="33"/>
        <v>284.15999999999997</v>
      </c>
      <c r="T238" s="19">
        <f t="shared" si="36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32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37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4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38"/>
        <v>284.15999999999997</v>
      </c>
      <c r="AV238" s="37">
        <f t="shared" si="39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35"/>
        <v>285.76</v>
      </c>
      <c r="S239" s="18">
        <f t="shared" si="33"/>
        <v>285.76</v>
      </c>
      <c r="T239" s="19">
        <f t="shared" si="36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32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37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4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38"/>
        <v>285.76</v>
      </c>
      <c r="AV239" s="37">
        <f t="shared" si="39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35"/>
        <v>285.76</v>
      </c>
      <c r="S240" s="18">
        <f t="shared" si="33"/>
        <v>285.76</v>
      </c>
      <c r="T240" s="19">
        <f t="shared" si="36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2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37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4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38"/>
        <v>285.76</v>
      </c>
      <c r="AV240" s="37">
        <f t="shared" si="39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35"/>
        <v>257.72000000000003</v>
      </c>
      <c r="S241" s="18">
        <f t="shared" si="33"/>
        <v>257.72000000000003</v>
      </c>
      <c r="T241" s="19">
        <f t="shared" si="36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32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37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4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38"/>
        <v>257.72000000000003</v>
      </c>
      <c r="AV241" s="37">
        <f t="shared" si="39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35"/>
        <v>257.72000000000003</v>
      </c>
      <c r="S242" s="18">
        <f t="shared" si="33"/>
        <v>257.72000000000003</v>
      </c>
      <c r="T242" s="19">
        <f t="shared" si="36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2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37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4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38"/>
        <v>257.72000000000003</v>
      </c>
      <c r="AV242" s="37">
        <f t="shared" si="39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35"/>
        <v>284.15999999999997</v>
      </c>
      <c r="S243" s="18">
        <f t="shared" si="33"/>
        <v>284.15999999999997</v>
      </c>
      <c r="T243" s="19">
        <f t="shared" si="36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32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37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4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38"/>
        <v>284.15999999999997</v>
      </c>
      <c r="AV243" s="37">
        <f t="shared" si="39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35"/>
        <v>571.52</v>
      </c>
      <c r="S244" s="18">
        <f t="shared" si="33"/>
        <v>571.52</v>
      </c>
      <c r="T244" s="19">
        <f t="shared" si="36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0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37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4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38"/>
        <v>571.52</v>
      </c>
      <c r="AV244" s="37">
        <f t="shared" si="39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35"/>
        <v>383.4</v>
      </c>
      <c r="S245" s="18">
        <f t="shared" ref="S245:S308" si="41">IFERROR(H245*AG245,"")</f>
        <v>383.4</v>
      </c>
      <c r="T245" s="19">
        <f t="shared" si="36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0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37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4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38"/>
        <v>383.4</v>
      </c>
      <c r="AV245" s="37">
        <f t="shared" si="39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35"/>
        <v>1.2</v>
      </c>
      <c r="S246" s="18">
        <f t="shared" si="41"/>
        <v>1.2</v>
      </c>
      <c r="T246" s="19">
        <f t="shared" si="36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0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37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4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38"/>
        <v>1.2</v>
      </c>
      <c r="AV246" s="37">
        <f t="shared" si="39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35"/>
        <v>383.4</v>
      </c>
      <c r="S247" s="18">
        <f t="shared" si="41"/>
        <v>383.4</v>
      </c>
      <c r="T247" s="19">
        <f t="shared" si="36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0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37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4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38"/>
        <v>383.4</v>
      </c>
      <c r="AV247" s="37">
        <f t="shared" si="39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35"/>
        <v>1.2</v>
      </c>
      <c r="S248" s="18">
        <f t="shared" si="41"/>
        <v>1.2</v>
      </c>
      <c r="T248" s="19">
        <f t="shared" si="36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0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37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4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38"/>
        <v>1.2</v>
      </c>
      <c r="AV248" s="37">
        <f t="shared" si="39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35"/>
        <v>638</v>
      </c>
      <c r="S249" s="18">
        <f t="shared" si="41"/>
        <v>638</v>
      </c>
      <c r="T249" s="19">
        <f t="shared" si="36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0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37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4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38"/>
        <v>638</v>
      </c>
      <c r="AV249" s="37">
        <f t="shared" si="39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35"/>
        <v>18</v>
      </c>
      <c r="S250" s="18">
        <f t="shared" si="41"/>
        <v>18</v>
      </c>
      <c r="T250" s="19">
        <f t="shared" si="36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0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37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4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38"/>
        <v>18</v>
      </c>
      <c r="AV250" s="37">
        <f t="shared" si="39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35"/>
        <v>23.2</v>
      </c>
      <c r="S251" s="18">
        <f t="shared" si="41"/>
        <v>23.2</v>
      </c>
      <c r="T251" s="19">
        <f t="shared" si="36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0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37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4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38"/>
        <v>23.2</v>
      </c>
      <c r="AV251" s="37">
        <f t="shared" si="39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35"/>
        <v>0.8</v>
      </c>
      <c r="S252" s="18">
        <f t="shared" si="41"/>
        <v>0.8</v>
      </c>
      <c r="T252" s="19">
        <f t="shared" si="36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0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37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4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38"/>
        <v>0.8</v>
      </c>
      <c r="AV252" s="37">
        <f t="shared" si="39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35"/>
        <v>0.8</v>
      </c>
      <c r="S253" s="18">
        <f t="shared" si="41"/>
        <v>0.8</v>
      </c>
      <c r="T253" s="19">
        <f t="shared" si="36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0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37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4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38"/>
        <v>0.8</v>
      </c>
      <c r="AV253" s="37">
        <f t="shared" si="39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35"/>
        <v>0.4</v>
      </c>
      <c r="S254" s="18">
        <f t="shared" si="41"/>
        <v>0.4</v>
      </c>
      <c r="T254" s="19">
        <f t="shared" si="36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0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37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4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38"/>
        <v>0.4</v>
      </c>
      <c r="AV254" s="37">
        <f t="shared" si="39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35"/>
        <v>0.4</v>
      </c>
      <c r="S255" s="18">
        <f t="shared" si="41"/>
        <v>0.4</v>
      </c>
      <c r="T255" s="19">
        <f t="shared" si="36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0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37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4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38"/>
        <v>0.4</v>
      </c>
      <c r="AV255" s="37">
        <f t="shared" si="39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35"/>
        <v>638</v>
      </c>
      <c r="S256" s="18">
        <f t="shared" si="41"/>
        <v>638</v>
      </c>
      <c r="T256" s="19">
        <f t="shared" si="36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0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37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4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38"/>
        <v>638</v>
      </c>
      <c r="AV256" s="37">
        <f t="shared" si="39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35"/>
        <v>18</v>
      </c>
      <c r="S257" s="18">
        <f t="shared" si="41"/>
        <v>18</v>
      </c>
      <c r="T257" s="19">
        <f t="shared" si="36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0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37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4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38"/>
        <v>18</v>
      </c>
      <c r="AV257" s="37">
        <f t="shared" si="39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35"/>
        <v>23.2</v>
      </c>
      <c r="S258" s="18">
        <f t="shared" si="41"/>
        <v>23.2</v>
      </c>
      <c r="T258" s="19">
        <f t="shared" si="36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0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37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4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38"/>
        <v>23.2</v>
      </c>
      <c r="AV258" s="37">
        <f t="shared" si="39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35"/>
        <v>0.8</v>
      </c>
      <c r="S259" s="18">
        <f t="shared" si="41"/>
        <v>0.8</v>
      </c>
      <c r="T259" s="19">
        <f t="shared" si="36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0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37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4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38"/>
        <v>0.8</v>
      </c>
      <c r="AV259" s="37">
        <f t="shared" si="39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35"/>
        <v>0.8</v>
      </c>
      <c r="S260" s="18">
        <f t="shared" si="41"/>
        <v>0.8</v>
      </c>
      <c r="T260" s="19">
        <f t="shared" si="36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0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37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42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38"/>
        <v>0.8</v>
      </c>
      <c r="AV260" s="37">
        <f t="shared" si="39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35"/>
        <v>0.4</v>
      </c>
      <c r="S261" s="18">
        <f t="shared" si="41"/>
        <v>0.4</v>
      </c>
      <c r="T261" s="19">
        <f t="shared" si="36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0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37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42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38"/>
        <v>0.4</v>
      </c>
      <c r="AV261" s="37">
        <f t="shared" si="39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35"/>
        <v>0.4</v>
      </c>
      <c r="S262" s="18">
        <f t="shared" si="41"/>
        <v>0.4</v>
      </c>
      <c r="T262" s="19">
        <f t="shared" si="36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0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37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2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38"/>
        <v>0.4</v>
      </c>
      <c r="AV262" s="37">
        <f t="shared" si="39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35"/>
        <v>300.39999999999998</v>
      </c>
      <c r="S263" s="18">
        <f t="shared" si="41"/>
        <v>300.39999999999998</v>
      </c>
      <c r="T263" s="19">
        <f t="shared" si="36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0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37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2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38"/>
        <v>300.39999999999998</v>
      </c>
      <c r="AV263" s="37">
        <f t="shared" si="39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35"/>
        <v>300.39999999999998</v>
      </c>
      <c r="S264" s="18">
        <f t="shared" si="41"/>
        <v>300.39999999999998</v>
      </c>
      <c r="T264" s="19">
        <f t="shared" si="36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0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37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2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38"/>
        <v>300.39999999999998</v>
      </c>
      <c r="AV264" s="37">
        <f t="shared" si="39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35"/>
        <v>273.2</v>
      </c>
      <c r="S265" s="18">
        <f t="shared" si="41"/>
        <v>273.2</v>
      </c>
      <c r="T265" s="19">
        <f t="shared" si="36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0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37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2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38"/>
        <v>273.2</v>
      </c>
      <c r="AV265" s="37">
        <f t="shared" si="39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35"/>
        <v>97.8</v>
      </c>
      <c r="S266" s="18">
        <f t="shared" si="41"/>
        <v>97.8</v>
      </c>
      <c r="T266" s="19">
        <f t="shared" si="36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0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37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2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38"/>
        <v>97.8</v>
      </c>
      <c r="AV266" s="37">
        <f t="shared" si="39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35"/>
        <v>273.2</v>
      </c>
      <c r="S267" s="18">
        <f t="shared" si="41"/>
        <v>273.2</v>
      </c>
      <c r="T267" s="19">
        <f t="shared" si="36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0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37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2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38"/>
        <v>273.2</v>
      </c>
      <c r="AV267" s="37">
        <f t="shared" si="39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35"/>
        <v>97.8</v>
      </c>
      <c r="S268" s="18">
        <f t="shared" si="41"/>
        <v>97.8</v>
      </c>
      <c r="T268" s="19">
        <f t="shared" si="36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0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37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2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38"/>
        <v>97.8</v>
      </c>
      <c r="AV268" s="37">
        <f t="shared" si="39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35"/>
        <v>20.350000000000001</v>
      </c>
      <c r="S269" s="18">
        <f t="shared" si="41"/>
        <v>20.350000000000001</v>
      </c>
      <c r="T269" s="19">
        <f t="shared" si="36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0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37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2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38"/>
        <v>20.350000000000001</v>
      </c>
      <c r="AV269" s="37">
        <f t="shared" si="39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35"/>
        <v>1</v>
      </c>
      <c r="S270" s="18">
        <f t="shared" si="41"/>
        <v>1</v>
      </c>
      <c r="T270" s="19">
        <f t="shared" si="36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0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37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2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38"/>
        <v>1</v>
      </c>
      <c r="AV270" s="37">
        <f t="shared" si="39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35"/>
        <v>20.350000000000001</v>
      </c>
      <c r="S271" s="18">
        <f t="shared" si="41"/>
        <v>20.350000000000001</v>
      </c>
      <c r="T271" s="19">
        <f t="shared" si="36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0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37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2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38"/>
        <v>20.350000000000001</v>
      </c>
      <c r="AV271" s="37">
        <f t="shared" si="39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35"/>
        <v>1</v>
      </c>
      <c r="S272" s="18">
        <f t="shared" si="41"/>
        <v>1</v>
      </c>
      <c r="T272" s="19">
        <f t="shared" si="36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0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37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2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38"/>
        <v>1</v>
      </c>
      <c r="AV272" s="37">
        <f t="shared" si="39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35"/>
        <v>266.09999999999997</v>
      </c>
      <c r="S273" s="18">
        <f t="shared" si="41"/>
        <v>266.09999999999997</v>
      </c>
      <c r="T273" s="19">
        <f t="shared" si="36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0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37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2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38"/>
        <v>266.09999999999997</v>
      </c>
      <c r="AV273" s="37">
        <f t="shared" si="39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35"/>
        <v>266.09999999999997</v>
      </c>
      <c r="S274" s="18">
        <f t="shared" si="41"/>
        <v>266.09999999999997</v>
      </c>
      <c r="T274" s="19">
        <f t="shared" si="36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0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37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2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38"/>
        <v>266.09999999999997</v>
      </c>
      <c r="AV274" s="37">
        <f t="shared" si="39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35"/>
        <v>172.39999999999998</v>
      </c>
      <c r="S275" s="18">
        <f t="shared" si="41"/>
        <v>172.39999999999998</v>
      </c>
      <c r="T275" s="19">
        <f t="shared" si="36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0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37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2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38"/>
        <v>172.39999999999998</v>
      </c>
      <c r="AV275" s="37">
        <f t="shared" si="39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35"/>
        <v>836</v>
      </c>
      <c r="S276" s="18">
        <f t="shared" si="41"/>
        <v>836</v>
      </c>
      <c r="T276" s="19">
        <f t="shared" si="36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0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37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2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38"/>
        <v>836</v>
      </c>
      <c r="AV276" s="37">
        <f t="shared" si="39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35"/>
        <v>836</v>
      </c>
      <c r="S277" s="18">
        <f t="shared" si="41"/>
        <v>836</v>
      </c>
      <c r="T277" s="19">
        <f t="shared" si="36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0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37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2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38"/>
        <v>836</v>
      </c>
      <c r="AV277" s="37">
        <f t="shared" si="39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35"/>
        <v>62.7</v>
      </c>
      <c r="S278" s="18">
        <f t="shared" si="41"/>
        <v>62.7</v>
      </c>
      <c r="T278" s="19">
        <f t="shared" si="36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0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37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2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38"/>
        <v>62.7</v>
      </c>
      <c r="AV278" s="37">
        <f t="shared" si="39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35"/>
        <v>46</v>
      </c>
      <c r="S279" s="18">
        <f t="shared" si="41"/>
        <v>46</v>
      </c>
      <c r="T279" s="19">
        <f t="shared" si="36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0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37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2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38"/>
        <v>46</v>
      </c>
      <c r="AV279" s="37">
        <f t="shared" si="39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35"/>
        <v>38.4</v>
      </c>
      <c r="S280" s="18">
        <f t="shared" si="41"/>
        <v>38.4</v>
      </c>
      <c r="T280" s="19">
        <f t="shared" si="36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0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37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2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38"/>
        <v>38.4</v>
      </c>
      <c r="AV280" s="37">
        <f t="shared" si="39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43">IFERROR(H281*((AA281*0.25)+(AC281*0.25)+(AD281*0.225)+(AE281*0.225)+(AF281*0.05)),"")</f>
        <v>466.3</v>
      </c>
      <c r="S281" s="18">
        <f t="shared" si="41"/>
        <v>466.3</v>
      </c>
      <c r="T281" s="19">
        <f t="shared" ref="T281:T344" si="44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0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37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2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38"/>
        <v>466.3</v>
      </c>
      <c r="AV281" s="37">
        <f t="shared" si="39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43"/>
        <v>466.3</v>
      </c>
      <c r="S282" s="18">
        <f t="shared" si="41"/>
        <v>466.3</v>
      </c>
      <c r="T282" s="19">
        <f t="shared" si="44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0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37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2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38"/>
        <v>466.3</v>
      </c>
      <c r="AV282" s="37">
        <f t="shared" si="39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43"/>
        <v>320.39999999999998</v>
      </c>
      <c r="S283" s="18">
        <f t="shared" si="41"/>
        <v>320.39999999999998</v>
      </c>
      <c r="T283" s="19">
        <f t="shared" si="44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0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45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2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38"/>
        <v>320.39999999999998</v>
      </c>
      <c r="AV283" s="37">
        <f t="shared" si="39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43"/>
        <v>320.39999999999998</v>
      </c>
      <c r="S284" s="18">
        <f t="shared" si="41"/>
        <v>320.39999999999998</v>
      </c>
      <c r="T284" s="19">
        <f t="shared" si="44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0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45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2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38"/>
        <v>320.39999999999998</v>
      </c>
      <c r="AV284" s="37">
        <f t="shared" si="39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43"/>
        <v>32.9</v>
      </c>
      <c r="S285" s="18">
        <f t="shared" si="41"/>
        <v>32.9</v>
      </c>
      <c r="T285" s="19">
        <f t="shared" si="44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0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45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2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38"/>
        <v>32.9</v>
      </c>
      <c r="AV285" s="37">
        <f t="shared" si="39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43"/>
        <v>45.6</v>
      </c>
      <c r="S286" s="18">
        <f t="shared" si="41"/>
        <v>45.6</v>
      </c>
      <c r="T286" s="19">
        <f t="shared" si="44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0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45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2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38"/>
        <v>45.6</v>
      </c>
      <c r="AV286" s="37">
        <f t="shared" si="39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43"/>
        <v>22.2</v>
      </c>
      <c r="S287" s="18">
        <f t="shared" si="41"/>
        <v>22.2</v>
      </c>
      <c r="T287" s="19">
        <f t="shared" si="44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0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45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2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38"/>
        <v>22.2</v>
      </c>
      <c r="AV287" s="37">
        <f t="shared" si="39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43"/>
        <v>34</v>
      </c>
      <c r="S288" s="18">
        <f t="shared" si="41"/>
        <v>34</v>
      </c>
      <c r="T288" s="19">
        <f t="shared" si="44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0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45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2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38"/>
        <v>34</v>
      </c>
      <c r="AV288" s="37">
        <f t="shared" si="39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43"/>
        <v>10.199999999999999</v>
      </c>
      <c r="S289" s="18">
        <f t="shared" si="41"/>
        <v>10.199999999999999</v>
      </c>
      <c r="T289" s="19">
        <f t="shared" si="44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0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45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2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38"/>
        <v>10.199999999999999</v>
      </c>
      <c r="AV289" s="37">
        <f t="shared" si="39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43"/>
        <v>49.8</v>
      </c>
      <c r="S290" s="18">
        <f t="shared" si="41"/>
        <v>49.8</v>
      </c>
      <c r="T290" s="19">
        <f t="shared" si="44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0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45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2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38"/>
        <v>49.8</v>
      </c>
      <c r="AV290" s="37">
        <f t="shared" si="39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43"/>
        <v>24.3</v>
      </c>
      <c r="S291" s="18">
        <f t="shared" si="41"/>
        <v>24.3</v>
      </c>
      <c r="T291" s="19">
        <f t="shared" si="44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0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45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2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38"/>
        <v>24.3</v>
      </c>
      <c r="AV291" s="37">
        <f t="shared" si="39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43"/>
        <v>108.8</v>
      </c>
      <c r="S292" s="18">
        <f t="shared" si="41"/>
        <v>108.8</v>
      </c>
      <c r="T292" s="19">
        <f t="shared" si="44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0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45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2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46">IF(AH292="",0,IF(ISTEXT(AH292),H292*VALUE(SUBSTITUTE(AH292,"%",""))/100,H292*AH292))</f>
        <v>108.8</v>
      </c>
      <c r="AV292" s="37">
        <f t="shared" ref="AV292:AV355" si="47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43"/>
        <v>32.9</v>
      </c>
      <c r="S293" s="18">
        <f t="shared" si="41"/>
        <v>32.9</v>
      </c>
      <c r="T293" s="19">
        <f t="shared" si="44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0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45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2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46"/>
        <v>32.9</v>
      </c>
      <c r="AV293" s="37">
        <f t="shared" si="47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43"/>
        <v>45.6</v>
      </c>
      <c r="S294" s="18">
        <f t="shared" si="41"/>
        <v>45.6</v>
      </c>
      <c r="T294" s="19">
        <f t="shared" si="44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0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45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2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46"/>
        <v>45.6</v>
      </c>
      <c r="AV294" s="37">
        <f t="shared" si="47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43"/>
        <v>22.2</v>
      </c>
      <c r="S295" s="18">
        <f t="shared" si="41"/>
        <v>22.2</v>
      </c>
      <c r="T295" s="19">
        <f t="shared" si="44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0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45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2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46"/>
        <v>22.2</v>
      </c>
      <c r="AV295" s="37">
        <f t="shared" si="47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43"/>
        <v>34</v>
      </c>
      <c r="S296" s="18">
        <f t="shared" si="41"/>
        <v>34</v>
      </c>
      <c r="T296" s="19">
        <f t="shared" si="44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0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45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2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46"/>
        <v>34</v>
      </c>
      <c r="AV296" s="37">
        <f t="shared" si="47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43"/>
        <v>10.199999999999999</v>
      </c>
      <c r="S297" s="18">
        <f t="shared" si="41"/>
        <v>10.199999999999999</v>
      </c>
      <c r="T297" s="19">
        <f t="shared" si="44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0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45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2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46"/>
        <v>10.199999999999999</v>
      </c>
      <c r="AV297" s="37">
        <f t="shared" si="47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43"/>
        <v>49.8</v>
      </c>
      <c r="S298" s="18">
        <f t="shared" si="41"/>
        <v>49.8</v>
      </c>
      <c r="T298" s="19">
        <f t="shared" si="44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0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45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2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46"/>
        <v>49.8</v>
      </c>
      <c r="AV298" s="37">
        <f t="shared" si="47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43"/>
        <v>24.3</v>
      </c>
      <c r="S299" s="18">
        <f t="shared" si="41"/>
        <v>24.3</v>
      </c>
      <c r="T299" s="19">
        <f t="shared" si="44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0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45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2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46"/>
        <v>24.3</v>
      </c>
      <c r="AV299" s="37">
        <f t="shared" si="47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43"/>
        <v>108.8</v>
      </c>
      <c r="S300" s="18">
        <f t="shared" si="41"/>
        <v>108.8</v>
      </c>
      <c r="T300" s="19">
        <f t="shared" si="44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0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45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2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46"/>
        <v>108.8</v>
      </c>
      <c r="AV300" s="37">
        <f t="shared" si="47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43"/>
        <v>216.4</v>
      </c>
      <c r="S301" s="18">
        <f t="shared" si="41"/>
        <v>216.4</v>
      </c>
      <c r="T301" s="19">
        <f t="shared" si="44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0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45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2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46"/>
        <v>216.4</v>
      </c>
      <c r="AV301" s="37">
        <f t="shared" si="47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43"/>
        <v>216.4</v>
      </c>
      <c r="S302" s="18">
        <f t="shared" si="41"/>
        <v>216.4</v>
      </c>
      <c r="T302" s="19">
        <f t="shared" si="44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0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45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2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46"/>
        <v>216.4</v>
      </c>
      <c r="AV302" s="37">
        <f t="shared" si="47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43"/>
        <v>106.39999999999999</v>
      </c>
      <c r="S303" s="18">
        <f t="shared" si="41"/>
        <v>106.39999999999999</v>
      </c>
      <c r="T303" s="19">
        <f t="shared" si="44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0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45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2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46"/>
        <v>106.39999999999999</v>
      </c>
      <c r="AV303" s="37">
        <f t="shared" si="47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43"/>
        <v>22.4</v>
      </c>
      <c r="S304" s="18">
        <f t="shared" si="41"/>
        <v>22.4</v>
      </c>
      <c r="T304" s="19">
        <f t="shared" si="44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0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45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2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46"/>
        <v>22.4</v>
      </c>
      <c r="AV304" s="37">
        <f t="shared" si="47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43"/>
        <v>34.6</v>
      </c>
      <c r="S305" s="18">
        <f t="shared" si="41"/>
        <v>34.6</v>
      </c>
      <c r="T305" s="19">
        <f t="shared" si="44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0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45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2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46"/>
        <v>34.6</v>
      </c>
      <c r="AV305" s="37">
        <f t="shared" si="47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43"/>
        <v>91.2</v>
      </c>
      <c r="S306" s="18">
        <f t="shared" si="41"/>
        <v>91.2</v>
      </c>
      <c r="T306" s="19">
        <f t="shared" si="44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0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45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2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46"/>
        <v>91.2</v>
      </c>
      <c r="AV306" s="32">
        <f t="shared" si="47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43"/>
        <v>34.200000000000003</v>
      </c>
      <c r="S307" s="18">
        <f t="shared" si="41"/>
        <v>34.200000000000003</v>
      </c>
      <c r="T307" s="19">
        <f t="shared" si="44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0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45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2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46"/>
        <v>34.200000000000003</v>
      </c>
      <c r="AV307" s="37">
        <f t="shared" si="47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43"/>
        <v>52.4</v>
      </c>
      <c r="S308" s="18">
        <f t="shared" si="41"/>
        <v>52.4</v>
      </c>
      <c r="T308" s="19">
        <f t="shared" si="44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48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45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2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46"/>
        <v>52.4</v>
      </c>
      <c r="AV308" s="37">
        <f t="shared" si="47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43"/>
        <v>106.39999999999999</v>
      </c>
      <c r="S309" s="18">
        <f t="shared" ref="S309:S372" si="49">IFERROR(H309*AG309,"")</f>
        <v>106.39999999999999</v>
      </c>
      <c r="T309" s="19">
        <f t="shared" si="44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48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45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2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46"/>
        <v>106.39999999999999</v>
      </c>
      <c r="AV309" s="37">
        <f t="shared" si="47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43"/>
        <v>19.2</v>
      </c>
      <c r="S310" s="18">
        <f t="shared" si="49"/>
        <v>19.2</v>
      </c>
      <c r="T310" s="19">
        <f t="shared" si="44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48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45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2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46"/>
        <v>19.2</v>
      </c>
      <c r="AV310" s="37">
        <f t="shared" si="47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43"/>
        <v>34.6</v>
      </c>
      <c r="S311" s="18">
        <f t="shared" si="49"/>
        <v>34.6</v>
      </c>
      <c r="T311" s="19">
        <f t="shared" si="44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48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45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2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46"/>
        <v>34.6</v>
      </c>
      <c r="AV311" s="37">
        <f t="shared" si="47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43"/>
        <v>91.2</v>
      </c>
      <c r="S312" s="18">
        <f t="shared" si="49"/>
        <v>91.2</v>
      </c>
      <c r="T312" s="19">
        <f t="shared" si="44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48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45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2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46"/>
        <v>91.2</v>
      </c>
      <c r="AV312" s="37">
        <f t="shared" si="47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43"/>
        <v>34.200000000000003</v>
      </c>
      <c r="S313" s="18">
        <f t="shared" si="49"/>
        <v>34.200000000000003</v>
      </c>
      <c r="T313" s="19">
        <f t="shared" si="44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48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45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2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46"/>
        <v>34.200000000000003</v>
      </c>
      <c r="AV313" s="37">
        <f t="shared" si="47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43"/>
        <v>52.4</v>
      </c>
      <c r="S314" s="18">
        <f t="shared" si="49"/>
        <v>52.4</v>
      </c>
      <c r="T314" s="19">
        <f t="shared" si="44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48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45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2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46"/>
        <v>52.4</v>
      </c>
      <c r="AV314" s="37">
        <f t="shared" si="47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43"/>
        <v>96.4</v>
      </c>
      <c r="S315" s="18">
        <f t="shared" si="49"/>
        <v>96.4</v>
      </c>
      <c r="T315" s="19">
        <f t="shared" si="44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48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45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2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46"/>
        <v>96.4</v>
      </c>
      <c r="AV315" s="37">
        <f t="shared" si="47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43"/>
        <v>25.2</v>
      </c>
      <c r="S316" s="18">
        <f t="shared" si="49"/>
        <v>25.2</v>
      </c>
      <c r="T316" s="19">
        <f t="shared" si="44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48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45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2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46"/>
        <v>25.2</v>
      </c>
      <c r="AV316" s="37">
        <f t="shared" si="47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43"/>
        <v>4</v>
      </c>
      <c r="S317" s="18">
        <f t="shared" si="49"/>
        <v>4</v>
      </c>
      <c r="T317" s="19">
        <f t="shared" si="44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48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45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2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46"/>
        <v>4</v>
      </c>
      <c r="AV317" s="37">
        <f t="shared" si="47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43"/>
        <v>96.4</v>
      </c>
      <c r="S318" s="18">
        <f t="shared" si="49"/>
        <v>96.4</v>
      </c>
      <c r="T318" s="19">
        <f t="shared" si="44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48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45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2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46"/>
        <v>96.4</v>
      </c>
      <c r="AV318" s="37">
        <f t="shared" si="47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43"/>
        <v>25.2</v>
      </c>
      <c r="S319" s="18">
        <f t="shared" si="49"/>
        <v>25.2</v>
      </c>
      <c r="T319" s="19">
        <f t="shared" si="44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48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45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2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46"/>
        <v>25.2</v>
      </c>
      <c r="AV319" s="37">
        <f t="shared" si="47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43"/>
        <v>4</v>
      </c>
      <c r="S320" s="18">
        <f t="shared" si="49"/>
        <v>4</v>
      </c>
      <c r="T320" s="19">
        <f t="shared" si="44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48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45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2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46"/>
        <v>4</v>
      </c>
      <c r="AV320" s="37">
        <f t="shared" si="47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43"/>
        <v>97.6</v>
      </c>
      <c r="S321" s="18">
        <f t="shared" si="49"/>
        <v>97.6</v>
      </c>
      <c r="T321" s="19">
        <f t="shared" si="44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48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45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2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46"/>
        <v>97.6</v>
      </c>
      <c r="AV321" s="37">
        <f t="shared" si="47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43"/>
        <v>25.2</v>
      </c>
      <c r="S322" s="18">
        <f t="shared" si="49"/>
        <v>25.2</v>
      </c>
      <c r="T322" s="19">
        <f t="shared" si="44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48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45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2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46"/>
        <v>25.2</v>
      </c>
      <c r="AV322" s="37">
        <f t="shared" si="47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43"/>
        <v>4</v>
      </c>
      <c r="S323" s="18">
        <f t="shared" si="49"/>
        <v>4</v>
      </c>
      <c r="T323" s="19">
        <f t="shared" si="44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48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45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2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46"/>
        <v>4</v>
      </c>
      <c r="AV323" s="37">
        <f t="shared" si="47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43"/>
        <v>97.6</v>
      </c>
      <c r="S324" s="18">
        <f t="shared" si="49"/>
        <v>97.6</v>
      </c>
      <c r="T324" s="19">
        <f t="shared" si="44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48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45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0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46"/>
        <v>97.6</v>
      </c>
      <c r="AV324" s="37">
        <f t="shared" si="47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43"/>
        <v>25.2</v>
      </c>
      <c r="S325" s="18">
        <f t="shared" si="49"/>
        <v>25.2</v>
      </c>
      <c r="T325" s="19">
        <f t="shared" si="44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48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45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0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46"/>
        <v>25.2</v>
      </c>
      <c r="AV325" s="37">
        <f t="shared" si="47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43"/>
        <v>4</v>
      </c>
      <c r="S326" s="18">
        <f t="shared" si="49"/>
        <v>4</v>
      </c>
      <c r="T326" s="19">
        <f t="shared" si="44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48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45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0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46"/>
        <v>4</v>
      </c>
      <c r="AV326" s="37">
        <f t="shared" si="47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43"/>
        <v>704.9</v>
      </c>
      <c r="S327" s="18">
        <f t="shared" si="49"/>
        <v>704.9</v>
      </c>
      <c r="T327" s="19">
        <f t="shared" si="44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48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45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0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46"/>
        <v>704.9</v>
      </c>
      <c r="AV327" s="37">
        <f t="shared" si="47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43"/>
        <v>20.8</v>
      </c>
      <c r="S328" s="18">
        <f t="shared" si="49"/>
        <v>20.8</v>
      </c>
      <c r="T328" s="19">
        <f t="shared" si="44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48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45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0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46"/>
        <v>20.8</v>
      </c>
      <c r="AV328" s="37">
        <f t="shared" si="47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43"/>
        <v>74.400000000000006</v>
      </c>
      <c r="S329" s="18">
        <f t="shared" si="49"/>
        <v>74.400000000000006</v>
      </c>
      <c r="T329" s="19">
        <f t="shared" si="44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48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45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0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46"/>
        <v>74.400000000000006</v>
      </c>
      <c r="AV329" s="37">
        <f t="shared" si="47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43"/>
        <v>704.9</v>
      </c>
      <c r="S330" s="18">
        <f t="shared" si="49"/>
        <v>704.9</v>
      </c>
      <c r="T330" s="19">
        <f t="shared" si="44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48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45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0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46"/>
        <v>704.9</v>
      </c>
      <c r="AV330" s="37">
        <f t="shared" si="47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43"/>
        <v>20.8</v>
      </c>
      <c r="S331" s="18">
        <f t="shared" si="49"/>
        <v>20.8</v>
      </c>
      <c r="T331" s="19">
        <f t="shared" si="44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48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45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0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46"/>
        <v>20.8</v>
      </c>
      <c r="AV331" s="37">
        <f t="shared" si="47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43"/>
        <v>74.400000000000006</v>
      </c>
      <c r="S332" s="18">
        <f t="shared" si="49"/>
        <v>74.400000000000006</v>
      </c>
      <c r="T332" s="19">
        <f t="shared" si="44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48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45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0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46"/>
        <v>74.400000000000006</v>
      </c>
      <c r="AV332" s="37">
        <f t="shared" si="47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43"/>
        <v>62.2</v>
      </c>
      <c r="S333" s="18">
        <f t="shared" si="49"/>
        <v>62.2</v>
      </c>
      <c r="T333" s="19">
        <f t="shared" si="44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48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45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0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46"/>
        <v>62.2</v>
      </c>
      <c r="AV333" s="37">
        <f t="shared" si="47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43"/>
        <v>10.4</v>
      </c>
      <c r="S334" s="18">
        <f t="shared" si="49"/>
        <v>10.4</v>
      </c>
      <c r="T334" s="19">
        <f t="shared" si="44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48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45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0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46"/>
        <v>10.4</v>
      </c>
      <c r="AV334" s="37">
        <f t="shared" si="47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43"/>
        <v>62.2</v>
      </c>
      <c r="S335" s="18">
        <f t="shared" si="49"/>
        <v>62.2</v>
      </c>
      <c r="T335" s="19">
        <f t="shared" si="44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48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45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0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46"/>
        <v>62.2</v>
      </c>
      <c r="AV335" s="37">
        <f t="shared" si="47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43"/>
        <v>10.4</v>
      </c>
      <c r="S336" s="18">
        <f t="shared" si="49"/>
        <v>10.4</v>
      </c>
      <c r="T336" s="19">
        <f t="shared" si="44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48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45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0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46"/>
        <v>10.4</v>
      </c>
      <c r="AV336" s="37">
        <f t="shared" si="47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43"/>
        <v>27.4</v>
      </c>
      <c r="S337" s="18">
        <f t="shared" si="49"/>
        <v>27.4</v>
      </c>
      <c r="T337" s="19">
        <f t="shared" si="44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48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45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0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46"/>
        <v>27.4</v>
      </c>
      <c r="AV337" s="37">
        <f t="shared" si="47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43"/>
        <v>27.4</v>
      </c>
      <c r="S338" s="18">
        <f t="shared" si="49"/>
        <v>27.4</v>
      </c>
      <c r="T338" s="19">
        <f t="shared" si="44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48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45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0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46"/>
        <v>27.4</v>
      </c>
      <c r="AV338" s="37">
        <f t="shared" si="47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43"/>
        <v>36.6</v>
      </c>
      <c r="S339" s="18">
        <f t="shared" si="49"/>
        <v>36.6</v>
      </c>
      <c r="T339" s="19">
        <f t="shared" si="44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48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45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0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46"/>
        <v>36.6</v>
      </c>
      <c r="AV339" s="37">
        <f t="shared" si="47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43"/>
        <v>36.6</v>
      </c>
      <c r="S340" s="18">
        <f t="shared" si="49"/>
        <v>36.6</v>
      </c>
      <c r="T340" s="19">
        <f t="shared" si="44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48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45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0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46"/>
        <v>36.6</v>
      </c>
      <c r="AV340" s="37">
        <f t="shared" si="47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43"/>
        <v>12.6</v>
      </c>
      <c r="S341" s="18">
        <f t="shared" si="49"/>
        <v>12.6</v>
      </c>
      <c r="T341" s="19">
        <f t="shared" si="44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48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45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0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46"/>
        <v>12.6</v>
      </c>
      <c r="AV341" s="37">
        <f t="shared" si="47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43"/>
        <v>12.6</v>
      </c>
      <c r="S342" s="18">
        <f t="shared" si="49"/>
        <v>12.6</v>
      </c>
      <c r="T342" s="19">
        <f t="shared" si="44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48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45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0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46"/>
        <v>12.6</v>
      </c>
      <c r="AV342" s="37">
        <f t="shared" si="47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43"/>
        <v>1.4</v>
      </c>
      <c r="S343" s="18">
        <f t="shared" si="49"/>
        <v>1.4</v>
      </c>
      <c r="T343" s="19">
        <f t="shared" si="44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48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45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0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46"/>
        <v>1.4</v>
      </c>
      <c r="AV343" s="37">
        <f t="shared" si="47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43"/>
        <v>1.4</v>
      </c>
      <c r="S344" s="18">
        <f t="shared" si="49"/>
        <v>1.4</v>
      </c>
      <c r="T344" s="19">
        <f t="shared" si="44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48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45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0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46"/>
        <v>1.4</v>
      </c>
      <c r="AV344" s="37">
        <f t="shared" si="47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1">IFERROR(H345*((AA345*0.25)+(AC345*0.25)+(AD345*0.225)+(AE345*0.225)+(AF345*0.05)),"")</f>
        <v>11.3</v>
      </c>
      <c r="S345" s="18">
        <f t="shared" si="49"/>
        <v>11.3</v>
      </c>
      <c r="T345" s="19">
        <f t="shared" ref="T345:T354" si="52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48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45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0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46"/>
        <v>11.3</v>
      </c>
      <c r="AV345" s="37">
        <f t="shared" si="47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1"/>
        <v>11.3</v>
      </c>
      <c r="S346" s="18">
        <f t="shared" si="49"/>
        <v>11.3</v>
      </c>
      <c r="T346" s="19">
        <f t="shared" si="52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48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45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0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46"/>
        <v>11.3</v>
      </c>
      <c r="AV346" s="37">
        <f t="shared" si="47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1"/>
        <v>11.3</v>
      </c>
      <c r="S347" s="18">
        <f t="shared" si="49"/>
        <v>11.3</v>
      </c>
      <c r="T347" s="19">
        <f t="shared" si="52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48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53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0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46"/>
        <v>11.3</v>
      </c>
      <c r="AV347" s="37">
        <f t="shared" si="47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1"/>
        <v>11.3</v>
      </c>
      <c r="S348" s="18">
        <f t="shared" si="49"/>
        <v>11.3</v>
      </c>
      <c r="T348" s="19">
        <f t="shared" si="52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48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53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0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46"/>
        <v>11.3</v>
      </c>
      <c r="AV348" s="37">
        <f t="shared" si="47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1"/>
        <v>19.8</v>
      </c>
      <c r="S349" s="18">
        <f t="shared" si="49"/>
        <v>19.8</v>
      </c>
      <c r="T349" s="19">
        <f t="shared" si="52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48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53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0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46"/>
        <v>19.8</v>
      </c>
      <c r="AV349" s="37">
        <f t="shared" si="47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1"/>
        <v>19.8</v>
      </c>
      <c r="S350" s="18">
        <f t="shared" si="49"/>
        <v>19.8</v>
      </c>
      <c r="T350" s="19">
        <f t="shared" si="52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48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53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0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46"/>
        <v>19.8</v>
      </c>
      <c r="AV350" s="37">
        <f t="shared" si="47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1"/>
        <v>24.9</v>
      </c>
      <c r="S351" s="18">
        <f t="shared" si="49"/>
        <v>24.9</v>
      </c>
      <c r="T351" s="19">
        <f t="shared" si="52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48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53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0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46"/>
        <v>24.9</v>
      </c>
      <c r="AV351" s="37">
        <f t="shared" si="47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1"/>
        <v>24.9</v>
      </c>
      <c r="S352" s="18">
        <f t="shared" si="49"/>
        <v>24.9</v>
      </c>
      <c r="T352" s="19">
        <f t="shared" si="52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48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53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0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46"/>
        <v>24.9</v>
      </c>
      <c r="AV352" s="37">
        <f t="shared" si="47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1"/>
        <v>74</v>
      </c>
      <c r="S353" s="18">
        <f t="shared" si="49"/>
        <v>74</v>
      </c>
      <c r="T353" s="19">
        <f t="shared" si="52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48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53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0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46"/>
        <v>74</v>
      </c>
      <c r="AV353" s="37">
        <f t="shared" si="47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1"/>
        <v>74</v>
      </c>
      <c r="S354" s="18">
        <f t="shared" si="49"/>
        <v>74</v>
      </c>
      <c r="T354" s="19">
        <f t="shared" si="52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48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53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0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46"/>
        <v>74</v>
      </c>
      <c r="AV354" s="37">
        <f t="shared" si="47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1"/>
        <v>65</v>
      </c>
      <c r="S355" s="18">
        <f t="shared" si="49"/>
        <v>65</v>
      </c>
      <c r="T355" s="19">
        <f t="shared" ref="T355:T418" si="54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55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53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0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46"/>
        <v>65</v>
      </c>
      <c r="AV355" s="37">
        <f t="shared" si="47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1"/>
        <v>65</v>
      </c>
      <c r="S356" s="18">
        <f t="shared" si="49"/>
        <v>65</v>
      </c>
      <c r="T356" s="19">
        <f t="shared" si="54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55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53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0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56">IF(AH356="",0,IF(ISTEXT(AH356),H356*VALUE(SUBSTITUTE(AH356,"%",""))/100,H356*AH356))</f>
        <v>65</v>
      </c>
      <c r="AV356" s="37">
        <f t="shared" ref="AV356:AV419" si="57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1"/>
        <v>151.80000000000001</v>
      </c>
      <c r="S357" s="18">
        <f t="shared" si="49"/>
        <v>151.80000000000001</v>
      </c>
      <c r="T357" s="19">
        <f t="shared" si="54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55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53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0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56"/>
        <v>151.80000000000001</v>
      </c>
      <c r="AV357" s="37">
        <f t="shared" si="57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1"/>
        <v>151.80000000000001</v>
      </c>
      <c r="S358" s="18">
        <f t="shared" si="49"/>
        <v>151.80000000000001</v>
      </c>
      <c r="T358" s="19">
        <f t="shared" si="54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55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53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0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56"/>
        <v>151.80000000000001</v>
      </c>
      <c r="AV358" s="37">
        <f t="shared" si="57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1"/>
        <v>17.899999999999999</v>
      </c>
      <c r="S359" s="18">
        <f t="shared" si="49"/>
        <v>17.899999999999999</v>
      </c>
      <c r="T359" s="19">
        <f t="shared" si="54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55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53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0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56"/>
        <v>17.899999999999999</v>
      </c>
      <c r="AV359" s="37">
        <f t="shared" si="57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1"/>
        <v>17.899999999999999</v>
      </c>
      <c r="S360" s="18">
        <f t="shared" si="49"/>
        <v>17.899999999999999</v>
      </c>
      <c r="T360" s="19">
        <f t="shared" si="54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55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53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0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56"/>
        <v>17.899999999999999</v>
      </c>
      <c r="AV360" s="37">
        <f t="shared" si="57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1"/>
        <v>7</v>
      </c>
      <c r="S361" s="18">
        <f t="shared" si="49"/>
        <v>7</v>
      </c>
      <c r="T361" s="19">
        <f t="shared" si="54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55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53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0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56"/>
        <v>7</v>
      </c>
      <c r="AV361" s="37">
        <f t="shared" si="57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1"/>
        <v>7</v>
      </c>
      <c r="S362" s="18">
        <f t="shared" si="49"/>
        <v>7</v>
      </c>
      <c r="T362" s="19">
        <f t="shared" si="54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55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53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0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56"/>
        <v>7</v>
      </c>
      <c r="AV362" s="37">
        <f t="shared" si="57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1"/>
        <v>8.4</v>
      </c>
      <c r="S363" s="18">
        <f t="shared" si="49"/>
        <v>8.4</v>
      </c>
      <c r="T363" s="19">
        <f t="shared" si="54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55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53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0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56"/>
        <v>8.4</v>
      </c>
      <c r="AV363" s="37">
        <f t="shared" si="57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1"/>
        <v>8.4</v>
      </c>
      <c r="S364" s="18">
        <f t="shared" si="49"/>
        <v>8.4</v>
      </c>
      <c r="T364" s="19">
        <f t="shared" si="54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55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53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0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56"/>
        <v>8.4</v>
      </c>
      <c r="AV364" s="37">
        <f t="shared" si="57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1"/>
        <v>0.5</v>
      </c>
      <c r="S365" s="18">
        <f t="shared" si="49"/>
        <v>0.5</v>
      </c>
      <c r="T365" s="19">
        <f t="shared" si="54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55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53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0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56"/>
        <v>0.5</v>
      </c>
      <c r="AV365" s="37">
        <f t="shared" si="57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1"/>
        <v>0.5</v>
      </c>
      <c r="S366" s="18">
        <f t="shared" si="49"/>
        <v>0.5</v>
      </c>
      <c r="T366" s="19">
        <f t="shared" si="54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55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53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0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56"/>
        <v>0.5</v>
      </c>
      <c r="AV366" s="37">
        <f t="shared" si="57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1"/>
        <v>6</v>
      </c>
      <c r="S367" s="18">
        <f t="shared" si="49"/>
        <v>6</v>
      </c>
      <c r="T367" s="19">
        <f t="shared" si="54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55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53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0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56"/>
        <v>6</v>
      </c>
      <c r="AV367" s="37">
        <f t="shared" si="57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1"/>
        <v>6</v>
      </c>
      <c r="S368" s="18">
        <f t="shared" si="49"/>
        <v>6</v>
      </c>
      <c r="T368" s="19">
        <f t="shared" si="54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55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53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0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56"/>
        <v>6</v>
      </c>
      <c r="AV368" s="37">
        <f t="shared" si="57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1"/>
        <v>0.4</v>
      </c>
      <c r="S369" s="18">
        <f t="shared" si="49"/>
        <v>0.4</v>
      </c>
      <c r="T369" s="19">
        <f t="shared" si="54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55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53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0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56"/>
        <v>0.4</v>
      </c>
      <c r="AV369" s="37">
        <f t="shared" si="57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1"/>
        <v>0.4</v>
      </c>
      <c r="S370" s="18">
        <f t="shared" si="49"/>
        <v>0.4</v>
      </c>
      <c r="T370" s="19">
        <f t="shared" si="54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55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53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0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56"/>
        <v>0.4</v>
      </c>
      <c r="AV370" s="37">
        <f t="shared" si="57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1"/>
        <v>0.4</v>
      </c>
      <c r="S371" s="18">
        <f t="shared" si="49"/>
        <v>0.4</v>
      </c>
      <c r="T371" s="19">
        <f t="shared" si="54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55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53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0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56"/>
        <v>0.4</v>
      </c>
      <c r="AV371" s="37">
        <f t="shared" si="57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1"/>
        <v>0.4</v>
      </c>
      <c r="S372" s="18">
        <f t="shared" si="49"/>
        <v>0.4</v>
      </c>
      <c r="T372" s="19">
        <f t="shared" si="54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55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53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0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56"/>
        <v>0.4</v>
      </c>
      <c r="AV372" s="37">
        <f t="shared" si="57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1"/>
        <v>0.2</v>
      </c>
      <c r="S373" s="18">
        <f t="shared" ref="S373:S436" si="58">IFERROR(H373*AG373,"")</f>
        <v>0.2</v>
      </c>
      <c r="T373" s="19">
        <f t="shared" si="54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55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53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0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56"/>
        <v>0.2</v>
      </c>
      <c r="AV373" s="37">
        <f t="shared" si="57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1"/>
        <v>0.2</v>
      </c>
      <c r="S374" s="18">
        <f t="shared" si="58"/>
        <v>0.2</v>
      </c>
      <c r="T374" s="19">
        <f t="shared" si="54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55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53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0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56"/>
        <v>0.2</v>
      </c>
      <c r="AV374" s="37">
        <f t="shared" si="57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1"/>
        <v>7.8</v>
      </c>
      <c r="S375" s="18">
        <f t="shared" si="58"/>
        <v>7.8</v>
      </c>
      <c r="T375" s="19">
        <f t="shared" si="54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55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53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0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56"/>
        <v>7.8</v>
      </c>
      <c r="AV375" s="37">
        <f t="shared" si="57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1"/>
        <v>7.8</v>
      </c>
      <c r="S376" s="18">
        <f t="shared" si="58"/>
        <v>7.8</v>
      </c>
      <c r="T376" s="19">
        <f t="shared" si="54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55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53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0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56"/>
        <v>7.8</v>
      </c>
      <c r="AV376" s="37">
        <f t="shared" si="57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1"/>
        <v>9.1999999999999993</v>
      </c>
      <c r="S377" s="18">
        <f t="shared" si="58"/>
        <v>9.1999999999999993</v>
      </c>
      <c r="T377" s="19">
        <f t="shared" si="54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55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53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0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56"/>
        <v>9.1999999999999993</v>
      </c>
      <c r="AV377" s="37">
        <f t="shared" si="57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1"/>
        <v>9.1999999999999993</v>
      </c>
      <c r="S378" s="18">
        <f t="shared" si="58"/>
        <v>9.1999999999999993</v>
      </c>
      <c r="T378" s="19">
        <f t="shared" si="54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55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53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0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56"/>
        <v>9.1999999999999993</v>
      </c>
      <c r="AV378" s="37">
        <f t="shared" si="57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1"/>
        <v>4.3</v>
      </c>
      <c r="S379" s="18">
        <f t="shared" si="58"/>
        <v>4.3</v>
      </c>
      <c r="T379" s="19">
        <f t="shared" si="54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55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53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0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56"/>
        <v>4.3</v>
      </c>
      <c r="AV379" s="37">
        <f t="shared" si="57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1"/>
        <v>4.3</v>
      </c>
      <c r="S380" s="18">
        <f t="shared" si="58"/>
        <v>4.3</v>
      </c>
      <c r="T380" s="19">
        <f t="shared" si="54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55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53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0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56"/>
        <v>4.3</v>
      </c>
      <c r="AV380" s="37">
        <f t="shared" si="57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1"/>
        <v>4</v>
      </c>
      <c r="S381" s="18">
        <f t="shared" si="58"/>
        <v>4</v>
      </c>
      <c r="T381" s="19">
        <f t="shared" si="54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55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53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0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56"/>
        <v>4</v>
      </c>
      <c r="AV381" s="37">
        <f t="shared" si="57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1"/>
        <v>4</v>
      </c>
      <c r="S382" s="18">
        <f t="shared" si="58"/>
        <v>4</v>
      </c>
      <c r="T382" s="19">
        <f t="shared" si="54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55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53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0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56"/>
        <v>4</v>
      </c>
      <c r="AV382" s="37">
        <f t="shared" si="57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1"/>
        <v>11.8</v>
      </c>
      <c r="S383" s="18">
        <f t="shared" si="58"/>
        <v>11.8</v>
      </c>
      <c r="T383" s="19">
        <f t="shared" si="54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55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53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0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56"/>
        <v>11.8</v>
      </c>
      <c r="AV383" s="37">
        <f t="shared" si="57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1"/>
        <v>11.8</v>
      </c>
      <c r="S384" s="18">
        <f t="shared" si="58"/>
        <v>11.8</v>
      </c>
      <c r="T384" s="19">
        <f t="shared" si="54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55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53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0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56"/>
        <v>11.8</v>
      </c>
      <c r="AV384" s="37">
        <f t="shared" si="57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1"/>
        <v>11.2</v>
      </c>
      <c r="S385" s="18">
        <f t="shared" si="58"/>
        <v>11.2</v>
      </c>
      <c r="T385" s="19">
        <f t="shared" si="54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55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53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0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56"/>
        <v>11.2</v>
      </c>
      <c r="AV385" s="37">
        <f t="shared" si="57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1"/>
        <v>11.2</v>
      </c>
      <c r="S386" s="18">
        <f t="shared" si="58"/>
        <v>11.2</v>
      </c>
      <c r="T386" s="19">
        <f t="shared" si="54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55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53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0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56"/>
        <v>11.2</v>
      </c>
      <c r="AV386" s="37">
        <f t="shared" si="57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1"/>
        <v>31.8</v>
      </c>
      <c r="S387" s="18">
        <f t="shared" si="58"/>
        <v>31.8</v>
      </c>
      <c r="T387" s="19">
        <f t="shared" si="54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55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53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0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56"/>
        <v>31.8</v>
      </c>
      <c r="AV387" s="37">
        <f t="shared" si="57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1"/>
        <v>31.8</v>
      </c>
      <c r="S388" s="18">
        <f t="shared" si="58"/>
        <v>31.8</v>
      </c>
      <c r="T388" s="19">
        <f t="shared" si="54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55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53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59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56"/>
        <v>31.8</v>
      </c>
      <c r="AV388" s="37">
        <f t="shared" si="57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1"/>
        <v>58.199999999999996</v>
      </c>
      <c r="S389" s="18">
        <f t="shared" si="58"/>
        <v>58.199999999999996</v>
      </c>
      <c r="T389" s="19">
        <f t="shared" si="54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55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53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59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56"/>
        <v>58.199999999999996</v>
      </c>
      <c r="AV389" s="37">
        <f t="shared" si="57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1"/>
        <v>58.199999999999996</v>
      </c>
      <c r="S390" s="18">
        <f t="shared" si="58"/>
        <v>58.199999999999996</v>
      </c>
      <c r="T390" s="19">
        <f t="shared" si="54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55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53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59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56"/>
        <v>58.199999999999996</v>
      </c>
      <c r="AV390" s="37">
        <f t="shared" si="57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1"/>
        <v>19.399999999999999</v>
      </c>
      <c r="S391" s="18">
        <f t="shared" si="58"/>
        <v>19.399999999999999</v>
      </c>
      <c r="T391" s="19">
        <f t="shared" si="54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55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53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59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56"/>
        <v>19.399999999999999</v>
      </c>
      <c r="AV391" s="37">
        <f t="shared" si="57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1"/>
        <v>19.399999999999999</v>
      </c>
      <c r="S392" s="18">
        <f t="shared" si="58"/>
        <v>19.399999999999999</v>
      </c>
      <c r="T392" s="19">
        <f t="shared" si="54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55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53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59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56"/>
        <v>19.399999999999999</v>
      </c>
      <c r="AV392" s="37">
        <f t="shared" si="57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1"/>
        <v>2.6999999999999997</v>
      </c>
      <c r="S393" s="18">
        <f t="shared" si="58"/>
        <v>2.6999999999999997</v>
      </c>
      <c r="T393" s="19">
        <f t="shared" si="54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55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53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59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56"/>
        <v>2.6999999999999997</v>
      </c>
      <c r="AV393" s="37">
        <f t="shared" si="57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1"/>
        <v>2.6999999999999997</v>
      </c>
      <c r="S394" s="18">
        <f t="shared" si="58"/>
        <v>2.6999999999999997</v>
      </c>
      <c r="T394" s="19">
        <f t="shared" si="54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55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53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59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56"/>
        <v>2.6999999999999997</v>
      </c>
      <c r="AV394" s="37">
        <f t="shared" si="57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1"/>
        <v>265.89999999999998</v>
      </c>
      <c r="S395" s="18">
        <f t="shared" si="58"/>
        <v>265.89999999999998</v>
      </c>
      <c r="T395" s="19">
        <f t="shared" si="54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55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53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59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56"/>
        <v>265.89999999999998</v>
      </c>
      <c r="AV395" s="37">
        <f t="shared" si="57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1"/>
        <v>265.89999999999998</v>
      </c>
      <c r="S396" s="18">
        <f t="shared" si="58"/>
        <v>265.89999999999998</v>
      </c>
      <c r="T396" s="19">
        <f t="shared" si="54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55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53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59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56"/>
        <v>265.89999999999998</v>
      </c>
      <c r="AV396" s="37">
        <f t="shared" si="57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1"/>
        <v>15.8</v>
      </c>
      <c r="S397" s="18">
        <f t="shared" si="58"/>
        <v>15.8</v>
      </c>
      <c r="T397" s="19">
        <f t="shared" si="54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55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53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59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56"/>
        <v>15.8</v>
      </c>
      <c r="AV397" s="37">
        <f t="shared" si="57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1"/>
        <v>15.8</v>
      </c>
      <c r="S398" s="18">
        <f t="shared" si="58"/>
        <v>15.8</v>
      </c>
      <c r="T398" s="19">
        <f t="shared" si="54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55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53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59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56"/>
        <v>15.8</v>
      </c>
      <c r="AV398" s="37">
        <f t="shared" si="57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1"/>
        <v>49.5</v>
      </c>
      <c r="S399" s="18">
        <f t="shared" si="58"/>
        <v>49.5</v>
      </c>
      <c r="T399" s="19">
        <f t="shared" si="54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55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53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59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56"/>
        <v>49.5</v>
      </c>
      <c r="AV399" s="37">
        <f t="shared" si="57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1"/>
        <v>49.5</v>
      </c>
      <c r="S400" s="18">
        <f t="shared" si="58"/>
        <v>49.5</v>
      </c>
      <c r="T400" s="19">
        <f t="shared" si="54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55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53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59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56"/>
        <v>49.5</v>
      </c>
      <c r="AV400" s="37">
        <f t="shared" si="57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1"/>
        <v>282</v>
      </c>
      <c r="S401" s="18">
        <f t="shared" si="58"/>
        <v>282</v>
      </c>
      <c r="T401" s="19">
        <f t="shared" si="54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55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53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59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56"/>
        <v>282</v>
      </c>
      <c r="AV401" s="37">
        <f t="shared" si="57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1"/>
        <v>282</v>
      </c>
      <c r="S402" s="18">
        <f t="shared" si="58"/>
        <v>282</v>
      </c>
      <c r="T402" s="19">
        <f t="shared" si="54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55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53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59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56"/>
        <v>282</v>
      </c>
      <c r="AV402" s="37">
        <f t="shared" si="57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1"/>
        <v>199.48</v>
      </c>
      <c r="S403" s="18">
        <f t="shared" si="58"/>
        <v>199.48</v>
      </c>
      <c r="T403" s="19">
        <f t="shared" si="54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55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53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59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56"/>
        <v>0</v>
      </c>
      <c r="AV403" s="37">
        <f t="shared" si="57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1"/>
        <v>200</v>
      </c>
      <c r="S404" s="18">
        <f t="shared" si="58"/>
        <v>200</v>
      </c>
      <c r="T404" s="19">
        <f t="shared" si="54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5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53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59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56"/>
        <v>0</v>
      </c>
      <c r="AV404" s="37">
        <f t="shared" si="57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1"/>
        <v>57.6</v>
      </c>
      <c r="S405" s="18">
        <f t="shared" si="58"/>
        <v>57.6</v>
      </c>
      <c r="T405" s="19">
        <f t="shared" si="54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55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53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59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56"/>
        <v>57.6</v>
      </c>
      <c r="AV405" s="37">
        <f t="shared" si="57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1"/>
        <v>57.6</v>
      </c>
      <c r="S406" s="18">
        <f t="shared" si="58"/>
        <v>57.6</v>
      </c>
      <c r="T406" s="19">
        <f t="shared" si="54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55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53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59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56"/>
        <v>57.6</v>
      </c>
      <c r="AV406" s="37">
        <f t="shared" si="57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1"/>
        <v>44.8</v>
      </c>
      <c r="S407" s="18">
        <f t="shared" si="58"/>
        <v>44.8</v>
      </c>
      <c r="T407" s="19">
        <f t="shared" si="54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55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53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59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56"/>
        <v>44.8</v>
      </c>
      <c r="AV407" s="37">
        <f t="shared" si="57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1"/>
        <v>44.8</v>
      </c>
      <c r="S408" s="18">
        <f t="shared" si="58"/>
        <v>44.8</v>
      </c>
      <c r="T408" s="19">
        <f t="shared" si="54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55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53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59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56"/>
        <v>44.8</v>
      </c>
      <c r="AV408" s="37">
        <f t="shared" si="57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0">IFERROR(H409*((AA409*0.25)+(AC409*0.25)+(AD409*0.225)+(AE409*0.225)+(AF409*0.05)),"")</f>
        <v>57.1</v>
      </c>
      <c r="S409" s="18">
        <f t="shared" si="58"/>
        <v>57.1</v>
      </c>
      <c r="T409" s="19">
        <f t="shared" si="54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55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53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59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56"/>
        <v>57.1</v>
      </c>
      <c r="AV409" s="37">
        <f t="shared" si="57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0"/>
        <v>57.1</v>
      </c>
      <c r="S410" s="18">
        <f t="shared" si="58"/>
        <v>57.1</v>
      </c>
      <c r="T410" s="19">
        <f t="shared" si="54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55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53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59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56"/>
        <v>57.1</v>
      </c>
      <c r="AV410" s="37">
        <f t="shared" si="57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0"/>
        <v>42.4</v>
      </c>
      <c r="S411" s="18">
        <f t="shared" si="58"/>
        <v>42.4</v>
      </c>
      <c r="T411" s="19">
        <f t="shared" si="54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55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1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59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56"/>
        <v>42.4</v>
      </c>
      <c r="AV411" s="37">
        <f t="shared" si="57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0"/>
        <v>42.4</v>
      </c>
      <c r="S412" s="18">
        <f t="shared" si="58"/>
        <v>42.4</v>
      </c>
      <c r="T412" s="19">
        <f t="shared" si="54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55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1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59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56"/>
        <v>42.4</v>
      </c>
      <c r="AV412" s="37">
        <f t="shared" si="57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0"/>
        <v>40.700000000000003</v>
      </c>
      <c r="S413" s="18">
        <f t="shared" si="58"/>
        <v>40.700000000000003</v>
      </c>
      <c r="T413" s="19">
        <f t="shared" si="54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55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1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59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56"/>
        <v>40.700000000000003</v>
      </c>
      <c r="AV413" s="37">
        <f t="shared" si="57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0"/>
        <v>40.700000000000003</v>
      </c>
      <c r="S414" s="18">
        <f t="shared" si="58"/>
        <v>40.700000000000003</v>
      </c>
      <c r="T414" s="19">
        <f t="shared" si="54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55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1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59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56"/>
        <v>40.700000000000003</v>
      </c>
      <c r="AV414" s="37">
        <f t="shared" si="57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0"/>
        <v>57.7</v>
      </c>
      <c r="S415" s="18">
        <f t="shared" si="58"/>
        <v>57.7</v>
      </c>
      <c r="T415" s="19">
        <f t="shared" si="54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55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1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59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56"/>
        <v>57.7</v>
      </c>
      <c r="AV415" s="37">
        <f t="shared" si="57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0"/>
        <v>57.7</v>
      </c>
      <c r="S416" s="18">
        <f t="shared" si="58"/>
        <v>57.7</v>
      </c>
      <c r="T416" s="19">
        <f t="shared" si="54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55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1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59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56"/>
        <v>57.7</v>
      </c>
      <c r="AV416" s="37">
        <f t="shared" si="57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0"/>
        <v>47.2</v>
      </c>
      <c r="S417" s="18">
        <f t="shared" si="58"/>
        <v>47.2</v>
      </c>
      <c r="T417" s="19">
        <f t="shared" si="54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55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1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59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56"/>
        <v>47.2</v>
      </c>
      <c r="AV417" s="37">
        <f t="shared" si="57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0"/>
        <v>47.2</v>
      </c>
      <c r="S418" s="18">
        <f t="shared" si="58"/>
        <v>47.2</v>
      </c>
      <c r="T418" s="19">
        <f t="shared" si="54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55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1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59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56"/>
        <v>47.2</v>
      </c>
      <c r="AV418" s="37">
        <f t="shared" si="57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0"/>
        <v>38.4</v>
      </c>
      <c r="S419" s="18">
        <f t="shared" si="58"/>
        <v>38.4</v>
      </c>
      <c r="T419" s="19">
        <f t="shared" ref="T419:T438" si="62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63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1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59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56"/>
        <v>38.4</v>
      </c>
      <c r="AV419" s="37">
        <f t="shared" si="57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0"/>
        <v>38.4</v>
      </c>
      <c r="S420" s="18">
        <f t="shared" si="58"/>
        <v>38.4</v>
      </c>
      <c r="T420" s="19">
        <f t="shared" si="62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63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1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59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64">IF(AH420="",0,IF(ISTEXT(AH420),H420*VALUE(SUBSTITUTE(AH420,"%",""))/100,H420*AH420))</f>
        <v>38.4</v>
      </c>
      <c r="AV420" s="37">
        <f t="shared" ref="AV420:AV438" si="65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0"/>
        <v>42.7</v>
      </c>
      <c r="S421" s="18">
        <f t="shared" si="58"/>
        <v>42.7</v>
      </c>
      <c r="T421" s="19">
        <f t="shared" si="62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63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1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59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64"/>
        <v>42.7</v>
      </c>
      <c r="AV421" s="37">
        <f t="shared" si="65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0"/>
        <v>42.7</v>
      </c>
      <c r="S422" s="18">
        <f t="shared" si="58"/>
        <v>42.7</v>
      </c>
      <c r="T422" s="19">
        <f t="shared" si="62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63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1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59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64"/>
        <v>42.7</v>
      </c>
      <c r="AV422" s="37">
        <f t="shared" si="65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0"/>
        <v>72</v>
      </c>
      <c r="S423" s="18">
        <f t="shared" si="58"/>
        <v>72</v>
      </c>
      <c r="T423" s="19">
        <f t="shared" si="62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3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59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64"/>
        <v>72</v>
      </c>
      <c r="AV423" s="37">
        <f t="shared" si="65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0"/>
        <v>36</v>
      </c>
      <c r="S424" s="18">
        <f t="shared" si="58"/>
        <v>36</v>
      </c>
      <c r="T424" s="19">
        <f t="shared" si="62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3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59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64"/>
        <v>36</v>
      </c>
      <c r="AV424" s="37">
        <f t="shared" si="65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0"/>
        <v>37.6</v>
      </c>
      <c r="S425" s="18">
        <f t="shared" si="58"/>
        <v>37.6</v>
      </c>
      <c r="T425" s="19">
        <f t="shared" si="62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63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1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59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64"/>
        <v>37.6</v>
      </c>
      <c r="AV425" s="37">
        <f t="shared" si="65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0"/>
        <v>56.6</v>
      </c>
      <c r="S426" s="18">
        <f t="shared" si="58"/>
        <v>56.6</v>
      </c>
      <c r="T426" s="19">
        <f t="shared" si="62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63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1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59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64"/>
        <v>56.6</v>
      </c>
      <c r="AV426" s="37">
        <f t="shared" si="65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0"/>
        <v>43.8</v>
      </c>
      <c r="S427" s="18">
        <f t="shared" si="58"/>
        <v>43.8</v>
      </c>
      <c r="T427" s="19">
        <f t="shared" si="62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63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1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59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64"/>
        <v>43.8</v>
      </c>
      <c r="AV427" s="37">
        <f t="shared" si="65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0"/>
        <v>1.6</v>
      </c>
      <c r="S428" s="18">
        <f t="shared" si="58"/>
        <v>1.6</v>
      </c>
      <c r="T428" s="19">
        <f t="shared" si="62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63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1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59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64"/>
        <v>1.6</v>
      </c>
      <c r="AV428" s="37">
        <f t="shared" si="65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0"/>
        <v>3.6</v>
      </c>
      <c r="S429" s="18">
        <f t="shared" si="58"/>
        <v>3.6</v>
      </c>
      <c r="T429" s="19">
        <f t="shared" si="62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63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1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59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64"/>
        <v>3.6</v>
      </c>
      <c r="AV429" s="37">
        <f t="shared" si="65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0"/>
        <v>4.4000000000000004</v>
      </c>
      <c r="S430" s="18">
        <f t="shared" si="58"/>
        <v>4.4000000000000004</v>
      </c>
      <c r="T430" s="19">
        <f t="shared" si="62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63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1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59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64"/>
        <v>4.4000000000000004</v>
      </c>
      <c r="AV430" s="37">
        <f t="shared" si="65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0"/>
        <v>3.9</v>
      </c>
      <c r="S431" s="18">
        <f t="shared" si="58"/>
        <v>3.9</v>
      </c>
      <c r="T431" s="19">
        <f t="shared" si="62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63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1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59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64"/>
        <v>3.9</v>
      </c>
      <c r="AV431" s="37">
        <f t="shared" si="65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0"/>
        <v>43.8</v>
      </c>
      <c r="S432" s="18">
        <f t="shared" si="58"/>
        <v>43.8</v>
      </c>
      <c r="T432" s="19">
        <f t="shared" si="62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63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1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59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64"/>
        <v>43.8</v>
      </c>
      <c r="AV432" s="37">
        <f t="shared" si="65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0"/>
        <v>1.6</v>
      </c>
      <c r="S433" s="18">
        <f t="shared" si="58"/>
        <v>1.6</v>
      </c>
      <c r="T433" s="19">
        <f t="shared" si="62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63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1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59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64"/>
        <v>1.6</v>
      </c>
      <c r="AV433" s="37">
        <f t="shared" si="65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0"/>
        <v>3.6</v>
      </c>
      <c r="S434" s="18">
        <f t="shared" si="58"/>
        <v>3.6</v>
      </c>
      <c r="T434" s="19">
        <f t="shared" si="62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63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1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59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64"/>
        <v>3.6</v>
      </c>
      <c r="AV434" s="37">
        <f t="shared" si="65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0"/>
        <v>4.4000000000000004</v>
      </c>
      <c r="S435" s="18">
        <f t="shared" si="58"/>
        <v>4.4000000000000004</v>
      </c>
      <c r="T435" s="19">
        <f t="shared" si="62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63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1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59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64"/>
        <v>4.4000000000000004</v>
      </c>
      <c r="AV435" s="37">
        <f t="shared" si="65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0"/>
        <v>3.9</v>
      </c>
      <c r="S436" s="18">
        <f t="shared" si="58"/>
        <v>3.9</v>
      </c>
      <c r="T436" s="19">
        <f t="shared" si="62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63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1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59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64"/>
        <v>3.9</v>
      </c>
      <c r="AV436" s="37">
        <f t="shared" si="65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0"/>
        <v>8.9600000000000009</v>
      </c>
      <c r="S437" s="18">
        <f t="shared" ref="S437:S506" si="66">IFERROR(H437*AG437,"")</f>
        <v>8.9600000000000009</v>
      </c>
      <c r="T437" s="19">
        <f t="shared" si="62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63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59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64"/>
        <v>8.9600000000000009</v>
      </c>
      <c r="AV437" s="37">
        <f t="shared" si="65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0"/>
        <v>117.3884</v>
      </c>
      <c r="S438" s="18">
        <f t="shared" si="66"/>
        <v>117.3884</v>
      </c>
      <c r="T438" s="19">
        <f t="shared" si="62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63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59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64"/>
        <v>117.3884</v>
      </c>
      <c r="AV438" s="37">
        <f t="shared" si="65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67">IFERROR(H439*((AA439*0.25)+(AC439*0.25)+(AD439*0.225)+(AE439*0.225)+(AF439*0.05)),"")</f>
        <v>51.75</v>
      </c>
      <c r="S439" s="18">
        <f t="shared" si="66"/>
        <v>30</v>
      </c>
      <c r="T439" s="19">
        <f t="shared" ref="T439" si="68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69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1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0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1">IF(AH439="",0,IF(ISTEXT(AH439),H439*VALUE(SUBSTITUTE(AH439,"%",""))/100,H439*AH439))</f>
        <v>0</v>
      </c>
      <c r="AV439" s="37">
        <f t="shared" ref="AV439" si="72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73">IFERROR(H440*((AA440*0.25)+(AC440*0.25)+(AD440*0.225)+(AE440*0.225)+(AF440*0.05)),"")</f>
        <v>64.6875</v>
      </c>
      <c r="S440" s="18">
        <f t="shared" si="66"/>
        <v>37.5</v>
      </c>
      <c r="T440" s="19">
        <f t="shared" ref="T440:T509" si="74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75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1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76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77">IF(AH440="",0,IF(ISTEXT(AH440),H440*VALUE(SUBSTITUTE(AH440,"%",""))/100,H440*AH440))</f>
        <v>0</v>
      </c>
      <c r="AV440" s="37">
        <f t="shared" ref="AV440:AV509" si="78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73"/>
        <v>0</v>
      </c>
      <c r="S441" s="18">
        <f t="shared" si="66"/>
        <v>0</v>
      </c>
      <c r="T441" s="19">
        <f t="shared" si="74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75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1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76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77"/>
        <v>0</v>
      </c>
      <c r="AV441" s="37">
        <f t="shared" si="78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>IFERROR(H442*((AA442*0.25)+(AC442*0.25)+(AD442*0.225)+(AE442*0.225)+(AF442*0.05)),"")</f>
        <v>9.1199999999999992</v>
      </c>
      <c r="S442" s="18">
        <f>IFERROR(H442*AG442,"")</f>
        <v>0</v>
      </c>
      <c r="T442" s="19">
        <f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76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77"/>
        <v>0</v>
      </c>
      <c r="AV442" s="37">
        <f t="shared" si="78"/>
        <v>0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>IFERROR(H443*((AA443*0.25)+(AC443*0.25)+(AD443*0.225)+(AE443*0.225)+(AF443*0.05)),"")</f>
        <v>91.2</v>
      </c>
      <c r="S443" s="18">
        <f>IFERROR(H443*AG443,"")</f>
        <v>91.2</v>
      </c>
      <c r="T443" s="19">
        <f>IFERROR(S443-H443,"")</f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>U443-C443</f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>IF(Z443&lt;=0,"ok","")</f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76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77"/>
        <v>91.2</v>
      </c>
      <c r="AV443" s="37">
        <f t="shared" si="78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>IFERROR(H444*((AA444*0.25)+(AC444*0.25)+(AD444*0.225)+(AE444*0.225)+(AF444*0.05)),"")</f>
        <v>194.93999999999997</v>
      </c>
      <c r="S444" s="18">
        <f>IFERROR(H444*AG444,"")</f>
        <v>0</v>
      </c>
      <c r="T444" s="19">
        <f>IFERROR(S444-H444,"")</f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>U444-C444</f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/>
      <c r="AG444" s="33"/>
      <c r="AH444" s="33"/>
      <c r="AI444" s="33" t="str">
        <f>IF(Z444&lt;=0,"ok","")</f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76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77"/>
        <v>0</v>
      </c>
      <c r="AV444" s="37">
        <f t="shared" si="78"/>
        <v>0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>IFERROR(H445*((AA445*0.25)+(AC445*0.25)+(AD445*0.225)+(AE445*0.225)+(AF445*0.05)),"")</f>
        <v>36.479999999999997</v>
      </c>
      <c r="S445" s="18">
        <f>IFERROR(H445*AG445,"")</f>
        <v>0</v>
      </c>
      <c r="T445" s="19">
        <f>IFERROR(S445-H445,"")</f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>U445-C445</f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>IF(Z445&lt;=0,"ok","")</f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76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77"/>
        <v>0</v>
      </c>
      <c r="AV445" s="37">
        <f t="shared" si="78"/>
        <v>0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>IFERROR(H446*((AA446*0.25)+(AC446*0.25)+(AD446*0.225)+(AE446*0.225)+(AF446*0.05)),"")</f>
        <v>158.83999999999997</v>
      </c>
      <c r="S446" s="18">
        <f>IFERROR(H446*AG446,"")</f>
        <v>0</v>
      </c>
      <c r="T446" s="19">
        <f>IFERROR(S446-H446,"")</f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>U446-C446</f>
        <v>-22</v>
      </c>
      <c r="Z446" s="20">
        <f>Tabela1[[#This Row],[PESO TOTAL]]-Tabela1[[#This Row],[Peso Expedido]]</f>
        <v>167.2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/>
      <c r="AG446" s="33"/>
      <c r="AH446" s="33"/>
      <c r="AI446" s="33" t="str">
        <f>IF(Z446&lt;=0,"ok","")</f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76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77"/>
        <v>0</v>
      </c>
      <c r="AV446" s="37">
        <f t="shared" si="78"/>
        <v>0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>IFERROR(H447*((AA447*0.25)+(AC447*0.25)+(AD447*0.225)+(AE447*0.225)+(AF447*0.05)),"")</f>
        <v>24.604999999999997</v>
      </c>
      <c r="S447" s="18">
        <f>IFERROR(H447*AG447,"")</f>
        <v>0</v>
      </c>
      <c r="T447" s="19">
        <f>IFERROR(S447-H447,"")</f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>U447-C447</f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/>
      <c r="AG447" s="33"/>
      <c r="AH447" s="33"/>
      <c r="AI447" s="33" t="str">
        <f>IF(Z447&lt;=0,"ok","")</f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76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77"/>
        <v>0</v>
      </c>
      <c r="AV447" s="37">
        <f t="shared" si="78"/>
        <v>0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>IFERROR(H448*((AA448*0.25)+(AC448*0.25)+(AD448*0.225)+(AE448*0.225)+(AF448*0.05)),"")</f>
        <v>2.4699999999999998</v>
      </c>
      <c r="S448" s="18">
        <f>IFERROR(H448*AG448,"")</f>
        <v>0</v>
      </c>
      <c r="T448" s="19">
        <f>IFERROR(S448-H448,"")</f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>U448-C448</f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>IF(Z448&lt;=0,"ok","")</f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76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77"/>
        <v>0</v>
      </c>
      <c r="AV448" s="37">
        <f t="shared" si="78"/>
        <v>0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>IFERROR(H449*((AA449*0.25)+(AC449*0.25)+(AD449*0.225)+(AE449*0.225)+(AF449*0.05)),"")</f>
        <v>22.799999999999997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>IF(Z449&lt;=0,"ok","")</f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>IFERROR(H450*((AA450*0.25)+(AC450*0.25)+(AD450*0.225)+(AE450*0.225)+(AF450*0.05)),"")</f>
        <v>748.2</v>
      </c>
      <c r="S450" s="18">
        <f>IFERROR(H450*AG450,"")</f>
        <v>748.2</v>
      </c>
      <c r="T450" s="19">
        <f>IFERROR(S450-H450,"")</f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>U450-C450</f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>IF(Z450&lt;=0,"ok","")</f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>IFERROR(H451*((AA451*0.25)+(AC451*0.25)+(AD451*0.225)+(AE451*0.225)+(AF451*0.05)),"")</f>
        <v>3651</v>
      </c>
      <c r="S451" s="18">
        <f>IFERROR(H451*AG451,"")</f>
        <v>3651</v>
      </c>
      <c r="T451" s="19">
        <f>IFERROR(S451-H451,"")</f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>U451-C451</f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>IF(Z451&lt;=0,"ok","")</f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73"/>
        <v>8.01</v>
      </c>
      <c r="S452" s="18">
        <f t="shared" ref="S450:S458" si="79">IFERROR(H452*AG452,"")</f>
        <v>5.3999999999999995</v>
      </c>
      <c r="T452" s="19">
        <f t="shared" ref="T450:T458" si="80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0:Y458" si="81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1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79"/>
        <v>82.68</v>
      </c>
      <c r="T453" s="19">
        <f t="shared" si="80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1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1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79"/>
        <v>133.70000000000002</v>
      </c>
      <c r="T454" s="19">
        <f t="shared" si="80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1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1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79"/>
        <v>109.19999999999999</v>
      </c>
      <c r="T455" s="19">
        <f t="shared" si="80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1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1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79"/>
        <v>48</v>
      </c>
      <c r="T456" s="19">
        <f t="shared" si="80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1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1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79"/>
        <v>70</v>
      </c>
      <c r="T457" s="19">
        <f t="shared" si="80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1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1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79"/>
        <v>138</v>
      </c>
      <c r="T458" s="19">
        <f t="shared" si="80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1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1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73"/>
        <v>13.1</v>
      </c>
      <c r="S459" s="18">
        <f t="shared" si="66"/>
        <v>13.1</v>
      </c>
      <c r="T459" s="19">
        <f t="shared" si="74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75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76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77"/>
        <v>13.1</v>
      </c>
      <c r="AV459" s="37">
        <f t="shared" si="78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73"/>
        <v>13.1</v>
      </c>
      <c r="S460" s="18">
        <f t="shared" si="66"/>
        <v>13.1</v>
      </c>
      <c r="T460" s="19">
        <f t="shared" si="74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75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76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77"/>
        <v>13.1</v>
      </c>
      <c r="AV460" s="37">
        <f t="shared" si="78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73"/>
        <v>6.2</v>
      </c>
      <c r="S461" s="18">
        <f t="shared" si="66"/>
        <v>6.2</v>
      </c>
      <c r="T461" s="19">
        <f t="shared" si="74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75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76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77"/>
        <v>6.2</v>
      </c>
      <c r="AV461" s="37">
        <f t="shared" si="78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73"/>
        <v>17.5</v>
      </c>
      <c r="S462" s="18">
        <f t="shared" si="66"/>
        <v>17.5</v>
      </c>
      <c r="T462" s="19">
        <f t="shared" si="74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75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76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77"/>
        <v>17.5</v>
      </c>
      <c r="AV462" s="37">
        <f t="shared" si="78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73"/>
        <v>344.4</v>
      </c>
      <c r="S463" s="18">
        <f t="shared" si="66"/>
        <v>344.4</v>
      </c>
      <c r="T463" s="19">
        <f t="shared" si="74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75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76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77"/>
        <v>344.4</v>
      </c>
      <c r="AV463" s="37">
        <f t="shared" si="78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73"/>
        <v>1.4</v>
      </c>
      <c r="S464" s="18">
        <f t="shared" si="66"/>
        <v>1.4</v>
      </c>
      <c r="T464" s="19">
        <f t="shared" si="74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75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76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77"/>
        <v>1.4</v>
      </c>
      <c r="AV464" s="37">
        <f t="shared" si="78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73"/>
        <v>4.5999999999999996</v>
      </c>
      <c r="S465" s="18">
        <f t="shared" si="66"/>
        <v>4.5999999999999996</v>
      </c>
      <c r="T465" s="19">
        <f t="shared" si="74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75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76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77"/>
        <v>4.5999999999999996</v>
      </c>
      <c r="AV465" s="37">
        <f t="shared" si="78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73"/>
        <v>50.8</v>
      </c>
      <c r="S466" s="18">
        <f t="shared" si="66"/>
        <v>50.8</v>
      </c>
      <c r="T466" s="19">
        <f t="shared" si="74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75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76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77"/>
        <v>50.8</v>
      </c>
      <c r="AV466" s="37">
        <f t="shared" si="78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73"/>
        <v>1.1000000000000001</v>
      </c>
      <c r="S467" s="18">
        <f t="shared" si="66"/>
        <v>1.1000000000000001</v>
      </c>
      <c r="T467" s="19">
        <f t="shared" si="74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75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76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77"/>
        <v>1.1000000000000001</v>
      </c>
      <c r="AV467" s="37">
        <f t="shared" si="78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73"/>
        <v>23.6</v>
      </c>
      <c r="S468" s="18">
        <f t="shared" si="66"/>
        <v>23.6</v>
      </c>
      <c r="T468" s="19">
        <f t="shared" si="74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75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76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77"/>
        <v>23.6</v>
      </c>
      <c r="AV468" s="37">
        <f t="shared" si="78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73"/>
        <v>1.1000000000000001</v>
      </c>
      <c r="S469" s="18">
        <f t="shared" si="66"/>
        <v>1.1000000000000001</v>
      </c>
      <c r="T469" s="19">
        <f t="shared" si="74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75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76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77"/>
        <v>1.1000000000000001</v>
      </c>
      <c r="AV469" s="37">
        <f t="shared" si="78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73"/>
        <v>133</v>
      </c>
      <c r="S470" s="18">
        <f t="shared" si="66"/>
        <v>133</v>
      </c>
      <c r="T470" s="19">
        <f t="shared" si="74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75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76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77"/>
        <v>133</v>
      </c>
      <c r="AV470" s="37">
        <f t="shared" si="78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73"/>
        <v>8</v>
      </c>
      <c r="S471" s="18">
        <f t="shared" si="66"/>
        <v>8</v>
      </c>
      <c r="T471" s="19">
        <f t="shared" si="74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75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76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77"/>
        <v>8</v>
      </c>
      <c r="AV471" s="37">
        <f t="shared" si="78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73"/>
        <v>16</v>
      </c>
      <c r="S472" s="18">
        <f t="shared" si="66"/>
        <v>16</v>
      </c>
      <c r="T472" s="19">
        <f t="shared" si="74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75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76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77"/>
        <v>16</v>
      </c>
      <c r="AV472" s="37">
        <f t="shared" si="78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73"/>
        <v>95.2</v>
      </c>
      <c r="S473" s="18">
        <f t="shared" si="66"/>
        <v>95.2</v>
      </c>
      <c r="T473" s="19">
        <f t="shared" si="74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75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76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77"/>
        <v>95.2</v>
      </c>
      <c r="AV473" s="37">
        <f t="shared" si="78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73"/>
        <v>114</v>
      </c>
      <c r="S474" s="18">
        <f t="shared" si="66"/>
        <v>114</v>
      </c>
      <c r="T474" s="19">
        <f t="shared" si="74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75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76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77"/>
        <v>114</v>
      </c>
      <c r="AV474" s="37">
        <f t="shared" si="78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73"/>
        <v>29.1</v>
      </c>
      <c r="S475" s="18">
        <f t="shared" si="66"/>
        <v>29.1</v>
      </c>
      <c r="T475" s="19">
        <f t="shared" si="74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75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76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77"/>
        <v>29.1</v>
      </c>
      <c r="AV475" s="37">
        <f t="shared" si="78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73"/>
        <v>0.5</v>
      </c>
      <c r="S476" s="18">
        <f t="shared" si="66"/>
        <v>0.5</v>
      </c>
      <c r="T476" s="19">
        <f t="shared" si="74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75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76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77"/>
        <v>0.5</v>
      </c>
      <c r="AV476" s="37">
        <f t="shared" si="78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73"/>
        <v>5</v>
      </c>
      <c r="S477" s="18">
        <f t="shared" si="66"/>
        <v>5</v>
      </c>
      <c r="T477" s="19">
        <f t="shared" si="74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75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76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77"/>
        <v>5</v>
      </c>
      <c r="AV477" s="37">
        <f t="shared" si="78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73"/>
        <v>2</v>
      </c>
      <c r="S478" s="18">
        <f t="shared" si="66"/>
        <v>2</v>
      </c>
      <c r="T478" s="19">
        <f t="shared" si="74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75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76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77"/>
        <v>2</v>
      </c>
      <c r="AV478" s="37">
        <f t="shared" si="78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73"/>
        <v>5.0999999999999996</v>
      </c>
      <c r="S479" s="18">
        <f t="shared" si="66"/>
        <v>5.0999999999999996</v>
      </c>
      <c r="T479" s="19">
        <f t="shared" si="74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75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76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77"/>
        <v>5.0999999999999996</v>
      </c>
      <c r="AV479" s="37">
        <f t="shared" si="78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73"/>
        <v>628.70000000000005</v>
      </c>
      <c r="S480" s="18">
        <f t="shared" si="66"/>
        <v>628.70000000000005</v>
      </c>
      <c r="T480" s="19">
        <f t="shared" si="74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75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76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77"/>
        <v>628.70000000000005</v>
      </c>
      <c r="AV480" s="37">
        <f t="shared" si="78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73"/>
        <v>11.1</v>
      </c>
      <c r="S481" s="18">
        <f t="shared" si="66"/>
        <v>11.1</v>
      </c>
      <c r="T481" s="19">
        <f t="shared" si="74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75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76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77"/>
        <v>11.1</v>
      </c>
      <c r="AV481" s="37">
        <f t="shared" si="78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73"/>
        <v>25.3</v>
      </c>
      <c r="S482" s="18">
        <f t="shared" si="66"/>
        <v>25.3</v>
      </c>
      <c r="T482" s="19">
        <f t="shared" si="74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75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76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77"/>
        <v>25.3</v>
      </c>
      <c r="AV482" s="37">
        <f t="shared" si="78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73"/>
        <v>12.3</v>
      </c>
      <c r="S483" s="18">
        <f t="shared" si="66"/>
        <v>12.3</v>
      </c>
      <c r="T483" s="19">
        <f t="shared" si="74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75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76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77"/>
        <v>12.3</v>
      </c>
      <c r="AV483" s="37">
        <f t="shared" si="78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73"/>
        <v>4.2</v>
      </c>
      <c r="S484" s="18">
        <f t="shared" si="66"/>
        <v>4.2</v>
      </c>
      <c r="T484" s="19">
        <f t="shared" si="74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75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76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77"/>
        <v>4.2</v>
      </c>
      <c r="AV484" s="37">
        <f t="shared" si="78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73"/>
        <v>0.5</v>
      </c>
      <c r="S485" s="18">
        <f t="shared" si="66"/>
        <v>0.5</v>
      </c>
      <c r="T485" s="19">
        <f t="shared" si="74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75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76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77"/>
        <v>0.5</v>
      </c>
      <c r="AV485" s="37">
        <f t="shared" si="78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73"/>
        <v>0.2</v>
      </c>
      <c r="S486" s="18">
        <f t="shared" si="66"/>
        <v>0.2</v>
      </c>
      <c r="T486" s="19">
        <f t="shared" si="74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75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76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77"/>
        <v>0.2</v>
      </c>
      <c r="AV486" s="37">
        <f t="shared" si="78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73"/>
        <v>14</v>
      </c>
      <c r="S487" s="18">
        <f t="shared" si="66"/>
        <v>14</v>
      </c>
      <c r="T487" s="19">
        <f t="shared" si="74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75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76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77"/>
        <v>14</v>
      </c>
      <c r="AV487" s="37">
        <f t="shared" si="78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73"/>
        <v>1.6</v>
      </c>
      <c r="S488" s="18">
        <f t="shared" si="66"/>
        <v>1.6</v>
      </c>
      <c r="T488" s="19">
        <f t="shared" si="74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75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76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77"/>
        <v>1.6</v>
      </c>
      <c r="AV488" s="37">
        <f t="shared" si="78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73"/>
        <v>0.6</v>
      </c>
      <c r="S489" s="18">
        <f t="shared" si="66"/>
        <v>0.6</v>
      </c>
      <c r="T489" s="19">
        <f t="shared" si="74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75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76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77"/>
        <v>0.6</v>
      </c>
      <c r="AV489" s="37">
        <f t="shared" si="78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73"/>
        <v>0.1</v>
      </c>
      <c r="S490" s="18">
        <f t="shared" si="66"/>
        <v>0.1</v>
      </c>
      <c r="T490" s="19">
        <f t="shared" si="74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75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76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77"/>
        <v>0.1</v>
      </c>
      <c r="AV490" s="37">
        <f t="shared" si="78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73"/>
        <v>0.1</v>
      </c>
      <c r="S491" s="18">
        <f t="shared" si="66"/>
        <v>0.1</v>
      </c>
      <c r="T491" s="19">
        <f t="shared" si="74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75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76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77"/>
        <v>0.1</v>
      </c>
      <c r="AV491" s="37">
        <f t="shared" si="78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73"/>
        <v>0.1</v>
      </c>
      <c r="S492" s="18">
        <f t="shared" si="66"/>
        <v>0.1</v>
      </c>
      <c r="T492" s="19">
        <f t="shared" si="74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75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76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77"/>
        <v>0.1</v>
      </c>
      <c r="AV492" s="37">
        <f t="shared" si="78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73"/>
        <v>0.2</v>
      </c>
      <c r="S493" s="18">
        <f t="shared" si="66"/>
        <v>0.2</v>
      </c>
      <c r="T493" s="19">
        <f t="shared" si="74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75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76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77"/>
        <v>0.2</v>
      </c>
      <c r="AV493" s="37">
        <f t="shared" si="78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73"/>
        <v>0.4</v>
      </c>
      <c r="S494" s="18">
        <f t="shared" si="66"/>
        <v>0.4</v>
      </c>
      <c r="T494" s="19">
        <f t="shared" si="74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75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76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77"/>
        <v>0.4</v>
      </c>
      <c r="AV494" s="37">
        <f t="shared" si="78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73"/>
        <v>0.6</v>
      </c>
      <c r="S495" s="18">
        <f t="shared" si="66"/>
        <v>0.6</v>
      </c>
      <c r="T495" s="19">
        <f t="shared" si="74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75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76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77"/>
        <v>0.6</v>
      </c>
      <c r="AV495" s="37">
        <f t="shared" si="78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73"/>
        <v>0.4</v>
      </c>
      <c r="S496" s="18">
        <f t="shared" si="66"/>
        <v>0.4</v>
      </c>
      <c r="T496" s="19">
        <f t="shared" si="74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75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76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77"/>
        <v>0.4</v>
      </c>
      <c r="AV496" s="37">
        <f t="shared" si="78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73"/>
        <v>9</v>
      </c>
      <c r="S497" s="18">
        <f t="shared" si="66"/>
        <v>9</v>
      </c>
      <c r="T497" s="19">
        <f t="shared" si="74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75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76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77"/>
        <v>9</v>
      </c>
      <c r="AV497" s="37">
        <f t="shared" si="78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73"/>
        <v>10</v>
      </c>
      <c r="S498" s="18">
        <f t="shared" si="66"/>
        <v>10</v>
      </c>
      <c r="T498" s="19">
        <f t="shared" si="74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75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76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77"/>
        <v>10</v>
      </c>
      <c r="AV498" s="37">
        <f t="shared" si="78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73"/>
        <v>23.4</v>
      </c>
      <c r="S499" s="18">
        <f t="shared" si="66"/>
        <v>23.4</v>
      </c>
      <c r="T499" s="19">
        <f t="shared" si="74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75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76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77"/>
        <v>23.4</v>
      </c>
      <c r="AV499" s="37">
        <f t="shared" si="78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73"/>
        <v>51.7</v>
      </c>
      <c r="S500" s="18">
        <f t="shared" si="66"/>
        <v>51.7</v>
      </c>
      <c r="T500" s="19">
        <f t="shared" si="74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75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76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77"/>
        <v>51.7</v>
      </c>
      <c r="AV500" s="37">
        <f t="shared" si="78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73"/>
        <v>232.8</v>
      </c>
      <c r="S501" s="18">
        <f t="shared" si="66"/>
        <v>232.8</v>
      </c>
      <c r="T501" s="19">
        <f t="shared" si="74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75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76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77"/>
        <v>232.8</v>
      </c>
      <c r="AV501" s="37">
        <f t="shared" si="78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73"/>
        <v>62</v>
      </c>
      <c r="S502" s="18">
        <f t="shared" si="66"/>
        <v>62</v>
      </c>
      <c r="T502" s="19">
        <f t="shared" si="74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75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76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77"/>
        <v>62</v>
      </c>
      <c r="AV502" s="37">
        <f t="shared" si="78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73"/>
        <v>45.4</v>
      </c>
      <c r="S503" s="18">
        <f t="shared" si="66"/>
        <v>45.4</v>
      </c>
      <c r="T503" s="19">
        <f t="shared" si="74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75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76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77"/>
        <v>45.4</v>
      </c>
      <c r="AV503" s="37">
        <f t="shared" si="78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73"/>
        <v>48</v>
      </c>
      <c r="S504" s="18">
        <f t="shared" si="66"/>
        <v>48</v>
      </c>
      <c r="T504" s="19">
        <f t="shared" si="74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75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76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77"/>
        <v>48</v>
      </c>
      <c r="AV504" s="37">
        <f t="shared" si="78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73"/>
        <v>28.1</v>
      </c>
      <c r="S505" s="18">
        <f t="shared" si="66"/>
        <v>28.1</v>
      </c>
      <c r="T505" s="19">
        <f t="shared" si="74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75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76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77"/>
        <v>28.1</v>
      </c>
      <c r="AV505" s="37">
        <f t="shared" si="78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73"/>
        <v>2.9</v>
      </c>
      <c r="S506" s="18">
        <f t="shared" si="66"/>
        <v>2.9</v>
      </c>
      <c r="T506" s="19">
        <f t="shared" si="74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75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76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77"/>
        <v>2.9</v>
      </c>
      <c r="AV506" s="37">
        <f t="shared" si="78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73"/>
        <v>3.3</v>
      </c>
      <c r="S507" s="18">
        <f t="shared" ref="S507:S570" si="82">IFERROR(H507*AG507,"")</f>
        <v>3.3</v>
      </c>
      <c r="T507" s="19">
        <f t="shared" si="74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75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76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77"/>
        <v>3.3</v>
      </c>
      <c r="AV507" s="37">
        <f t="shared" si="78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73"/>
        <v>0.1</v>
      </c>
      <c r="S508" s="18">
        <f t="shared" si="82"/>
        <v>0.1</v>
      </c>
      <c r="T508" s="19">
        <f t="shared" si="74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75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76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77"/>
        <v>0.1</v>
      </c>
      <c r="AV508" s="37">
        <f t="shared" si="78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73"/>
        <v>0.1</v>
      </c>
      <c r="S509" s="18">
        <f t="shared" si="82"/>
        <v>0.1</v>
      </c>
      <c r="T509" s="19">
        <f t="shared" si="74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75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76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77"/>
        <v>0.1</v>
      </c>
      <c r="AV509" s="37">
        <f t="shared" si="78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83">IFERROR(H510*((AA510*0.25)+(AC510*0.25)+(AD510*0.225)+(AE510*0.225)+(AF510*0.05)),"")</f>
        <v>0.1</v>
      </c>
      <c r="S510" s="18">
        <f t="shared" si="82"/>
        <v>0.1</v>
      </c>
      <c r="T510" s="19">
        <f t="shared" ref="T510:T573" si="84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85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86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87">IF(AH510="",0,IF(ISTEXT(AH510),H510*VALUE(SUBSTITUTE(AH510,"%",""))/100,H510*AH510))</f>
        <v>0.1</v>
      </c>
      <c r="AV510" s="37">
        <f t="shared" ref="AV510:AV573" si="88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83"/>
        <v>0.1</v>
      </c>
      <c r="S511" s="18">
        <f t="shared" si="82"/>
        <v>0.1</v>
      </c>
      <c r="T511" s="19">
        <f t="shared" si="84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85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6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87"/>
        <v>0.1</v>
      </c>
      <c r="AV511" s="37">
        <f t="shared" si="88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83"/>
        <v>0.1</v>
      </c>
      <c r="S512" s="18">
        <f t="shared" si="82"/>
        <v>0.1</v>
      </c>
      <c r="T512" s="19">
        <f t="shared" si="84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85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6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87"/>
        <v>0.1</v>
      </c>
      <c r="AV512" s="37">
        <f t="shared" si="88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83"/>
        <v>0.1</v>
      </c>
      <c r="S513" s="18">
        <f t="shared" si="82"/>
        <v>0.1</v>
      </c>
      <c r="T513" s="19">
        <f t="shared" si="84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85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86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87"/>
        <v>0.1</v>
      </c>
      <c r="AV513" s="37">
        <f t="shared" si="88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83"/>
        <v>0.2</v>
      </c>
      <c r="S514" s="18">
        <f t="shared" si="82"/>
        <v>0.2</v>
      </c>
      <c r="T514" s="19">
        <f t="shared" si="84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85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86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87"/>
        <v>0.2</v>
      </c>
      <c r="AV514" s="37">
        <f t="shared" si="88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83"/>
        <v>2.4</v>
      </c>
      <c r="S515" s="18">
        <f t="shared" si="82"/>
        <v>2.4</v>
      </c>
      <c r="T515" s="19">
        <f t="shared" si="84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85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86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87"/>
        <v>2.4</v>
      </c>
      <c r="AV515" s="37">
        <f t="shared" si="88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83"/>
        <v>24</v>
      </c>
      <c r="S516" s="18">
        <f t="shared" si="82"/>
        <v>24</v>
      </c>
      <c r="T516" s="19">
        <f t="shared" si="84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85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86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87"/>
        <v>24</v>
      </c>
      <c r="AV516" s="37">
        <f t="shared" si="88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83"/>
        <v>16.399999999999999</v>
      </c>
      <c r="S517" s="18">
        <f t="shared" si="82"/>
        <v>16.399999999999999</v>
      </c>
      <c r="T517" s="19">
        <f t="shared" si="84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85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86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87"/>
        <v>16.399999999999999</v>
      </c>
      <c r="AV517" s="37">
        <f t="shared" si="88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83"/>
        <v>852</v>
      </c>
      <c r="S518" s="18">
        <f t="shared" si="82"/>
        <v>852</v>
      </c>
      <c r="T518" s="19">
        <f t="shared" si="84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85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86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87"/>
        <v>852</v>
      </c>
      <c r="AV518" s="37">
        <f t="shared" si="88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83"/>
        <v>24</v>
      </c>
      <c r="S519" s="18">
        <f t="shared" si="82"/>
        <v>24</v>
      </c>
      <c r="T519" s="19">
        <f t="shared" si="84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85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86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87"/>
        <v>24</v>
      </c>
      <c r="AV519" s="37">
        <f t="shared" si="88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83"/>
        <v>20</v>
      </c>
      <c r="S520" s="18">
        <f t="shared" si="82"/>
        <v>20</v>
      </c>
      <c r="T520" s="19">
        <f t="shared" si="84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85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86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87"/>
        <v>20</v>
      </c>
      <c r="AV520" s="37">
        <f t="shared" si="88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83"/>
        <v>6</v>
      </c>
      <c r="S521" s="18">
        <f t="shared" si="82"/>
        <v>6</v>
      </c>
      <c r="T521" s="19">
        <f t="shared" si="84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85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86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87"/>
        <v>6</v>
      </c>
      <c r="AV521" s="37">
        <f t="shared" si="88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83"/>
        <v>6</v>
      </c>
      <c r="S522" s="18">
        <f t="shared" si="82"/>
        <v>6</v>
      </c>
      <c r="T522" s="19">
        <f t="shared" si="84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85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86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87"/>
        <v>6</v>
      </c>
      <c r="AV522" s="37">
        <f t="shared" si="88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83"/>
        <v>0.2</v>
      </c>
      <c r="S523" s="18">
        <f t="shared" si="82"/>
        <v>0.2</v>
      </c>
      <c r="T523" s="19">
        <f t="shared" si="84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85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86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87"/>
        <v>0.2</v>
      </c>
      <c r="AV523" s="37">
        <f t="shared" si="88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83"/>
        <v>0.4</v>
      </c>
      <c r="S524" s="18">
        <f t="shared" si="82"/>
        <v>0.4</v>
      </c>
      <c r="T524" s="19">
        <f t="shared" si="84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85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86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87"/>
        <v>0.4</v>
      </c>
      <c r="AV524" s="37">
        <f t="shared" si="88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83"/>
        <v>0.4</v>
      </c>
      <c r="S525" s="18">
        <f t="shared" si="82"/>
        <v>0.4</v>
      </c>
      <c r="T525" s="19">
        <f t="shared" si="84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85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86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87"/>
        <v>0.4</v>
      </c>
      <c r="AV525" s="37">
        <f t="shared" si="88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83"/>
        <v>28.4</v>
      </c>
      <c r="S526" s="18">
        <f t="shared" si="82"/>
        <v>28.4</v>
      </c>
      <c r="T526" s="19">
        <f t="shared" si="84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85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86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87"/>
        <v>28.4</v>
      </c>
      <c r="AV526" s="37">
        <f t="shared" si="88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83"/>
        <v>143.19999999999999</v>
      </c>
      <c r="S527" s="18">
        <f t="shared" si="82"/>
        <v>143.19999999999999</v>
      </c>
      <c r="T527" s="19">
        <f t="shared" si="84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85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86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87"/>
        <v>143.19999999999999</v>
      </c>
      <c r="AV527" s="37">
        <f t="shared" si="88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83"/>
        <v>24</v>
      </c>
      <c r="S528" s="18">
        <f t="shared" si="82"/>
        <v>24</v>
      </c>
      <c r="T528" s="19">
        <f t="shared" si="84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85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86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87"/>
        <v>24</v>
      </c>
      <c r="AV528" s="37">
        <f t="shared" si="88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83"/>
        <v>27</v>
      </c>
      <c r="S529" s="18">
        <f t="shared" si="82"/>
        <v>27</v>
      </c>
      <c r="T529" s="19">
        <f t="shared" si="84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85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86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87"/>
        <v>27</v>
      </c>
      <c r="AV529" s="37">
        <f t="shared" si="88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83"/>
        <v>1.5</v>
      </c>
      <c r="S530" s="18">
        <f t="shared" si="82"/>
        <v>1.5</v>
      </c>
      <c r="T530" s="19">
        <f t="shared" si="84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85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86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87"/>
        <v>1.5</v>
      </c>
      <c r="AV530" s="37">
        <f t="shared" si="88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83"/>
        <v>1.5</v>
      </c>
      <c r="S531" s="18">
        <f t="shared" si="82"/>
        <v>1.5</v>
      </c>
      <c r="T531" s="19">
        <f t="shared" si="84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85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86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87"/>
        <v>1.5</v>
      </c>
      <c r="AV531" s="37">
        <f t="shared" si="88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83"/>
        <v>6</v>
      </c>
      <c r="S532" s="18">
        <f t="shared" si="82"/>
        <v>6</v>
      </c>
      <c r="T532" s="19">
        <f t="shared" si="84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85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86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87"/>
        <v>6</v>
      </c>
      <c r="AV532" s="37">
        <f t="shared" si="88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83"/>
        <v>0.1</v>
      </c>
      <c r="S533" s="18">
        <f t="shared" si="82"/>
        <v>0.1</v>
      </c>
      <c r="T533" s="19">
        <f t="shared" si="84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85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86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87"/>
        <v>0.1</v>
      </c>
      <c r="AV533" s="37">
        <f t="shared" si="88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83"/>
        <v>0.2</v>
      </c>
      <c r="S534" s="18">
        <f t="shared" si="82"/>
        <v>0.2</v>
      </c>
      <c r="T534" s="19">
        <f t="shared" si="84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85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86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87"/>
        <v>0.2</v>
      </c>
      <c r="AV534" s="37">
        <f t="shared" si="88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83"/>
        <v>0.1</v>
      </c>
      <c r="S535" s="18">
        <f t="shared" si="82"/>
        <v>0.1</v>
      </c>
      <c r="T535" s="19">
        <f t="shared" si="84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85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86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87"/>
        <v>0.1</v>
      </c>
      <c r="AV535" s="37">
        <f t="shared" si="88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83"/>
        <v>0.1</v>
      </c>
      <c r="S536" s="18">
        <f t="shared" si="82"/>
        <v>0.1</v>
      </c>
      <c r="T536" s="19">
        <f t="shared" si="84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85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86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87"/>
        <v>0.1</v>
      </c>
      <c r="AV536" s="37">
        <f t="shared" si="88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83"/>
        <v>14.2</v>
      </c>
      <c r="S537" s="18">
        <f t="shared" si="82"/>
        <v>14.2</v>
      </c>
      <c r="T537" s="19">
        <f t="shared" si="84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85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86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87"/>
        <v>14.2</v>
      </c>
      <c r="AV537" s="37">
        <f t="shared" si="88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83"/>
        <v>0.1</v>
      </c>
      <c r="S538" s="18">
        <f t="shared" si="82"/>
        <v>0.1</v>
      </c>
      <c r="T538" s="19">
        <f t="shared" si="84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85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86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87"/>
        <v>0.1</v>
      </c>
      <c r="AV538" s="37">
        <f t="shared" si="88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83"/>
        <v>48</v>
      </c>
      <c r="S539" s="18">
        <f t="shared" si="82"/>
        <v>48</v>
      </c>
      <c r="T539" s="19">
        <f t="shared" si="84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85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86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87"/>
        <v>48</v>
      </c>
      <c r="AV539" s="37">
        <f t="shared" si="88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83"/>
        <v>951.2</v>
      </c>
      <c r="S540" s="18">
        <f t="shared" si="82"/>
        <v>951.2</v>
      </c>
      <c r="T540" s="19">
        <f t="shared" si="84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85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86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87"/>
        <v>951.2</v>
      </c>
      <c r="AV540" s="37">
        <f t="shared" si="88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83"/>
        <v>6.8</v>
      </c>
      <c r="S541" s="18">
        <f t="shared" si="82"/>
        <v>6.8</v>
      </c>
      <c r="T541" s="19">
        <f t="shared" si="84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85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86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87"/>
        <v>6.8</v>
      </c>
      <c r="AV541" s="37">
        <f t="shared" si="88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83"/>
        <v>6</v>
      </c>
      <c r="S542" s="18">
        <f t="shared" si="82"/>
        <v>6</v>
      </c>
      <c r="T542" s="19">
        <f t="shared" si="84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85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86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87"/>
        <v>6</v>
      </c>
      <c r="AV542" s="37">
        <f t="shared" si="88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83"/>
        <v>273.60000000000002</v>
      </c>
      <c r="S543" s="18">
        <f t="shared" si="82"/>
        <v>273.60000000000002</v>
      </c>
      <c r="T543" s="19">
        <f t="shared" si="84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85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86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87"/>
        <v>273.60000000000002</v>
      </c>
      <c r="AV543" s="37">
        <f t="shared" si="88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83"/>
        <v>244.79999999999998</v>
      </c>
      <c r="S544" s="18">
        <f t="shared" si="82"/>
        <v>244.79999999999998</v>
      </c>
      <c r="T544" s="19">
        <f t="shared" si="84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85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86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87"/>
        <v>244.79999999999998</v>
      </c>
      <c r="AV544" s="37">
        <f t="shared" si="88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83"/>
        <v>961</v>
      </c>
      <c r="S545" s="18">
        <f t="shared" si="82"/>
        <v>961</v>
      </c>
      <c r="T545" s="19">
        <f t="shared" si="84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85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86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87"/>
        <v>961</v>
      </c>
      <c r="AV545" s="37">
        <f t="shared" si="88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83"/>
        <v>27.2</v>
      </c>
      <c r="S546" s="18">
        <f t="shared" si="82"/>
        <v>27.2</v>
      </c>
      <c r="T546" s="19">
        <f t="shared" si="84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85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86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87"/>
        <v>27.2</v>
      </c>
      <c r="AV546" s="37">
        <f t="shared" si="88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83"/>
        <v>273.60000000000002</v>
      </c>
      <c r="S547" s="18">
        <f t="shared" si="82"/>
        <v>273.60000000000002</v>
      </c>
      <c r="T547" s="19">
        <f t="shared" si="84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85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86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87"/>
        <v>273.60000000000002</v>
      </c>
      <c r="AV547" s="37">
        <f t="shared" si="88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83"/>
        <v>288</v>
      </c>
      <c r="S548" s="18">
        <f t="shared" si="82"/>
        <v>288</v>
      </c>
      <c r="T548" s="19">
        <f t="shared" si="84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85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86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87"/>
        <v>288</v>
      </c>
      <c r="AV548" s="37">
        <f t="shared" si="88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83"/>
        <v>3797.4</v>
      </c>
      <c r="S549" s="18">
        <f t="shared" si="82"/>
        <v>3797.4</v>
      </c>
      <c r="T549" s="19">
        <f t="shared" si="84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85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86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87"/>
        <v>3797.4</v>
      </c>
      <c r="AV549" s="37">
        <f t="shared" si="88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83"/>
        <v>13</v>
      </c>
      <c r="S550" s="18">
        <f t="shared" si="82"/>
        <v>13</v>
      </c>
      <c r="T550" s="19">
        <f t="shared" si="84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85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86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87"/>
        <v>13</v>
      </c>
      <c r="AV550" s="37">
        <f t="shared" si="88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83"/>
        <v>13</v>
      </c>
      <c r="S551" s="18">
        <f t="shared" si="82"/>
        <v>13</v>
      </c>
      <c r="T551" s="19">
        <f t="shared" si="84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85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86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87"/>
        <v>13</v>
      </c>
      <c r="AV551" s="37">
        <f t="shared" si="88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83"/>
        <v>6</v>
      </c>
      <c r="S552" s="18">
        <f t="shared" si="82"/>
        <v>6</v>
      </c>
      <c r="T552" s="19">
        <f t="shared" si="84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85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86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87"/>
        <v>6</v>
      </c>
      <c r="AV552" s="37">
        <f t="shared" si="88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83"/>
        <v>192.3</v>
      </c>
      <c r="S553" s="18">
        <f t="shared" si="82"/>
        <v>192.3</v>
      </c>
      <c r="T553" s="19">
        <f t="shared" si="84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85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86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87"/>
        <v>192.3</v>
      </c>
      <c r="AV553" s="37">
        <f t="shared" si="88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83"/>
        <v>4</v>
      </c>
      <c r="S554" s="18">
        <f t="shared" si="82"/>
        <v>4</v>
      </c>
      <c r="T554" s="19">
        <f t="shared" si="84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85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86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87"/>
        <v>4</v>
      </c>
      <c r="AV554" s="37">
        <f t="shared" si="88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83"/>
        <v>4</v>
      </c>
      <c r="S555" s="18">
        <f t="shared" si="82"/>
        <v>4</v>
      </c>
      <c r="T555" s="19">
        <f t="shared" si="84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85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86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87"/>
        <v>4</v>
      </c>
      <c r="AV555" s="37">
        <f t="shared" si="88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83"/>
        <v>90</v>
      </c>
      <c r="S556" s="18">
        <f t="shared" si="82"/>
        <v>90</v>
      </c>
      <c r="T556" s="19">
        <f t="shared" si="84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85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86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87"/>
        <v>90</v>
      </c>
      <c r="AV556" s="37">
        <f t="shared" si="88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83"/>
        <v>85</v>
      </c>
      <c r="S557" s="18">
        <f t="shared" si="82"/>
        <v>85</v>
      </c>
      <c r="T557" s="19">
        <f t="shared" si="84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85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86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87"/>
        <v>85</v>
      </c>
      <c r="AV557" s="37">
        <f t="shared" si="88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83"/>
        <v>65</v>
      </c>
      <c r="S558" s="18">
        <f t="shared" si="82"/>
        <v>65</v>
      </c>
      <c r="T558" s="19">
        <f t="shared" si="84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85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86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87"/>
        <v>65</v>
      </c>
      <c r="AV558" s="37">
        <f t="shared" si="88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83"/>
        <v>7.2</v>
      </c>
      <c r="S559" s="18">
        <f t="shared" si="82"/>
        <v>7.2</v>
      </c>
      <c r="T559" s="19">
        <f t="shared" si="84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85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86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87"/>
        <v>7.2</v>
      </c>
      <c r="AV559" s="37">
        <f t="shared" si="88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83"/>
        <v>0.03</v>
      </c>
      <c r="S560" s="18">
        <f t="shared" si="82"/>
        <v>0.03</v>
      </c>
      <c r="T560" s="19">
        <f t="shared" si="84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85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86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87"/>
        <v>0.03</v>
      </c>
      <c r="AV560" s="37">
        <f t="shared" si="88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83"/>
        <v>0.08</v>
      </c>
      <c r="S561" s="18">
        <f t="shared" si="82"/>
        <v>0.08</v>
      </c>
      <c r="T561" s="19">
        <f t="shared" si="84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85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86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87"/>
        <v>0.08</v>
      </c>
      <c r="AV561" s="37">
        <f t="shared" si="88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83"/>
        <v>0.04</v>
      </c>
      <c r="S562" s="18">
        <f t="shared" si="82"/>
        <v>0.04</v>
      </c>
      <c r="T562" s="19">
        <f t="shared" si="84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85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86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87"/>
        <v>0.04</v>
      </c>
      <c r="AV562" s="37">
        <f t="shared" si="88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83"/>
        <v>170.5</v>
      </c>
      <c r="S563" s="18">
        <f t="shared" si="82"/>
        <v>170.5</v>
      </c>
      <c r="T563" s="19">
        <f t="shared" si="84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85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86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87"/>
        <v>170.5</v>
      </c>
      <c r="AV563" s="37">
        <f t="shared" si="88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83"/>
        <v>11.6</v>
      </c>
      <c r="S564" s="18">
        <f t="shared" si="82"/>
        <v>11.6</v>
      </c>
      <c r="T564" s="19">
        <f t="shared" si="84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85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86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87"/>
        <v>11.6</v>
      </c>
      <c r="AV564" s="37">
        <f t="shared" si="88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83"/>
        <v>0.8</v>
      </c>
      <c r="S565" s="18">
        <f t="shared" si="82"/>
        <v>0.8</v>
      </c>
      <c r="T565" s="19">
        <f t="shared" si="84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85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86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87"/>
        <v>0.8</v>
      </c>
      <c r="AV565" s="37">
        <f t="shared" si="88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83"/>
        <v>2.2000000000000002</v>
      </c>
      <c r="S566" s="18">
        <f t="shared" si="82"/>
        <v>2.2000000000000002</v>
      </c>
      <c r="T566" s="19">
        <f t="shared" si="84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85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86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87"/>
        <v>2.2000000000000002</v>
      </c>
      <c r="AV566" s="37">
        <f t="shared" si="88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83"/>
        <v>6.5</v>
      </c>
      <c r="S567" s="18">
        <f t="shared" si="82"/>
        <v>6.5</v>
      </c>
      <c r="T567" s="19">
        <f t="shared" si="84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85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86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87"/>
        <v>6.5</v>
      </c>
      <c r="AV567" s="37">
        <f t="shared" si="88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83"/>
        <v>0.36</v>
      </c>
      <c r="S568" s="18">
        <f t="shared" si="82"/>
        <v>0.36</v>
      </c>
      <c r="T568" s="19">
        <f t="shared" si="84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85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86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87"/>
        <v>0.36</v>
      </c>
      <c r="AV568" s="37">
        <f t="shared" si="88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83"/>
        <v>0.54</v>
      </c>
      <c r="S569" s="18">
        <f t="shared" si="82"/>
        <v>0.54</v>
      </c>
      <c r="T569" s="19">
        <f t="shared" si="84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85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86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87"/>
        <v>0.54</v>
      </c>
      <c r="AV569" s="37">
        <f t="shared" si="88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83"/>
        <v>0.1</v>
      </c>
      <c r="S570" s="18">
        <f t="shared" si="82"/>
        <v>0.1</v>
      </c>
      <c r="T570" s="19">
        <f t="shared" si="84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85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86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87"/>
        <v>0.1</v>
      </c>
      <c r="AV570" s="37">
        <f t="shared" si="88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83"/>
        <v>0.12</v>
      </c>
      <c r="S571" s="18">
        <f t="shared" ref="S571:S604" si="89">IFERROR(H571*AG571,"")</f>
        <v>0.12</v>
      </c>
      <c r="T571" s="19">
        <f t="shared" si="84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85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86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87"/>
        <v>0.12</v>
      </c>
      <c r="AV571" s="37">
        <f t="shared" si="88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83"/>
        <v>0.15000000000000002</v>
      </c>
      <c r="S572" s="18">
        <f t="shared" si="89"/>
        <v>0.15000000000000002</v>
      </c>
      <c r="T572" s="19">
        <f t="shared" si="84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85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86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87"/>
        <v>0.15000000000000002</v>
      </c>
      <c r="AV572" s="37">
        <f t="shared" si="88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83"/>
        <v>0.5</v>
      </c>
      <c r="S573" s="18">
        <f t="shared" si="89"/>
        <v>0.5</v>
      </c>
      <c r="T573" s="19">
        <f t="shared" si="84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85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86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87"/>
        <v>0.5</v>
      </c>
      <c r="AV573" s="37">
        <f t="shared" si="88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0">IFERROR(H574*((AA574*0.25)+(AC574*0.25)+(AD574*0.225)+(AE574*0.225)+(AF574*0.05)),"")</f>
        <v>0.6</v>
      </c>
      <c r="S574" s="18">
        <f t="shared" si="89"/>
        <v>0.6</v>
      </c>
      <c r="T574" s="19">
        <f t="shared" ref="T574:T604" si="91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92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93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94">IF(AH574="",0,IF(ISTEXT(AH574),H574*VALUE(SUBSTITUTE(AH574,"%",""))/100,H574*AH574))</f>
        <v>0.6</v>
      </c>
      <c r="AV574" s="37">
        <f t="shared" ref="AV574:AV604" si="95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0"/>
        <v>0.06</v>
      </c>
      <c r="S575" s="18">
        <f t="shared" si="89"/>
        <v>0.06</v>
      </c>
      <c r="T575" s="19">
        <f t="shared" si="91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92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3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94"/>
        <v>0.06</v>
      </c>
      <c r="AV575" s="37">
        <f t="shared" si="95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0"/>
        <v>0.16</v>
      </c>
      <c r="S576" s="18">
        <f t="shared" si="89"/>
        <v>0.16</v>
      </c>
      <c r="T576" s="19">
        <f t="shared" si="91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92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3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94"/>
        <v>0.16</v>
      </c>
      <c r="AV576" s="37">
        <f t="shared" si="95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0"/>
        <v>0.04</v>
      </c>
      <c r="S577" s="18">
        <f t="shared" si="89"/>
        <v>0.04</v>
      </c>
      <c r="T577" s="19">
        <f t="shared" si="91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92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93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94"/>
        <v>0.04</v>
      </c>
      <c r="AV577" s="37">
        <f t="shared" si="95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0"/>
        <v>0.32</v>
      </c>
      <c r="S578" s="18">
        <f t="shared" si="89"/>
        <v>0.32</v>
      </c>
      <c r="T578" s="19">
        <f t="shared" si="91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92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3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94"/>
        <v>0.32</v>
      </c>
      <c r="AV578" s="37">
        <f t="shared" si="95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0"/>
        <v>2.2000000000000002</v>
      </c>
      <c r="S579" s="18">
        <f t="shared" si="89"/>
        <v>2.2000000000000002</v>
      </c>
      <c r="T579" s="19">
        <f t="shared" si="91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92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3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94"/>
        <v>2.2000000000000002</v>
      </c>
      <c r="AV579" s="37">
        <f t="shared" si="95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0"/>
        <v>9.0169999999999995</v>
      </c>
      <c r="S580" s="18">
        <f t="shared" si="89"/>
        <v>9.0169999999999995</v>
      </c>
      <c r="T580" s="19">
        <f t="shared" si="91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92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3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94"/>
        <v>9.0169999999999995</v>
      </c>
      <c r="AV580" s="37">
        <f t="shared" si="95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0"/>
        <v>1.4000000000000001</v>
      </c>
      <c r="S581" s="18">
        <f t="shared" si="89"/>
        <v>1.4000000000000001</v>
      </c>
      <c r="T581" s="19">
        <f t="shared" si="91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92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3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94"/>
        <v>1.4000000000000001</v>
      </c>
      <c r="AV581" s="37">
        <f t="shared" si="95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0"/>
        <v>6.6059999999999999</v>
      </c>
      <c r="S582" s="18">
        <f t="shared" si="89"/>
        <v>6.6059999999999999</v>
      </c>
      <c r="T582" s="19">
        <f t="shared" si="91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92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3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94"/>
        <v>6.6059999999999999</v>
      </c>
      <c r="AV582" s="37">
        <f t="shared" si="95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0"/>
        <v>28.499999999999996</v>
      </c>
      <c r="S583" s="18">
        <f t="shared" si="89"/>
        <v>28.499999999999996</v>
      </c>
      <c r="T583" s="19">
        <f t="shared" si="91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92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3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94"/>
        <v>28.499999999999996</v>
      </c>
      <c r="AV583" s="37">
        <f t="shared" si="95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0"/>
        <v>9.9960000000000004</v>
      </c>
      <c r="S584" s="18">
        <f t="shared" si="89"/>
        <v>9.9960000000000004</v>
      </c>
      <c r="T584" s="19">
        <f t="shared" si="91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92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3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94"/>
        <v>9.9960000000000004</v>
      </c>
      <c r="AV584" s="37">
        <f t="shared" si="95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0"/>
        <v>2.4</v>
      </c>
      <c r="S585" s="18">
        <f t="shared" si="89"/>
        <v>2.4</v>
      </c>
      <c r="T585" s="19">
        <f t="shared" si="91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92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3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94"/>
        <v>2.4</v>
      </c>
      <c r="AV585" s="37">
        <f t="shared" si="95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0"/>
        <v>23.192</v>
      </c>
      <c r="S586" s="18">
        <f t="shared" si="89"/>
        <v>23.192</v>
      </c>
      <c r="T586" s="19">
        <f t="shared" si="91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92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3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94"/>
        <v>23.192</v>
      </c>
      <c r="AV586" s="37">
        <f t="shared" si="95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0"/>
        <v>11.543999999999999</v>
      </c>
      <c r="S587" s="18">
        <f t="shared" si="89"/>
        <v>11.543999999999999</v>
      </c>
      <c r="T587" s="19">
        <f t="shared" si="91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92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3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94"/>
        <v>11.543999999999999</v>
      </c>
      <c r="AV587" s="37">
        <f t="shared" si="95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0"/>
        <v>4.3940000000000001</v>
      </c>
      <c r="S588" s="18">
        <f t="shared" si="89"/>
        <v>4.3940000000000001</v>
      </c>
      <c r="T588" s="19">
        <f t="shared" si="91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92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3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94"/>
        <v>4.3940000000000001</v>
      </c>
      <c r="AV588" s="37">
        <f t="shared" si="95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0"/>
        <v>39.96</v>
      </c>
      <c r="S589" s="18">
        <f t="shared" si="89"/>
        <v>39.96</v>
      </c>
      <c r="T589" s="19">
        <f t="shared" si="91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92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3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94"/>
        <v>39.96</v>
      </c>
      <c r="AV589" s="37">
        <f t="shared" si="95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0"/>
        <v>10.972</v>
      </c>
      <c r="S590" s="18">
        <f t="shared" si="89"/>
        <v>10.972</v>
      </c>
      <c r="T590" s="19">
        <f t="shared" si="91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92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3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94"/>
        <v>10.972</v>
      </c>
      <c r="AV590" s="37">
        <f t="shared" si="95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0"/>
        <v>10.997999999999999</v>
      </c>
      <c r="S591" s="18">
        <f t="shared" si="89"/>
        <v>10.997999999999999</v>
      </c>
      <c r="T591" s="19">
        <f t="shared" si="91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92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3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94"/>
        <v>10.997999999999999</v>
      </c>
      <c r="AV591" s="37">
        <f t="shared" si="95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0"/>
        <v>10.5</v>
      </c>
      <c r="S592" s="18">
        <f t="shared" si="89"/>
        <v>10.5</v>
      </c>
      <c r="T592" s="19">
        <f t="shared" si="91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92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3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94"/>
        <v>10.5</v>
      </c>
      <c r="AV592" s="37">
        <f t="shared" si="95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0"/>
        <v>6</v>
      </c>
      <c r="S593" s="18">
        <f t="shared" si="89"/>
        <v>6</v>
      </c>
      <c r="T593" s="19">
        <f t="shared" si="91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92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3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94"/>
        <v>6</v>
      </c>
      <c r="AV593" s="37">
        <f t="shared" si="95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0"/>
        <v>0.06</v>
      </c>
      <c r="S594" s="18">
        <f t="shared" si="89"/>
        <v>0.06</v>
      </c>
      <c r="T594" s="19">
        <f t="shared" si="91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92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3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94"/>
        <v>0.06</v>
      </c>
      <c r="AV594" s="37">
        <f t="shared" si="95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0"/>
        <v>0.06</v>
      </c>
      <c r="S595" s="18">
        <f t="shared" si="89"/>
        <v>0.06</v>
      </c>
      <c r="T595" s="19">
        <f t="shared" si="91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92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3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94"/>
        <v>0.06</v>
      </c>
      <c r="AV595" s="37">
        <f t="shared" si="95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0"/>
        <v>0.06</v>
      </c>
      <c r="S596" s="18">
        <f t="shared" si="89"/>
        <v>0.06</v>
      </c>
      <c r="T596" s="19">
        <f t="shared" si="91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92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3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94"/>
        <v>0.06</v>
      </c>
      <c r="AV596" s="37">
        <f t="shared" si="95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0"/>
        <v>5.1899999999999995</v>
      </c>
      <c r="S597" s="18">
        <f t="shared" si="89"/>
        <v>5.1899999999999995</v>
      </c>
      <c r="T597" s="19">
        <f t="shared" si="91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92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3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94"/>
        <v>5.1899999999999995</v>
      </c>
      <c r="AV597" s="37">
        <f t="shared" si="95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0"/>
        <v>1.4040000000000001</v>
      </c>
      <c r="S598" s="18">
        <f t="shared" si="89"/>
        <v>1.4040000000000001</v>
      </c>
      <c r="T598" s="19">
        <f t="shared" si="91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92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3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94"/>
        <v>1.4040000000000001</v>
      </c>
      <c r="AV598" s="37">
        <f t="shared" si="95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0"/>
        <v>4</v>
      </c>
      <c r="S599" s="18">
        <f t="shared" si="89"/>
        <v>4</v>
      </c>
      <c r="T599" s="19">
        <f t="shared" si="91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92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3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94"/>
        <v>4</v>
      </c>
      <c r="AV599" s="37">
        <f t="shared" si="95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0"/>
        <v>1.2</v>
      </c>
      <c r="S600" s="18">
        <f t="shared" si="89"/>
        <v>1.2</v>
      </c>
      <c r="T600" s="19">
        <f t="shared" si="91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92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3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94"/>
        <v>1.2</v>
      </c>
      <c r="AV600" s="37">
        <f t="shared" si="95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0"/>
        <v>2.5</v>
      </c>
      <c r="S601" s="18">
        <f t="shared" si="89"/>
        <v>2.5</v>
      </c>
      <c r="T601" s="19">
        <f t="shared" si="91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92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3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94"/>
        <v>2.5</v>
      </c>
      <c r="AV601" s="37">
        <f t="shared" si="95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0"/>
        <v>120</v>
      </c>
      <c r="S602" s="18">
        <f t="shared" si="89"/>
        <v>120</v>
      </c>
      <c r="T602" s="19">
        <f t="shared" si="91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92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3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94"/>
        <v>120</v>
      </c>
      <c r="AV602" s="37">
        <f t="shared" si="95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0"/>
        <v>0.5</v>
      </c>
      <c r="S603" s="18">
        <f t="shared" si="89"/>
        <v>0.5</v>
      </c>
      <c r="T603" s="19">
        <f t="shared" si="91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92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3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94"/>
        <v>0.5</v>
      </c>
      <c r="AV603" s="37">
        <f t="shared" si="95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700.82925</v>
      </c>
      <c r="S604" s="18">
        <f>IFERROR(H604*AG604,"")</f>
        <v>0</v>
      </c>
      <c r="T604" s="19">
        <f>IFERROR(S604-H604,"")</f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>U604-C604</f>
        <v>-1</v>
      </c>
      <c r="Z604" s="20">
        <f>Tabela1[[#This Row],[PESO TOTAL]]-Tabela1[[#This Row],[Peso Expedido]]</f>
        <v>1065.9000000000001</v>
      </c>
      <c r="AA604" s="17">
        <v>1</v>
      </c>
      <c r="AB604" s="33"/>
      <c r="AC604" s="33">
        <v>1</v>
      </c>
      <c r="AD604" s="33">
        <v>0.7</v>
      </c>
      <c r="AE604" s="33"/>
      <c r="AF604" s="33"/>
      <c r="AG604" s="33"/>
      <c r="AH604" s="33"/>
      <c r="AI604" s="33" t="str">
        <f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93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94"/>
        <v>0</v>
      </c>
      <c r="AV604" s="37">
        <f t="shared" si="95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96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97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98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>IFERROR(H606*((AA606*0.25)+(AC606*0.25)+(AD606*0.225)+(AE606*0.225)+(AF606*0.05)),"")</f>
        <v>0</v>
      </c>
      <c r="S606" s="18">
        <f>IFERROR(H606*AG606,"")</f>
        <v>0</v>
      </c>
      <c r="T606" s="19">
        <f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>U606-C606</f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>IFERROR(H607*((AA607*0.25)+(AC607*0.25)+(AD607*0.225)+(AE607*0.225)+(AF607*0.05)),"")</f>
        <v>0</v>
      </c>
      <c r="S607" s="18">
        <f>IFERROR(H607*AG607,"")</f>
        <v>0</v>
      </c>
      <c r="T607" s="19">
        <f>IFERROR(S607-H607,"")</f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>U607-C607</f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>IFERROR(H608*((AA608*0.25)+(AC608*0.25)+(AD608*0.225)+(AE608*0.225)+(AF608*0.05)),"")</f>
        <v>0</v>
      </c>
      <c r="S608" s="18">
        <f>IFERROR(H608*AG608,"")</f>
        <v>0</v>
      </c>
      <c r="T608" s="19">
        <f>IFERROR(S608-H608,"")</f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>U608-C608</f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>IFERROR(H609*((AA609*0.25)+(AC609*0.25)+(AD609*0.225)+(AE609*0.225)+(AF609*0.05)),"")</f>
        <v>0</v>
      </c>
      <c r="S609" s="18">
        <f>IFERROR(H609*AG609,"")</f>
        <v>0</v>
      </c>
      <c r="T609" s="19">
        <f>IFERROR(S609-H609,"")</f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>U609-C609</f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>IFERROR(H610*((AA610*0.25)+(AC610*0.25)+(AD610*0.225)+(AE610*0.225)+(AF610*0.05)),"")</f>
        <v>0</v>
      </c>
      <c r="S610" s="18">
        <f>IFERROR(H610*AG610,"")</f>
        <v>0</v>
      </c>
      <c r="T610" s="19">
        <f>IFERROR(S610-H610,"")</f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>U610-C610</f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>IFERROR(H611*((AA611*0.25)+(AC611*0.25)+(AD611*0.225)+(AE611*0.225)+(AF611*0.05)),"")</f>
        <v>0</v>
      </c>
      <c r="S611" s="18">
        <f>IFERROR(H611*AG611,"")</f>
        <v>0</v>
      </c>
      <c r="T611" s="19">
        <f>IFERROR(S611-H611,"")</f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>U611-C611</f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>IFERROR(H612*((AA612*0.25)+(AC612*0.25)+(AD612*0.225)+(AE612*0.225)+(AF612*0.05)),"")</f>
        <v>0</v>
      </c>
      <c r="S612" s="18">
        <f>IFERROR(H612*AG612,"")</f>
        <v>0</v>
      </c>
      <c r="T612" s="19">
        <f>IFERROR(S612-H612,"")</f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>U612-C612</f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>IFERROR(H613*((AA613*0.25)+(AC613*0.25)+(AD613*0.225)+(AE613*0.225)+(AF613*0.05)),"")</f>
        <v>0</v>
      </c>
      <c r="S613" s="18">
        <f>IFERROR(H613*AG613,"")</f>
        <v>0</v>
      </c>
      <c r="T613" s="19">
        <f>IFERROR(S613-H613,"")</f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>U613-C613</f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>IFERROR(H614*((AA614*0.25)+(AC614*0.25)+(AD614*0.225)+(AE614*0.225)+(AF614*0.05)),"")</f>
        <v>0</v>
      </c>
      <c r="S614" s="18">
        <f>IFERROR(H614*AG614,"")</f>
        <v>0</v>
      </c>
      <c r="T614" s="19">
        <f>IFERROR(S614-H614,"")</f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>U614-C614</f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>IFERROR(H615*((AA615*0.25)+(AC615*0.25)+(AD615*0.225)+(AE615*0.225)+(AF615*0.05)),"")</f>
        <v>0</v>
      </c>
      <c r="S615" s="18">
        <f>IFERROR(H615*AG615,"")</f>
        <v>0</v>
      </c>
      <c r="T615" s="19">
        <f>IFERROR(S615-H615,"")</f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>U615-C615</f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>IFERROR(H616*((AA616*0.25)+(AC616*0.25)+(AD616*0.225)+(AE616*0.225)+(AF616*0.05)),"")</f>
        <v>0</v>
      </c>
      <c r="S616" s="18">
        <f>IFERROR(H616*AG616,"")</f>
        <v>0</v>
      </c>
      <c r="T616" s="19">
        <f>IFERROR(S616-H616,"")</f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>U616-C616</f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>IFERROR(H617*((AA617*0.25)+(AC617*0.25)+(AD617*0.225)+(AE617*0.225)+(AF617*0.05)),"")</f>
        <v>0</v>
      </c>
      <c r="S617" s="18">
        <f>IFERROR(H617*AG617,"")</f>
        <v>0</v>
      </c>
      <c r="T617" s="19">
        <f>IFERROR(S617-H617,"")</f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>U617-C617</f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>IFERROR(H618*((AA618*0.25)+(AC618*0.25)+(AD618*0.225)+(AE618*0.225)+(AF618*0.05)),"")</f>
        <v>0</v>
      </c>
      <c r="S618" s="18">
        <f>IFERROR(H618*AG618,"")</f>
        <v>0</v>
      </c>
      <c r="T618" s="19">
        <f>IFERROR(S618-H618,"")</f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>U618-C618</f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>IFERROR(H619*((AA619*0.25)+(AC619*0.25)+(AD619*0.225)+(AE619*0.225)+(AF619*0.05)),"")</f>
        <v>0</v>
      </c>
      <c r="S619" s="18">
        <f>IFERROR(H619*AG619,"")</f>
        <v>0</v>
      </c>
      <c r="T619" s="19">
        <f>IFERROR(S619-H619,"")</f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>U619-C619</f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>IFERROR(H620*((AA620*0.25)+(AC620*0.25)+(AD620*0.225)+(AE620*0.225)+(AF620*0.05)),"")</f>
        <v>0</v>
      </c>
      <c r="S620" s="18">
        <f>IFERROR(H620*AG620,"")</f>
        <v>0</v>
      </c>
      <c r="T620" s="19">
        <f>IFERROR(S620-H620,"")</f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>U620-C620</f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>IFERROR(H621*((AA621*0.25)+(AC621*0.25)+(AD621*0.225)+(AE621*0.225)+(AF621*0.05)),"")</f>
        <v>0</v>
      </c>
      <c r="S621" s="18">
        <f>IFERROR(H621*AG621,"")</f>
        <v>0</v>
      </c>
      <c r="T621" s="19">
        <f>IFERROR(S621-H621,"")</f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>U621-C621</f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501.125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99">IFERROR(H625*((AA625*0.25)+(AC625*0.25)+(AD625*0.225)+(AE625*0.225)+(AF625*0.05)),"")</f>
        <v>4.78</v>
      </c>
      <c r="S625" s="18">
        <f t="shared" ref="S625:S626" si="100">IFERROR(H625*AG625,"")</f>
        <v>4.78</v>
      </c>
      <c r="T625" s="19">
        <f t="shared" ref="T625:T626" si="10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0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99"/>
        <v>4.78</v>
      </c>
      <c r="S626" s="18">
        <f t="shared" si="100"/>
        <v>4.78</v>
      </c>
      <c r="T626" s="19">
        <f t="shared" si="10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0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03">IFERROR(H627*((AA627*0.25)+(AC627*0.25)+(AD627*0.225)+(AE627*0.225)+(AF627*0.05)),"")</f>
        <v>19.2</v>
      </c>
      <c r="S627" s="18">
        <f t="shared" ref="S627:S690" si="104">IFERROR(H627*AG627,"")</f>
        <v>19.2</v>
      </c>
      <c r="T627" s="19">
        <f t="shared" ref="T627:T690" si="10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0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03"/>
        <v>14.4</v>
      </c>
      <c r="S628" s="18">
        <f t="shared" si="104"/>
        <v>14.4</v>
      </c>
      <c r="T628" s="19">
        <f t="shared" si="10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0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03"/>
        <v>14.700000000000001</v>
      </c>
      <c r="S629" s="18">
        <f t="shared" si="104"/>
        <v>14.700000000000001</v>
      </c>
      <c r="T629" s="19">
        <f t="shared" si="10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0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03"/>
        <v>0.15000000000000002</v>
      </c>
      <c r="S630" s="18">
        <f t="shared" si="104"/>
        <v>0.15000000000000002</v>
      </c>
      <c r="T630" s="19">
        <f t="shared" si="10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0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03"/>
        <v>0.06</v>
      </c>
      <c r="S631" s="18">
        <f t="shared" si="104"/>
        <v>0.06</v>
      </c>
      <c r="T631" s="19">
        <f t="shared" si="10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0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03"/>
        <v>1.6</v>
      </c>
      <c r="S632" s="18">
        <f t="shared" si="104"/>
        <v>1.6</v>
      </c>
      <c r="T632" s="19">
        <f t="shared" si="10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0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03"/>
        <v>0.24</v>
      </c>
      <c r="S633" s="18">
        <f t="shared" si="104"/>
        <v>0.24</v>
      </c>
      <c r="T633" s="19">
        <f t="shared" si="10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0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03"/>
        <v>0.1</v>
      </c>
      <c r="S634" s="18">
        <f t="shared" si="104"/>
        <v>0.1</v>
      </c>
      <c r="T634" s="19">
        <f t="shared" si="10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0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03"/>
        <v>0.18</v>
      </c>
      <c r="S635" s="18">
        <f t="shared" si="104"/>
        <v>0.18</v>
      </c>
      <c r="T635" s="19">
        <f t="shared" si="10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0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03"/>
        <v>0.1</v>
      </c>
      <c r="S636" s="18">
        <f t="shared" si="104"/>
        <v>0.1</v>
      </c>
      <c r="T636" s="19">
        <f t="shared" si="10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0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03"/>
        <v>0.16</v>
      </c>
      <c r="S637" s="18">
        <f t="shared" si="104"/>
        <v>0.16</v>
      </c>
      <c r="T637" s="19">
        <f t="shared" si="10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0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03"/>
        <v>0.12</v>
      </c>
      <c r="S638" s="18">
        <f t="shared" si="104"/>
        <v>0.12</v>
      </c>
      <c r="T638" s="19">
        <f t="shared" si="10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0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03"/>
        <v>0.1</v>
      </c>
      <c r="S639" s="18">
        <f t="shared" si="104"/>
        <v>0.1</v>
      </c>
      <c r="T639" s="19">
        <f t="shared" si="10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0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03"/>
        <v>0.24</v>
      </c>
      <c r="S640" s="18">
        <f t="shared" si="104"/>
        <v>0.24</v>
      </c>
      <c r="T640" s="19">
        <f t="shared" si="10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0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03"/>
        <v>0.15</v>
      </c>
      <c r="S641" s="18">
        <f t="shared" si="104"/>
        <v>0.15</v>
      </c>
      <c r="T641" s="19">
        <f t="shared" si="10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0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03"/>
        <v>0.14000000000000001</v>
      </c>
      <c r="S642" s="18">
        <f t="shared" si="104"/>
        <v>0.14000000000000001</v>
      </c>
      <c r="T642" s="19">
        <f t="shared" si="10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0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03"/>
        <v>0.64</v>
      </c>
      <c r="S643" s="18">
        <f t="shared" si="104"/>
        <v>0.64</v>
      </c>
      <c r="T643" s="19">
        <f t="shared" si="10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0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03"/>
        <v>0.64</v>
      </c>
      <c r="S644" s="18">
        <f t="shared" si="104"/>
        <v>0.64</v>
      </c>
      <c r="T644" s="19">
        <f t="shared" si="10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0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03"/>
        <v>0.84</v>
      </c>
      <c r="S645" s="18">
        <f t="shared" si="104"/>
        <v>0.84</v>
      </c>
      <c r="T645" s="19">
        <f t="shared" si="10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0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03"/>
        <v>19.2</v>
      </c>
      <c r="S646" s="18">
        <f t="shared" si="104"/>
        <v>19.2</v>
      </c>
      <c r="T646" s="19">
        <f t="shared" si="10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0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03"/>
        <v>14.4</v>
      </c>
      <c r="S647" s="18">
        <f t="shared" si="104"/>
        <v>14.4</v>
      </c>
      <c r="T647" s="19">
        <f t="shared" si="10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0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03"/>
        <v>14.700000000000001</v>
      </c>
      <c r="S648" s="18">
        <f t="shared" si="104"/>
        <v>14.700000000000001</v>
      </c>
      <c r="T648" s="19">
        <f t="shared" si="10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0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03"/>
        <v>0.15000000000000002</v>
      </c>
      <c r="S649" s="18">
        <f t="shared" si="104"/>
        <v>0.15000000000000002</v>
      </c>
      <c r="T649" s="19">
        <f t="shared" si="10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0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03"/>
        <v>0.06</v>
      </c>
      <c r="S650" s="18">
        <f t="shared" si="104"/>
        <v>0.06</v>
      </c>
      <c r="T650" s="19">
        <f t="shared" si="10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0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03"/>
        <v>1.6</v>
      </c>
      <c r="S651" s="18">
        <f t="shared" si="104"/>
        <v>1.6</v>
      </c>
      <c r="T651" s="19">
        <f t="shared" si="10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0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03"/>
        <v>0.24</v>
      </c>
      <c r="S652" s="18">
        <f t="shared" si="104"/>
        <v>0.24</v>
      </c>
      <c r="T652" s="19">
        <f t="shared" si="10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0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03"/>
        <v>0.1</v>
      </c>
      <c r="S653" s="18">
        <f t="shared" si="104"/>
        <v>0.1</v>
      </c>
      <c r="T653" s="19">
        <f t="shared" si="10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0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03"/>
        <v>0.18</v>
      </c>
      <c r="S654" s="18">
        <f t="shared" si="104"/>
        <v>0.18</v>
      </c>
      <c r="T654" s="19">
        <f t="shared" si="10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0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03"/>
        <v>0.1</v>
      </c>
      <c r="S655" s="18">
        <f t="shared" si="104"/>
        <v>0.1</v>
      </c>
      <c r="T655" s="19">
        <f t="shared" si="10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0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03"/>
        <v>0.16</v>
      </c>
      <c r="S656" s="18">
        <f t="shared" si="104"/>
        <v>0.16</v>
      </c>
      <c r="T656" s="19">
        <f t="shared" si="10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0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03"/>
        <v>0.12</v>
      </c>
      <c r="S657" s="18">
        <f t="shared" si="104"/>
        <v>0.12</v>
      </c>
      <c r="T657" s="19">
        <f t="shared" si="10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0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03"/>
        <v>0.1</v>
      </c>
      <c r="S658" s="18">
        <f t="shared" si="104"/>
        <v>0.1</v>
      </c>
      <c r="T658" s="19">
        <f t="shared" si="10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0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03"/>
        <v>0.24</v>
      </c>
      <c r="S659" s="18">
        <f t="shared" si="104"/>
        <v>0.24</v>
      </c>
      <c r="T659" s="19">
        <f t="shared" si="10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0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03"/>
        <v>0.15</v>
      </c>
      <c r="S660" s="18">
        <f t="shared" si="104"/>
        <v>0.15</v>
      </c>
      <c r="T660" s="19">
        <f t="shared" si="10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0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03"/>
        <v>0.14000000000000001</v>
      </c>
      <c r="S661" s="18">
        <f t="shared" si="104"/>
        <v>0.14000000000000001</v>
      </c>
      <c r="T661" s="19">
        <f t="shared" si="10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0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03"/>
        <v>0.64</v>
      </c>
      <c r="S662" s="18">
        <f t="shared" si="104"/>
        <v>0.64</v>
      </c>
      <c r="T662" s="19">
        <f t="shared" si="10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0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03"/>
        <v>0.64</v>
      </c>
      <c r="S663" s="18">
        <f t="shared" si="104"/>
        <v>0.64</v>
      </c>
      <c r="T663" s="19">
        <f t="shared" si="10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0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03"/>
        <v>0.84</v>
      </c>
      <c r="S664" s="18">
        <f t="shared" si="104"/>
        <v>0.84</v>
      </c>
      <c r="T664" s="19">
        <f t="shared" si="10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0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03"/>
        <v>45.5</v>
      </c>
      <c r="S665" s="18">
        <f t="shared" si="104"/>
        <v>45.5</v>
      </c>
      <c r="T665" s="19">
        <f t="shared" si="10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0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03"/>
        <v>0</v>
      </c>
      <c r="S666" s="18">
        <f t="shared" si="104"/>
        <v>0</v>
      </c>
      <c r="T666" s="19">
        <f t="shared" si="10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0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03"/>
        <v>1.5</v>
      </c>
      <c r="S667" s="18">
        <f t="shared" si="104"/>
        <v>1.5</v>
      </c>
      <c r="T667" s="19">
        <f t="shared" si="10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0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03"/>
        <v>0.12</v>
      </c>
      <c r="S668" s="18">
        <f t="shared" si="104"/>
        <v>0.12</v>
      </c>
      <c r="T668" s="19">
        <f t="shared" si="10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0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03"/>
        <v>0.18</v>
      </c>
      <c r="S669" s="18">
        <f t="shared" si="104"/>
        <v>0.18</v>
      </c>
      <c r="T669" s="19">
        <f t="shared" si="10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0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03"/>
        <v>0.04</v>
      </c>
      <c r="S670" s="18">
        <f t="shared" si="104"/>
        <v>0.04</v>
      </c>
      <c r="T670" s="19">
        <f t="shared" si="10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0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03"/>
        <v>0.15000000000000002</v>
      </c>
      <c r="S671" s="18">
        <f t="shared" si="104"/>
        <v>0.15000000000000002</v>
      </c>
      <c r="T671" s="19">
        <f t="shared" si="10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0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03"/>
        <v>0.15000000000000002</v>
      </c>
      <c r="S672" s="18">
        <f t="shared" si="104"/>
        <v>0.15000000000000002</v>
      </c>
      <c r="T672" s="19">
        <f t="shared" si="10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0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03"/>
        <v>0.1</v>
      </c>
      <c r="S673" s="18">
        <f t="shared" si="104"/>
        <v>0.1</v>
      </c>
      <c r="T673" s="19">
        <f t="shared" si="10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0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03"/>
        <v>0.08</v>
      </c>
      <c r="S674" s="18">
        <f t="shared" si="104"/>
        <v>0.08</v>
      </c>
      <c r="T674" s="19">
        <f t="shared" si="10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0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03"/>
        <v>1.2</v>
      </c>
      <c r="S675" s="18">
        <f t="shared" si="104"/>
        <v>1.2</v>
      </c>
      <c r="T675" s="19">
        <f t="shared" si="10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0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03"/>
        <v>234</v>
      </c>
      <c r="S676" s="18">
        <f t="shared" si="104"/>
        <v>234</v>
      </c>
      <c r="T676" s="19">
        <f t="shared" si="10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0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03"/>
        <v>450</v>
      </c>
      <c r="S677" s="18">
        <f t="shared" si="104"/>
        <v>450</v>
      </c>
      <c r="T677" s="19">
        <f t="shared" si="10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0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03"/>
        <v>1.5</v>
      </c>
      <c r="S678" s="18">
        <f t="shared" si="104"/>
        <v>1.5</v>
      </c>
      <c r="T678" s="19">
        <f t="shared" si="10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0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03"/>
        <v>0.12</v>
      </c>
      <c r="S679" s="18">
        <f t="shared" si="104"/>
        <v>0.12</v>
      </c>
      <c r="T679" s="19">
        <f t="shared" si="10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0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03"/>
        <v>0.18</v>
      </c>
      <c r="S680" s="18">
        <f t="shared" si="104"/>
        <v>0.18</v>
      </c>
      <c r="T680" s="19">
        <f t="shared" si="10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0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03"/>
        <v>0.04</v>
      </c>
      <c r="S681" s="18">
        <f t="shared" si="104"/>
        <v>0.04</v>
      </c>
      <c r="T681" s="19">
        <f t="shared" si="10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0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03"/>
        <v>6</v>
      </c>
      <c r="S682" s="18">
        <f t="shared" si="104"/>
        <v>6</v>
      </c>
      <c r="T682" s="19">
        <f t="shared" si="10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0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03"/>
        <v>4.5</v>
      </c>
      <c r="S683" s="18">
        <f t="shared" si="104"/>
        <v>4.5</v>
      </c>
      <c r="T683" s="19">
        <f t="shared" si="10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0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03"/>
        <v>0.1</v>
      </c>
      <c r="S684" s="18">
        <f t="shared" si="104"/>
        <v>0.1</v>
      </c>
      <c r="T684" s="19">
        <f t="shared" si="10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0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03"/>
        <v>0.08</v>
      </c>
      <c r="S685" s="18">
        <f t="shared" si="104"/>
        <v>0.08</v>
      </c>
      <c r="T685" s="19">
        <f t="shared" si="10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0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03"/>
        <v>1.2</v>
      </c>
      <c r="S686" s="18">
        <f t="shared" si="104"/>
        <v>1.2</v>
      </c>
      <c r="T686" s="19">
        <f t="shared" si="10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0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03"/>
        <v>1.8</v>
      </c>
      <c r="S687" s="18">
        <f t="shared" si="104"/>
        <v>1.8</v>
      </c>
      <c r="T687" s="19">
        <f t="shared" si="10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0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03"/>
        <v>3.6</v>
      </c>
      <c r="S688" s="18">
        <f t="shared" si="104"/>
        <v>3.6</v>
      </c>
      <c r="T688" s="19">
        <f t="shared" si="10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0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03"/>
        <v>8</v>
      </c>
      <c r="S689" s="18">
        <f t="shared" si="104"/>
        <v>8</v>
      </c>
      <c r="T689" s="19">
        <f t="shared" si="10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0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03"/>
        <v>1.5</v>
      </c>
      <c r="S690" s="18">
        <f t="shared" si="104"/>
        <v>1.5</v>
      </c>
      <c r="T690" s="19">
        <f t="shared" si="10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0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07">IFERROR(H691*((AA691*0.25)+(AC691*0.25)+(AD691*0.225)+(AE691*0.225)+(AF691*0.05)),"")</f>
        <v>2</v>
      </c>
      <c r="S691" s="18">
        <f t="shared" ref="S691:S754" si="108">IFERROR(H691*AG691,"")</f>
        <v>2</v>
      </c>
      <c r="T691" s="19">
        <f t="shared" ref="T691:T754" si="10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1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07"/>
        <v>3.6</v>
      </c>
      <c r="S692" s="18">
        <f t="shared" si="108"/>
        <v>3.6</v>
      </c>
      <c r="T692" s="19">
        <f t="shared" si="10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1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07"/>
        <v>8</v>
      </c>
      <c r="S693" s="18">
        <f t="shared" si="108"/>
        <v>8</v>
      </c>
      <c r="T693" s="19">
        <f t="shared" si="10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1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07"/>
        <v>1.5</v>
      </c>
      <c r="S694" s="18">
        <f t="shared" si="108"/>
        <v>1.5</v>
      </c>
      <c r="T694" s="19">
        <f t="shared" si="10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1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07"/>
        <v>3.6</v>
      </c>
      <c r="S695" s="18">
        <f t="shared" si="108"/>
        <v>3.6</v>
      </c>
      <c r="T695" s="19">
        <f t="shared" si="10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1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07"/>
        <v>0.01</v>
      </c>
      <c r="S696" s="18">
        <f t="shared" si="108"/>
        <v>0.01</v>
      </c>
      <c r="T696" s="19">
        <f t="shared" si="10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1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07"/>
        <v>3.6</v>
      </c>
      <c r="S697" s="18">
        <f t="shared" si="108"/>
        <v>3.6</v>
      </c>
      <c r="T697" s="19">
        <f t="shared" si="10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1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07"/>
        <v>0.01</v>
      </c>
      <c r="S698" s="18">
        <f t="shared" si="108"/>
        <v>0.01</v>
      </c>
      <c r="T698" s="19">
        <f t="shared" si="10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1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07"/>
        <v>0.64</v>
      </c>
      <c r="S699" s="18">
        <f t="shared" si="108"/>
        <v>0.64</v>
      </c>
      <c r="T699" s="19">
        <f t="shared" si="10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1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07"/>
        <v>10.8</v>
      </c>
      <c r="S700" s="18">
        <f t="shared" si="108"/>
        <v>10.8</v>
      </c>
      <c r="T700" s="19">
        <f t="shared" si="10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1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07"/>
        <v>10.4</v>
      </c>
      <c r="S701" s="18">
        <f t="shared" si="108"/>
        <v>10.4</v>
      </c>
      <c r="T701" s="19">
        <f t="shared" si="10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1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07"/>
        <v>0</v>
      </c>
      <c r="S702" s="18">
        <f t="shared" si="108"/>
        <v>0</v>
      </c>
      <c r="T702" s="19">
        <f t="shared" si="10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1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07"/>
        <v>0</v>
      </c>
      <c r="S703" s="18">
        <f t="shared" si="108"/>
        <v>0</v>
      </c>
      <c r="T703" s="19">
        <f t="shared" si="10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1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07"/>
        <v>1800</v>
      </c>
      <c r="S704" s="18">
        <f t="shared" si="108"/>
        <v>1800</v>
      </c>
      <c r="T704" s="19">
        <f t="shared" si="10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1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07"/>
        <v>1800</v>
      </c>
      <c r="S705" s="18">
        <f t="shared" si="108"/>
        <v>1800</v>
      </c>
      <c r="T705" s="19">
        <f t="shared" si="10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1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07"/>
        <v>43.616</v>
      </c>
      <c r="S706" s="18">
        <f t="shared" si="108"/>
        <v>43.616</v>
      </c>
      <c r="T706" s="19">
        <f t="shared" si="10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1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07"/>
        <v>18.048000000000002</v>
      </c>
      <c r="S707" s="18">
        <f t="shared" si="108"/>
        <v>18.048000000000002</v>
      </c>
      <c r="T707" s="19">
        <f t="shared" si="10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1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07"/>
        <v>40.984000000000002</v>
      </c>
      <c r="S708" s="18">
        <f t="shared" si="108"/>
        <v>40.984000000000002</v>
      </c>
      <c r="T708" s="19">
        <f t="shared" si="10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1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07"/>
        <v>10.904</v>
      </c>
      <c r="S709" s="18">
        <f t="shared" si="108"/>
        <v>10.904</v>
      </c>
      <c r="T709" s="19">
        <f t="shared" si="10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1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07"/>
        <v>28.722000000000001</v>
      </c>
      <c r="S710" s="18">
        <f t="shared" si="108"/>
        <v>28.722000000000001</v>
      </c>
      <c r="T710" s="19">
        <f t="shared" si="10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1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07"/>
        <v>28.722000000000001</v>
      </c>
      <c r="S711" s="18">
        <f t="shared" si="108"/>
        <v>28.722000000000001</v>
      </c>
      <c r="T711" s="19">
        <f t="shared" si="10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1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07"/>
        <v>28.722000000000001</v>
      </c>
      <c r="S712" s="18">
        <f t="shared" si="108"/>
        <v>28.722000000000001</v>
      </c>
      <c r="T712" s="19">
        <f t="shared" si="10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1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07"/>
        <v>28.722000000000001</v>
      </c>
      <c r="S713" s="18">
        <f t="shared" si="108"/>
        <v>28.722000000000001</v>
      </c>
      <c r="T713" s="19">
        <f t="shared" si="10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1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07"/>
        <v>28.722000000000001</v>
      </c>
      <c r="S714" s="18">
        <f t="shared" si="108"/>
        <v>28.722000000000001</v>
      </c>
      <c r="T714" s="19">
        <f t="shared" si="10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1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07"/>
        <v>28.722000000000001</v>
      </c>
      <c r="S715" s="18">
        <f t="shared" si="108"/>
        <v>28.722000000000001</v>
      </c>
      <c r="T715" s="19">
        <f t="shared" si="10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1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07"/>
        <v>57.444000000000003</v>
      </c>
      <c r="S716" s="18">
        <f t="shared" si="108"/>
        <v>57.444000000000003</v>
      </c>
      <c r="T716" s="19">
        <f t="shared" si="10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1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07"/>
        <v>57.444000000000003</v>
      </c>
      <c r="S717" s="18">
        <f t="shared" si="108"/>
        <v>57.444000000000003</v>
      </c>
      <c r="T717" s="19">
        <f t="shared" si="10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1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07"/>
        <v>57.444000000000003</v>
      </c>
      <c r="S718" s="18">
        <f t="shared" si="108"/>
        <v>57.444000000000003</v>
      </c>
      <c r="T718" s="19">
        <f t="shared" si="10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1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07"/>
        <v>57.444000000000003</v>
      </c>
      <c r="S719" s="18">
        <f t="shared" si="108"/>
        <v>57.444000000000003</v>
      </c>
      <c r="T719" s="19">
        <f t="shared" si="10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1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07"/>
        <v>57.444000000000003</v>
      </c>
      <c r="S720" s="18">
        <f t="shared" si="108"/>
        <v>57.444000000000003</v>
      </c>
      <c r="T720" s="19">
        <f t="shared" si="10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1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07"/>
        <v>114.88800000000001</v>
      </c>
      <c r="S721" s="18">
        <f t="shared" si="108"/>
        <v>114.88800000000001</v>
      </c>
      <c r="T721" s="19">
        <f t="shared" si="10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1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07"/>
        <v>57.444000000000003</v>
      </c>
      <c r="S722" s="18">
        <f t="shared" si="108"/>
        <v>57.444000000000003</v>
      </c>
      <c r="T722" s="19">
        <f t="shared" si="10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1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07"/>
        <v>172.33199999999999</v>
      </c>
      <c r="S723" s="18">
        <f t="shared" si="108"/>
        <v>172.33199999999999</v>
      </c>
      <c r="T723" s="19">
        <f t="shared" si="10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1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07"/>
        <v>57.444000000000003</v>
      </c>
      <c r="S724" s="18">
        <f t="shared" si="108"/>
        <v>57.444000000000003</v>
      </c>
      <c r="T724" s="19">
        <f t="shared" si="10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1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07"/>
        <v>57.444000000000003</v>
      </c>
      <c r="S725" s="18">
        <f t="shared" si="108"/>
        <v>57.444000000000003</v>
      </c>
      <c r="T725" s="19">
        <f t="shared" si="10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1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07"/>
        <v>57.444000000000003</v>
      </c>
      <c r="S726" s="18">
        <f t="shared" si="108"/>
        <v>57.444000000000003</v>
      </c>
      <c r="T726" s="19">
        <f t="shared" si="10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1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07"/>
        <v>287.22000000000003</v>
      </c>
      <c r="S727" s="18">
        <f t="shared" si="108"/>
        <v>287.22000000000003</v>
      </c>
      <c r="T727" s="19">
        <f t="shared" si="10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1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07"/>
        <v>28.722000000000001</v>
      </c>
      <c r="S728" s="18">
        <f t="shared" si="108"/>
        <v>28.722000000000001</v>
      </c>
      <c r="T728" s="19">
        <f t="shared" si="10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1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07"/>
        <v>315.94200000000001</v>
      </c>
      <c r="S729" s="18">
        <f t="shared" si="108"/>
        <v>315.94200000000001</v>
      </c>
      <c r="T729" s="19">
        <f t="shared" si="10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1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07"/>
        <v>28.722000000000001</v>
      </c>
      <c r="S730" s="18">
        <f t="shared" si="108"/>
        <v>28.722000000000001</v>
      </c>
      <c r="T730" s="19">
        <f t="shared" si="10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1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07"/>
        <v>28.722000000000001</v>
      </c>
      <c r="S731" s="18">
        <f t="shared" si="108"/>
        <v>28.722000000000001</v>
      </c>
      <c r="T731" s="19">
        <f t="shared" si="10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1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07"/>
        <v>28.722000000000001</v>
      </c>
      <c r="S732" s="18">
        <f t="shared" si="108"/>
        <v>28.722000000000001</v>
      </c>
      <c r="T732" s="19">
        <f t="shared" si="10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1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07"/>
        <v>28.722000000000001</v>
      </c>
      <c r="S733" s="18">
        <f t="shared" si="108"/>
        <v>28.722000000000001</v>
      </c>
      <c r="T733" s="19">
        <f t="shared" si="10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1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07"/>
        <v>57.444000000000003</v>
      </c>
      <c r="S734" s="18">
        <f t="shared" si="108"/>
        <v>57.444000000000003</v>
      </c>
      <c r="T734" s="19">
        <f t="shared" si="10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1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07"/>
        <v>57.444000000000003</v>
      </c>
      <c r="S735" s="18">
        <f t="shared" si="108"/>
        <v>57.444000000000003</v>
      </c>
      <c r="T735" s="19">
        <f t="shared" si="10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1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07"/>
        <v>86.165999999999997</v>
      </c>
      <c r="S736" s="18">
        <f t="shared" si="108"/>
        <v>86.165999999999997</v>
      </c>
      <c r="T736" s="19">
        <f t="shared" si="10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1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07"/>
        <v>28.722000000000001</v>
      </c>
      <c r="S737" s="18">
        <f t="shared" si="108"/>
        <v>28.722000000000001</v>
      </c>
      <c r="T737" s="19">
        <f t="shared" si="10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1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07"/>
        <v>28.722000000000001</v>
      </c>
      <c r="S738" s="18">
        <f t="shared" si="108"/>
        <v>28.722000000000001</v>
      </c>
      <c r="T738" s="19">
        <f t="shared" si="10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1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07"/>
        <v>373.38600000000002</v>
      </c>
      <c r="S739" s="18">
        <f t="shared" si="108"/>
        <v>373.38600000000002</v>
      </c>
      <c r="T739" s="19">
        <f t="shared" si="10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1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07"/>
        <v>57.444000000000003</v>
      </c>
      <c r="S740" s="18">
        <f t="shared" si="108"/>
        <v>57.444000000000003</v>
      </c>
      <c r="T740" s="19">
        <f t="shared" si="10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1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07"/>
        <v>287.22000000000003</v>
      </c>
      <c r="S741" s="18">
        <f t="shared" si="108"/>
        <v>287.22000000000003</v>
      </c>
      <c r="T741" s="19">
        <f t="shared" si="10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1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07"/>
        <v>12.6</v>
      </c>
      <c r="S742" s="18">
        <f t="shared" si="108"/>
        <v>12.6</v>
      </c>
      <c r="T742" s="19">
        <f t="shared" si="10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1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07"/>
        <v>12.6</v>
      </c>
      <c r="S743" s="18">
        <f t="shared" si="108"/>
        <v>12.6</v>
      </c>
      <c r="T743" s="19">
        <f t="shared" si="10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1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07"/>
        <v>12.6</v>
      </c>
      <c r="S744" s="18">
        <f t="shared" si="108"/>
        <v>12.6</v>
      </c>
      <c r="T744" s="19">
        <f t="shared" si="10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1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07"/>
        <v>12.6</v>
      </c>
      <c r="S745" s="18">
        <f t="shared" si="108"/>
        <v>12.6</v>
      </c>
      <c r="T745" s="19">
        <f t="shared" si="10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1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07"/>
        <v>12.6</v>
      </c>
      <c r="S746" s="18">
        <f t="shared" si="108"/>
        <v>12.6</v>
      </c>
      <c r="T746" s="19">
        <f t="shared" si="10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1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07"/>
        <v>12.6</v>
      </c>
      <c r="S747" s="18">
        <f t="shared" si="108"/>
        <v>12.6</v>
      </c>
      <c r="T747" s="19">
        <f t="shared" si="10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1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07"/>
        <v>12.6</v>
      </c>
      <c r="S748" s="18">
        <f t="shared" si="108"/>
        <v>12.6</v>
      </c>
      <c r="T748" s="19">
        <f t="shared" si="10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1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07"/>
        <v>12.6</v>
      </c>
      <c r="S749" s="18">
        <f t="shared" si="108"/>
        <v>12.6</v>
      </c>
      <c r="T749" s="19">
        <f t="shared" si="10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1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07"/>
        <v>12.6</v>
      </c>
      <c r="S750" s="18">
        <f t="shared" si="108"/>
        <v>12.6</v>
      </c>
      <c r="T750" s="19">
        <f t="shared" si="10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1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07"/>
        <v>12.6</v>
      </c>
      <c r="S751" s="18">
        <f t="shared" si="108"/>
        <v>12.6</v>
      </c>
      <c r="T751" s="19">
        <f t="shared" si="10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1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07"/>
        <v>12.6</v>
      </c>
      <c r="S752" s="18">
        <f t="shared" si="108"/>
        <v>12.6</v>
      </c>
      <c r="T752" s="19">
        <f t="shared" si="10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1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07"/>
        <v>12.6</v>
      </c>
      <c r="S753" s="18">
        <f t="shared" si="108"/>
        <v>12.6</v>
      </c>
      <c r="T753" s="19">
        <f t="shared" si="10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1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07"/>
        <v>31.584</v>
      </c>
      <c r="S754" s="18">
        <f t="shared" si="108"/>
        <v>31.584</v>
      </c>
      <c r="T754" s="19">
        <f t="shared" si="10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1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11">IFERROR(H755*((AA755*0.25)+(AC755*0.25)+(AD755*0.225)+(AE755*0.225)+(AF755*0.05)),"")</f>
        <v>63.167999999999999</v>
      </c>
      <c r="S755" s="18">
        <f t="shared" ref="S755:S760" si="112">IFERROR(H755*AG755,"")</f>
        <v>63.167999999999999</v>
      </c>
      <c r="T755" s="19">
        <f t="shared" ref="T755:T760" si="11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1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11"/>
        <v>31.584</v>
      </c>
      <c r="S756" s="18">
        <f t="shared" si="112"/>
        <v>31.584</v>
      </c>
      <c r="T756" s="19">
        <f t="shared" si="11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1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11"/>
        <v>63.167999999999999</v>
      </c>
      <c r="S757" s="18">
        <f t="shared" si="112"/>
        <v>63.167999999999999</v>
      </c>
      <c r="T757" s="19">
        <f t="shared" si="11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1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11"/>
        <v>1460.8000000000002</v>
      </c>
      <c r="S758" s="18">
        <f t="shared" si="112"/>
        <v>1460.8000000000002</v>
      </c>
      <c r="T758" s="19">
        <f t="shared" si="11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1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11"/>
        <v>1460.8000000000002</v>
      </c>
      <c r="S759" s="18">
        <f t="shared" si="112"/>
        <v>1460.8000000000002</v>
      </c>
      <c r="T759" s="19">
        <f t="shared" si="11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1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11"/>
        <v>12.5</v>
      </c>
      <c r="S760" s="18">
        <f t="shared" si="112"/>
        <v>12.5</v>
      </c>
      <c r="T760" s="19">
        <f t="shared" si="11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1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15">IFERROR(H762*((AA762*0.25)+(AC762*0.25)+(AD762*0.225)+(AE762*0.225)+(AF762*0.05)),"")</f>
        <v>6.08</v>
      </c>
      <c r="S762" s="18">
        <f t="shared" ref="S762" si="116">IFERROR(H762*AG762,"")</f>
        <v>0</v>
      </c>
      <c r="T762" s="19">
        <f t="shared" ref="T762" si="11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1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19">IFERROR(H765*((AA765*0.25)+(AC765*0.25)+(AD765*0.225)+(AE765*0.225)+(AF765*0.05)),"")</f>
        <v>19.575000000000003</v>
      </c>
      <c r="S765" s="18">
        <f t="shared" ref="S765:S769" si="120">IFERROR(H765*AG765,"")</f>
        <v>0</v>
      </c>
      <c r="T765" s="19">
        <f t="shared" ref="T765:T769" si="12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22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19"/>
        <v>6.6990000000000016</v>
      </c>
      <c r="S766" s="18">
        <f t="shared" si="120"/>
        <v>0</v>
      </c>
      <c r="T766" s="19">
        <f t="shared" si="12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22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19"/>
        <v>194.4</v>
      </c>
      <c r="S767" s="18">
        <f t="shared" si="120"/>
        <v>19.440000000000001</v>
      </c>
      <c r="T767" s="19">
        <f t="shared" si="121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22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19"/>
        <v>1.4500000000000002</v>
      </c>
      <c r="S768" s="18">
        <f t="shared" si="120"/>
        <v>0</v>
      </c>
      <c r="T768" s="19">
        <f t="shared" si="12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22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19"/>
        <v>92.4</v>
      </c>
      <c r="S769" s="18">
        <f t="shared" si="120"/>
        <v>9.24</v>
      </c>
      <c r="T769" s="19">
        <f t="shared" si="121"/>
        <v>-83.160000000000011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22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0.1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23">IFERROR(H770*((AA770*0.25)+(AC770*0.25)+(AD770*0.225)+(AE770*0.225)+(AF770*0.05)),"")</f>
        <v>288</v>
      </c>
      <c r="S770" s="18">
        <f t="shared" ref="S770:S780" si="124">IFERROR(H770*AG770,"")</f>
        <v>288</v>
      </c>
      <c r="T770" s="19">
        <f t="shared" ref="T770:T780" si="125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26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23"/>
        <v>0</v>
      </c>
      <c r="S771" s="18">
        <f t="shared" si="124"/>
        <v>0</v>
      </c>
      <c r="T771" s="19">
        <f t="shared" si="12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2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23"/>
        <v>0</v>
      </c>
      <c r="S772" s="18">
        <f t="shared" si="124"/>
        <v>0</v>
      </c>
      <c r="T772" s="19">
        <f t="shared" si="12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2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23"/>
        <v>2587.2660000000001</v>
      </c>
      <c r="S773" s="18">
        <f t="shared" si="124"/>
        <v>522.68000000000006</v>
      </c>
      <c r="T773" s="19">
        <f t="shared" si="12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2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23"/>
        <v>950.00000000000011</v>
      </c>
      <c r="S774" s="18">
        <f t="shared" si="124"/>
        <v>900</v>
      </c>
      <c r="T774" s="19">
        <f t="shared" si="12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2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>IFERROR(H775*((AA775*0.25)+(AC775*0.25)+(AD775*0.225)+(AE775*0.225)+(AF775*0.05)),"")</f>
        <v>0</v>
      </c>
      <c r="S775" s="18">
        <f>IFERROR(H775*AG775,"")</f>
        <v>0</v>
      </c>
      <c r="T775" s="19">
        <f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>U775-C775</f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>IFERROR(H776*((AA776*0.25)+(AC776*0.25)+(AD776*0.225)+(AE776*0.225)+(AF776*0.05)),"")</f>
        <v>0</v>
      </c>
      <c r="S776" s="18">
        <f>IFERROR(H776*AG776,"")</f>
        <v>0</v>
      </c>
      <c r="T776" s="19">
        <f>IFERROR(S776-H776,"")</f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>U776-C776</f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>IFERROR(H777*((AA777*0.25)+(AC777*0.25)+(AD777*0.225)+(AE777*0.225)+(AF777*0.05)),"")</f>
        <v>0</v>
      </c>
      <c r="S777" s="18">
        <f>IFERROR(H777*AG777,"")</f>
        <v>0</v>
      </c>
      <c r="T777" s="19">
        <f>IFERROR(S777-H777,"")</f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>U777-C777</f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>IFERROR(H778*((AA778*0.25)+(AC778*0.25)+(AD778*0.225)+(AE778*0.225)+(AF778*0.05)),"")</f>
        <v>0</v>
      </c>
      <c r="S778" s="18">
        <f>IFERROR(H778*AG778,"")</f>
        <v>0</v>
      </c>
      <c r="T778" s="19">
        <f>IFERROR(S778-H778,"")</f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>U778-C778</f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>IFERROR(H779*((AA779*0.25)+(AC779*0.25)+(AD779*0.225)+(AE779*0.225)+(AF779*0.05)),"")</f>
        <v>0</v>
      </c>
      <c r="S779" s="18">
        <f>IFERROR(H779*AG779,"")</f>
        <v>0</v>
      </c>
      <c r="T779" s="19">
        <f>IFERROR(S779-H779,"")</f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>U779-C779</f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>IFERROR(H780*((AA780*0.25)+(AC780*0.25)+(AD780*0.225)+(AE780*0.225)+(AF780*0.05)),"")</f>
        <v>0</v>
      </c>
      <c r="S780" s="18">
        <f>IFERROR(H780*AG780,"")</f>
        <v>0</v>
      </c>
      <c r="T780" s="19">
        <f>IFERROR(S780-H780,"")</f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>U780-C780</f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5029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>IFERROR(H781*((AA781*0.25)+(AC781*0.25)+(AD781*0.225)+(AE781*0.225)+(AF781*0.05)),"")</f>
        <v>0</v>
      </c>
      <c r="S781" s="18">
        <f>IFERROR(H781*AG781,"")</f>
        <v>0</v>
      </c>
      <c r="T781" s="19">
        <f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5029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>IFERROR(H782*((AA782*0.25)+(AC782*0.25)+(AD782*0.225)+(AE782*0.225)+(AF782*0.05)),"")</f>
        <v>0</v>
      </c>
      <c r="S782" s="18">
        <f>IFERROR(H782*AG782,"")</f>
        <v>0</v>
      </c>
      <c r="T782" s="19">
        <f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5029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>IFERROR(H783*((AA783*0.25)+(AC783*0.25)+(AD783*0.225)+(AE783*0.225)+(AF783*0.05)),"")</f>
        <v>0</v>
      </c>
      <c r="S783" s="18">
        <f>IFERROR(H783*AG783,"")</f>
        <v>0</v>
      </c>
      <c r="T783" s="19">
        <f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5029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>IFERROR(H784*((AA784*0.25)+(AC784*0.25)+(AD784*0.225)+(AE784*0.225)+(AF784*0.05)),"")</f>
        <v>0</v>
      </c>
      <c r="S784" s="18">
        <f>IFERROR(H784*AG784,"")</f>
        <v>0</v>
      </c>
      <c r="T784" s="19">
        <f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5029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>IFERROR(H785*((AA785*0.25)+(AC785*0.25)+(AD785*0.225)+(AE785*0.225)+(AF785*0.05)),"")</f>
        <v>0</v>
      </c>
      <c r="S785" s="18">
        <f>IFERROR(H785*AG785,"")</f>
        <v>0</v>
      </c>
      <c r="T785" s="19">
        <f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5029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>IFERROR(H786*((AA786*0.25)+(AC786*0.25)+(AD786*0.225)+(AE786*0.225)+(AF786*0.05)),"")</f>
        <v>0</v>
      </c>
      <c r="S786" s="18">
        <f>IFERROR(H786*AG786,"")</f>
        <v>0</v>
      </c>
      <c r="T786" s="19">
        <f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5029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>IFERROR(H787*((AA787*0.25)+(AC787*0.25)+(AD787*0.225)+(AE787*0.225)+(AF787*0.05)),"")</f>
        <v>0</v>
      </c>
      <c r="S787" s="18">
        <f>IFERROR(H787*AG787,"")</f>
        <v>0</v>
      </c>
      <c r="T787" s="19">
        <f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5029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>IFERROR(H788*((AA788*0.25)+(AC788*0.25)+(AD788*0.225)+(AE788*0.225)+(AF788*0.05)),"")</f>
        <v>0</v>
      </c>
      <c r="S788" s="18">
        <f>IFERROR(H788*AG788,"")</f>
        <v>0</v>
      </c>
      <c r="T788" s="19">
        <f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5029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>IFERROR(H789*((AA789*0.25)+(AC789*0.25)+(AD789*0.225)+(AE789*0.225)+(AF789*0.05)),"")</f>
        <v>0</v>
      </c>
      <c r="S789" s="18">
        <f>IFERROR(H789*AG789,"")</f>
        <v>0</v>
      </c>
      <c r="T789" s="19">
        <f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5029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>IFERROR(H790*((AA790*0.25)+(AC790*0.25)+(AD790*0.225)+(AE790*0.225)+(AF790*0.05)),"")</f>
        <v>0</v>
      </c>
      <c r="S790" s="18">
        <f>IFERROR(H790*AG790,"")</f>
        <v>0</v>
      </c>
      <c r="T790" s="19">
        <f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5029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>IFERROR(H791*((AA791*0.25)+(AC791*0.25)+(AD791*0.225)+(AE791*0.225)+(AF791*0.05)),"")</f>
        <v>0</v>
      </c>
      <c r="S791" s="18">
        <f>IFERROR(H791*AG791,"")</f>
        <v>0</v>
      </c>
      <c r="T791" s="19">
        <f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5029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>IFERROR(H792*((AA792*0.25)+(AC792*0.25)+(AD792*0.225)+(AE792*0.225)+(AF792*0.05)),"")</f>
        <v>0</v>
      </c>
      <c r="S792" s="18">
        <f>IFERROR(H792*AG792,"")</f>
        <v>0</v>
      </c>
      <c r="T792" s="19">
        <f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5029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>IFERROR(H793*((AA793*0.25)+(AC793*0.25)+(AD793*0.225)+(AE793*0.225)+(AF793*0.05)),"")</f>
        <v>0</v>
      </c>
      <c r="S793" s="18">
        <f>IFERROR(H793*AG793,"")</f>
        <v>0</v>
      </c>
      <c r="T793" s="19">
        <f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5029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>IFERROR(H794*((AA794*0.25)+(AC794*0.25)+(AD794*0.225)+(AE794*0.225)+(AF794*0.05)),"")</f>
        <v>0</v>
      </c>
      <c r="S794" s="18">
        <f>IFERROR(H794*AG794,"")</f>
        <v>0</v>
      </c>
      <c r="T794" s="19">
        <f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5029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>IFERROR(H795*((AA795*0.25)+(AC795*0.25)+(AD795*0.225)+(AE795*0.225)+(AF795*0.05)),"")</f>
        <v>0</v>
      </c>
      <c r="S795" s="18">
        <f>IFERROR(H795*AG795,"")</f>
        <v>0</v>
      </c>
      <c r="T795" s="19">
        <f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5029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>IFERROR(H796*((AA796*0.25)+(AC796*0.25)+(AD796*0.225)+(AE796*0.225)+(AF796*0.05)),"")</f>
        <v>0</v>
      </c>
      <c r="S796" s="18">
        <f>IFERROR(H796*AG796,"")</f>
        <v>0</v>
      </c>
      <c r="T796" s="19">
        <f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5029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>IFERROR(H797*((AA797*0.25)+(AC797*0.25)+(AD797*0.225)+(AE797*0.225)+(AF797*0.05)),"")</f>
        <v>0</v>
      </c>
      <c r="S797" s="18">
        <f>IFERROR(H797*AG797,"")</f>
        <v>0</v>
      </c>
      <c r="T797" s="19">
        <f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5029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>IFERROR(H798*((AA798*0.25)+(AC798*0.25)+(AD798*0.225)+(AE798*0.225)+(AF798*0.05)),"")</f>
        <v>0</v>
      </c>
      <c r="S798" s="18">
        <f>IFERROR(H798*AG798,"")</f>
        <v>0</v>
      </c>
      <c r="T798" s="19">
        <f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5029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>IFERROR(H799*((AA799*0.25)+(AC799*0.25)+(AD799*0.225)+(AE799*0.225)+(AF799*0.05)),"")</f>
        <v>0</v>
      </c>
      <c r="S799" s="18">
        <f>IFERROR(H799*AG799,"")</f>
        <v>0</v>
      </c>
      <c r="T799" s="19">
        <f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5029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>IFERROR(H800*((AA800*0.25)+(AC800*0.25)+(AD800*0.225)+(AE800*0.225)+(AF800*0.05)),"")</f>
        <v>0</v>
      </c>
      <c r="S800" s="18">
        <f>IFERROR(H800*AG800,"")</f>
        <v>0</v>
      </c>
      <c r="T800" s="19">
        <f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5029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>IFERROR(H801*((AA801*0.25)+(AC801*0.25)+(AD801*0.225)+(AE801*0.225)+(AF801*0.05)),"")</f>
        <v>0</v>
      </c>
      <c r="S801" s="18">
        <f>IFERROR(H801*AG801,"")</f>
        <v>0</v>
      </c>
      <c r="T801" s="19">
        <f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5029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>IFERROR(H802*((AA802*0.25)+(AC802*0.25)+(AD802*0.225)+(AE802*0.225)+(AF802*0.05)),"")</f>
        <v>0</v>
      </c>
      <c r="S802" s="18">
        <f>IFERROR(H802*AG802,"")</f>
        <v>0</v>
      </c>
      <c r="T802" s="19">
        <f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5029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>IFERROR(H803*((AA803*0.25)+(AC803*0.25)+(AD803*0.225)+(AE803*0.225)+(AF803*0.05)),"")</f>
        <v>0</v>
      </c>
      <c r="S803" s="18">
        <f>IFERROR(H803*AG803,"")</f>
        <v>0</v>
      </c>
      <c r="T803" s="19">
        <f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5029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>IFERROR(H804*((AA804*0.25)+(AC804*0.25)+(AD804*0.225)+(AE804*0.225)+(AF804*0.05)),"")</f>
        <v>0</v>
      </c>
      <c r="S804" s="18">
        <f>IFERROR(H804*AG804,"")</f>
        <v>0</v>
      </c>
      <c r="T804" s="19">
        <f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5029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>IFERROR(H805*((AA805*0.25)+(AC805*0.25)+(AD805*0.225)+(AE805*0.225)+(AF805*0.05)),"")</f>
        <v>0</v>
      </c>
      <c r="S805" s="18">
        <f>IFERROR(H805*AG805,"")</f>
        <v>0</v>
      </c>
      <c r="T805" s="19">
        <f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5029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>IFERROR(H806*((AA806*0.25)+(AC806*0.25)+(AD806*0.225)+(AE806*0.225)+(AF806*0.05)),"")</f>
        <v>0</v>
      </c>
      <c r="S806" s="18">
        <f>IFERROR(H806*AG806,"")</f>
        <v>0</v>
      </c>
      <c r="T806" s="19">
        <f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5029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>IFERROR(H807*((AA807*0.25)+(AC807*0.25)+(AD807*0.225)+(AE807*0.225)+(AF807*0.05)),"")</f>
        <v>0</v>
      </c>
      <c r="S807" s="18">
        <f>IFERROR(H807*AG807,"")</f>
        <v>0</v>
      </c>
      <c r="T807" s="19">
        <f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5029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>IFERROR(H808*((AA808*0.25)+(AC808*0.25)+(AD808*0.225)+(AE808*0.225)+(AF808*0.05)),"")</f>
        <v>0</v>
      </c>
      <c r="S808" s="18">
        <f>IFERROR(H808*AG808,"")</f>
        <v>0</v>
      </c>
      <c r="T808" s="19">
        <f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5029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>IFERROR(H809*((AA809*0.25)+(AC809*0.25)+(AD809*0.225)+(AE809*0.225)+(AF809*0.05)),"")</f>
        <v>0</v>
      </c>
      <c r="S809" s="18">
        <f>IFERROR(H809*AG809,"")</f>
        <v>0</v>
      </c>
      <c r="T809" s="19">
        <f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5029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>IFERROR(H810*((AA810*0.25)+(AC810*0.25)+(AD810*0.225)+(AE810*0.225)+(AF810*0.05)),"")</f>
        <v>0</v>
      </c>
      <c r="S810" s="18">
        <f>IFERROR(H810*AG810,"")</f>
        <v>0</v>
      </c>
      <c r="T810" s="19">
        <f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5029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>IFERROR(H811*((AA811*0.25)+(AC811*0.25)+(AD811*0.225)+(AE811*0.225)+(AF811*0.05)),"")</f>
        <v>0</v>
      </c>
      <c r="S811" s="18">
        <f>IFERROR(H811*AG811,"")</f>
        <v>0</v>
      </c>
      <c r="T811" s="19">
        <f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5029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>IFERROR(H812*((AA812*0.25)+(AC812*0.25)+(AD812*0.225)+(AE812*0.225)+(AF812*0.05)),"")</f>
        <v>0</v>
      </c>
      <c r="S812" s="18">
        <f>IFERROR(H812*AG812,"")</f>
        <v>0</v>
      </c>
      <c r="T812" s="19">
        <f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5029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>IFERROR(H813*((AA813*0.25)+(AC813*0.25)+(AD813*0.225)+(AE813*0.225)+(AF813*0.05)),"")</f>
        <v>0</v>
      </c>
      <c r="S813" s="18">
        <f>IFERROR(H813*AG813,"")</f>
        <v>0</v>
      </c>
      <c r="T813" s="19">
        <f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5029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>IFERROR(H814*((AA814*0.25)+(AC814*0.25)+(AD814*0.225)+(AE814*0.225)+(AF814*0.05)),"")</f>
        <v>0</v>
      </c>
      <c r="S814" s="18">
        <f>IFERROR(H814*AG814,"")</f>
        <v>0</v>
      </c>
      <c r="T814" s="19">
        <f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5029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>IFERROR(H815*((AA815*0.25)+(AC815*0.25)+(AD815*0.225)+(AE815*0.225)+(AF815*0.05)),"")</f>
        <v>0</v>
      </c>
      <c r="S815" s="18">
        <f>IFERROR(H815*AG815,"")</f>
        <v>0</v>
      </c>
      <c r="T815" s="19">
        <f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5029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>IFERROR(H816*((AA816*0.25)+(AC816*0.25)+(AD816*0.225)+(AE816*0.225)+(AF816*0.05)),"")</f>
        <v>0</v>
      </c>
      <c r="S816" s="18">
        <f>IFERROR(H816*AG816,"")</f>
        <v>0</v>
      </c>
      <c r="T816" s="19">
        <f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5029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>IFERROR(H817*((AA817*0.25)+(AC817*0.25)+(AD817*0.225)+(AE817*0.225)+(AF817*0.05)),"")</f>
        <v>0</v>
      </c>
      <c r="S817" s="18">
        <f>IFERROR(H817*AG817,"")</f>
        <v>0</v>
      </c>
      <c r="T817" s="19">
        <f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>IFERROR(H818*((AA818*0.25)+(AC818*0.25)+(AD818*0.225)+(AE818*0.225)+(AF818*0.05)),"")</f>
        <v>0</v>
      </c>
      <c r="S818" s="18">
        <f>IFERROR(H818*AG818,"")</f>
        <v>0</v>
      </c>
      <c r="T818" s="19">
        <f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>IFERROR(H819*((AA819*0.25)+(AC819*0.25)+(AD819*0.225)+(AE819*0.225)+(AF819*0.05)),"")</f>
        <v>0</v>
      </c>
      <c r="S819" s="18">
        <f>IFERROR(H819*AG819,"")</f>
        <v>0</v>
      </c>
      <c r="T819" s="19">
        <f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>IFERROR(H820*((AA820*0.25)+(AC820*0.25)+(AD820*0.225)+(AE820*0.225)+(AF820*0.05)),"")</f>
        <v>0</v>
      </c>
      <c r="S820" s="18">
        <f>IFERROR(H820*AG820,"")</f>
        <v>0</v>
      </c>
      <c r="T820" s="19">
        <f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>IFERROR(H821*((AA821*0.25)+(AC821*0.25)+(AD821*0.225)+(AE821*0.225)+(AF821*0.05)),"")</f>
        <v>0</v>
      </c>
      <c r="S821" s="18">
        <f>IFERROR(H821*AG821,"")</f>
        <v>0</v>
      </c>
      <c r="T821" s="19">
        <f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>IFERROR(H822*((AA822*0.25)+(AC822*0.25)+(AD822*0.225)+(AE822*0.225)+(AF822*0.05)),"")</f>
        <v>0</v>
      </c>
      <c r="S822" s="18">
        <f>IFERROR(H822*AG822,"")</f>
        <v>0</v>
      </c>
      <c r="T822" s="19">
        <f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>IFERROR(H823*((AA823*0.25)+(AC823*0.25)+(AD823*0.225)+(AE823*0.225)+(AF823*0.05)),"")</f>
        <v>0</v>
      </c>
      <c r="S823" s="18">
        <f>IFERROR(H823*AG823,"")</f>
        <v>0</v>
      </c>
      <c r="T823" s="19">
        <f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>IFERROR(H824*((AA824*0.25)+(AC824*0.25)+(AD824*0.225)+(AE824*0.225)+(AF824*0.05)),"")</f>
        <v>0</v>
      </c>
      <c r="S824" s="18">
        <f>IFERROR(H824*AG824,"")</f>
        <v>0</v>
      </c>
      <c r="T824" s="19">
        <f>IFERROR(S824-H824,"")</f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>U824-C824</f>
        <v>-1</v>
      </c>
      <c r="Z824" s="20">
        <f>Tabela1[[#This Row],[PESO TOTAL]]-Tabela1[[#This Row],[Peso Expedido]]</f>
        <v>748.5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>IFERROR(H825*((AA825*0.25)+(AC825*0.25)+(AD825*0.225)+(AE825*0.225)+(AF825*0.05)),"")</f>
        <v>0</v>
      </c>
      <c r="S825" s="18">
        <f>IFERROR(H825*AG825,"")</f>
        <v>0</v>
      </c>
      <c r="T825" s="19">
        <f>IFERROR(S825-H825,"")</f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>U825-C825</f>
        <v>-1</v>
      </c>
      <c r="Z825" s="20">
        <f>Tabela1[[#This Row],[PESO TOTAL]]-Tabela1[[#This Row],[Peso Expedido]]</f>
        <v>287.7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>IFERROR(H826*((AA826*0.25)+(AC826*0.25)+(AD826*0.225)+(AE826*0.225)+(AF826*0.05)),"")</f>
        <v>0</v>
      </c>
      <c r="S826" s="18">
        <f>IFERROR(H826*AG826,"")</f>
        <v>0</v>
      </c>
      <c r="T826" s="19">
        <f>IFERROR(S826-H826,"")</f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>U826-C826</f>
        <v>-1</v>
      </c>
      <c r="Z826" s="20">
        <f>Tabela1[[#This Row],[PESO TOTAL]]-Tabela1[[#This Row],[Peso Expedido]]</f>
        <v>374.9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>IFERROR(H827*((AA827*0.25)+(AC827*0.25)+(AD827*0.225)+(AE827*0.225)+(AF827*0.05)),"")</f>
        <v>0</v>
      </c>
      <c r="S827" s="18">
        <f>IFERROR(H827*AG827,"")</f>
        <v>0</v>
      </c>
      <c r="T827" s="19">
        <f>IFERROR(S827-H827,"")</f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>U827-C827</f>
        <v>-1</v>
      </c>
      <c r="Z827" s="20">
        <f>Tabela1[[#This Row],[PESO TOTAL]]-Tabela1[[#This Row],[Peso Expedido]]</f>
        <v>485.6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>IFERROR(H828*((AA828*0.25)+(AC828*0.25)+(AD828*0.225)+(AE828*0.225)+(AF828*0.05)),"")</f>
        <v>0</v>
      </c>
      <c r="S828" s="18">
        <f>IFERROR(H828*AG828,"")</f>
        <v>0</v>
      </c>
      <c r="T828" s="19">
        <f>IFERROR(S828-H828,"")</f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>U828-C828</f>
        <v>-2</v>
      </c>
      <c r="Z828" s="20">
        <f>Tabela1[[#This Row],[PESO TOTAL]]-Tabela1[[#This Row],[Peso Expedido]]</f>
        <v>181.2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>IFERROR(H829*((AA829*0.25)+(AC829*0.25)+(AD829*0.225)+(AE829*0.225)+(AF829*0.05)),"")</f>
        <v>0</v>
      </c>
      <c r="S829" s="18">
        <f>IFERROR(H829*AG829,"")</f>
        <v>0</v>
      </c>
      <c r="T829" s="19">
        <f>IFERROR(S829-H829,"")</f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>U829-C829</f>
        <v>-2</v>
      </c>
      <c r="Z829" s="20">
        <f>Tabela1[[#This Row],[PESO TOTAL]]-Tabela1[[#This Row],[Peso Expedido]]</f>
        <v>227.6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>IFERROR(H830*((AA830*0.25)+(AC830*0.25)+(AD830*0.225)+(AE830*0.225)+(AF830*0.05)),"")</f>
        <v>0</v>
      </c>
      <c r="S830" s="18">
        <f>IFERROR(H830*AG830,"")</f>
        <v>0</v>
      </c>
      <c r="T830" s="19">
        <f>IFERROR(S830-H830,"")</f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>U830-C830</f>
        <v>-2</v>
      </c>
      <c r="Z830" s="20">
        <f>Tabela1[[#This Row],[PESO TOTAL]]-Tabela1[[#This Row],[Peso Expedido]]</f>
        <v>38.799999999999997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>IFERROR(H831*((AA831*0.25)+(AC831*0.25)+(AD831*0.225)+(AE831*0.225)+(AF831*0.05)),"")</f>
        <v>0</v>
      </c>
      <c r="S831" s="18">
        <f>IFERROR(H831*AG831,"")</f>
        <v>0</v>
      </c>
      <c r="T831" s="19">
        <f>IFERROR(S831-H831,"")</f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>U831-C831</f>
        <v>-2</v>
      </c>
      <c r="Z831" s="20">
        <f>Tabela1[[#This Row],[PESO TOTAL]]-Tabela1[[#This Row],[Peso Expedido]]</f>
        <v>52.4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>IFERROR(H832*((AA832*0.25)+(AC832*0.25)+(AD832*0.225)+(AE832*0.225)+(AF832*0.05)),"")</f>
        <v>0</v>
      </c>
      <c r="S832" s="18">
        <f>IFERROR(H832*AG832,"")</f>
        <v>0</v>
      </c>
      <c r="T832" s="19">
        <f>IFERROR(S832-H832,"")</f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>U832-C832</f>
        <v>-2</v>
      </c>
      <c r="Z832" s="20">
        <f>Tabela1[[#This Row],[PESO TOTAL]]-Tabela1[[#This Row],[Peso Expedido]]</f>
        <v>4.4000000000000004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>IFERROR(H833*((AA833*0.25)+(AC833*0.25)+(AD833*0.225)+(AE833*0.225)+(AF833*0.05)),"")</f>
        <v>0</v>
      </c>
      <c r="S833" s="18">
        <f>IFERROR(H833*AG833,"")</f>
        <v>0</v>
      </c>
      <c r="T833" s="19">
        <f>IFERROR(S833-H833,"")</f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>U833-C833</f>
        <v>-2</v>
      </c>
      <c r="Z833" s="20">
        <f>Tabela1[[#This Row],[PESO TOTAL]]-Tabela1[[#This Row],[Peso Expedido]]</f>
        <v>13.8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27">IFERROR(H834*((AA834*0.25)+(AC834*0.25)+(AD834*0.225)+(AE834*0.225)+(AF834*0.05)),"")</f>
        <v>14.8</v>
      </c>
      <c r="S834" s="18">
        <f t="shared" ref="S834" si="128">IFERROR(H834*AG834,"")</f>
        <v>14.8</v>
      </c>
      <c r="T834" s="19">
        <f t="shared" ref="T834" si="129">IFERROR(S834-H834,"")</f>
        <v>0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130">U834-C834</f>
        <v>-2</v>
      </c>
      <c r="Z834" s="20">
        <f>Tabela1[[#This Row],[PESO TOTAL]]-Tabela1[[#This Row],[Peso Expedido]]</f>
        <v>14.8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>IFERROR(H835*((AA835*0.25)+(AC835*0.25)+(AD835*0.225)+(AE835*0.225)+(AF835*0.05)),"")</f>
        <v>0</v>
      </c>
      <c r="S835" s="18">
        <f>IFERROR(H835*AG835,"")</f>
        <v>0</v>
      </c>
      <c r="T835" s="19">
        <f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>U835-C835</f>
        <v>-1</v>
      </c>
      <c r="Z835" s="20">
        <f>Tabela1[[#This Row],[PESO TOTAL]]-Tabela1[[#This Row],[Peso Expedido]]</f>
        <v>3649.4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2670.7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2649.8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-1</v>
      </c>
      <c r="Z838" s="20">
        <f>Tabela1[[#This Row],[PESO TOTAL]]-Tabela1[[#This Row],[Peso Expedido]]</f>
        <v>435.1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670.6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>IFERROR(H840*((AA840*0.25)+(AC840*0.25)+(AD840*0.225)+(AE840*0.225)+(AF840*0.05)),"")</f>
        <v>0</v>
      </c>
      <c r="S840" s="18">
        <f>IFERROR(H840*AG840,"")</f>
        <v>0</v>
      </c>
      <c r="T840" s="19">
        <f>IFERROR(S840-H840,"")</f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>U840-C840</f>
        <v>-4</v>
      </c>
      <c r="Z840" s="20">
        <f>Tabela1[[#This Row],[PESO TOTAL]]-Tabela1[[#This Row],[Peso Expedido]]</f>
        <v>35.6</v>
      </c>
      <c r="AA840" s="17"/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>IFERROR(H841*((AA841*0.25)+(AC841*0.25)+(AD841*0.225)+(AE841*0.225)+(AF841*0.05)),"")</f>
        <v>0</v>
      </c>
      <c r="S841" s="18">
        <f>IFERROR(H841*AG841,"")</f>
        <v>0</v>
      </c>
      <c r="T841" s="19">
        <f>IFERROR(S841-H841,"")</f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>U841-C841</f>
        <v>-1</v>
      </c>
      <c r="Z841" s="20">
        <f>Tabela1[[#This Row],[PESO TOTAL]]-Tabela1[[#This Row],[Peso Expedido]]</f>
        <v>325</v>
      </c>
      <c r="AA841" s="17"/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1:R851" si="131">IFERROR(H842*((AA842*0.25)+(AC842*0.25)+(AD842*0.225)+(AE842*0.225)+(AF842*0.05)),"")</f>
        <v>3.78</v>
      </c>
      <c r="S842" s="18">
        <f t="shared" ref="S841:S851" si="132">IFERROR(H842*AG842,"")</f>
        <v>3.78</v>
      </c>
      <c r="T842" s="19">
        <f t="shared" ref="T841:T851" si="133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1:Y851" si="134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131"/>
        <v>652.95999999999992</v>
      </c>
      <c r="S843" s="18">
        <f t="shared" si="132"/>
        <v>652.95999999999992</v>
      </c>
      <c r="T843" s="19">
        <f t="shared" si="133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134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131"/>
        <v>224.45499999999996</v>
      </c>
      <c r="S844" s="18">
        <f t="shared" si="132"/>
        <v>224.45499999999996</v>
      </c>
      <c r="T844" s="19">
        <f t="shared" si="133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134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131"/>
        <v>45.219999999999992</v>
      </c>
      <c r="S845" s="18">
        <f t="shared" si="132"/>
        <v>45.219999999999992</v>
      </c>
      <c r="T845" s="19">
        <f t="shared" si="133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134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131"/>
        <v>39.619999999999997</v>
      </c>
      <c r="S846" s="18">
        <f t="shared" si="132"/>
        <v>39.619999999999997</v>
      </c>
      <c r="T846" s="19">
        <f t="shared" si="133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134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31"/>
        <v>39.619999999999997</v>
      </c>
      <c r="S847" s="18">
        <f t="shared" si="132"/>
        <v>39.619999999999997</v>
      </c>
      <c r="T847" s="19">
        <f t="shared" si="133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34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131"/>
        <v>79.239999999999995</v>
      </c>
      <c r="S848" s="18">
        <f t="shared" si="132"/>
        <v>79.239999999999995</v>
      </c>
      <c r="T848" s="19">
        <f t="shared" si="133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34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132"/>
        <v>25.759999999999998</v>
      </c>
      <c r="T849" s="19">
        <f t="shared" si="133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34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132"/>
        <v>43.26</v>
      </c>
      <c r="T850" s="19">
        <f t="shared" si="133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34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131"/>
        <v>9.4499999999999993</v>
      </c>
      <c r="S851" s="18">
        <f t="shared" si="132"/>
        <v>9.4499999999999993</v>
      </c>
      <c r="T851" s="19">
        <f t="shared" si="133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34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>IFERROR(H852*((AA852*0.25)+(AC852*0.25)+(AD852*0.225)+(AE852*0.225)+(AF852*0.05)),"")</f>
        <v>34.299999999999997</v>
      </c>
      <c r="S852" s="18">
        <f>IFERROR(H852*AG852,"")</f>
        <v>34.299999999999997</v>
      </c>
      <c r="T852" s="19">
        <f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>IFERROR(H853*((AA853*0.25)+(AC853*0.25)+(AD853*0.225)+(AE853*0.225)+(AF853*0.05)),"")</f>
        <v>0</v>
      </c>
      <c r="S853" s="18">
        <f>IFERROR(H853*AG853,"")</f>
        <v>0</v>
      </c>
      <c r="T853" s="19">
        <f>IFERROR(S853-H853,"")</f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>U853-C853</f>
        <v>-1</v>
      </c>
      <c r="Z853" s="20">
        <f>Tabela1[[#This Row],[PESO TOTAL]]-Tabela1[[#This Row],[Peso Expedido]]</f>
        <v>355.2</v>
      </c>
      <c r="AA853" s="17"/>
      <c r="AB853" s="33"/>
      <c r="AC853" s="33"/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>IFERROR(H854*((AA854*0.25)+(AC854*0.25)+(AD854*0.225)+(AE854*0.225)+(AF854*0.05)),"")</f>
        <v>0</v>
      </c>
      <c r="S854" s="18">
        <f>IFERROR(H854*AG854,"")</f>
        <v>0</v>
      </c>
      <c r="T854" s="19">
        <f>IFERROR(S854-H854,"")</f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>U854-C854</f>
        <v>-2</v>
      </c>
      <c r="Z854" s="20">
        <f>Tabela1[[#This Row],[PESO TOTAL]]-Tabela1[[#This Row],[Peso Expedido]]</f>
        <v>81.2</v>
      </c>
      <c r="AA854" s="17"/>
      <c r="AB854" s="33"/>
      <c r="AC854" s="33"/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>IFERROR(H855*((AA855*0.25)+(AC855*0.25)+(AD855*0.225)+(AE855*0.225)+(AF855*0.05)),"")</f>
        <v>0</v>
      </c>
      <c r="S855" s="18">
        <f>IFERROR(H855*AG855,"")</f>
        <v>0</v>
      </c>
      <c r="T855" s="19">
        <f>IFERROR(S855-H855,"")</f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>U855-C855</f>
        <v>-2</v>
      </c>
      <c r="Z855" s="20">
        <f>Tabela1[[#This Row],[PESO TOTAL]]-Tabela1[[#This Row],[Peso Expedido]]</f>
        <v>212.8</v>
      </c>
      <c r="AA855" s="17"/>
      <c r="AB855" s="33"/>
      <c r="AC855" s="33"/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>
        <v>0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-1</v>
      </c>
      <c r="R856" s="18">
        <f>IFERROR(H856*((AA856*0.25)+(AC856*0.25)+(AD856*0.225)+(AE856*0.225)+(AF856*0.05)),"")</f>
        <v>0</v>
      </c>
      <c r="S856" s="18">
        <f>IFERROR(H856*AG856,"")</f>
        <v>0</v>
      </c>
      <c r="T856" s="19">
        <f>IFERROR(S856-H856,"")</f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>U856-C856</f>
        <v>-1</v>
      </c>
      <c r="Z856" s="20">
        <f>Tabela1[[#This Row],[PESO TOTAL]]-Tabela1[[#This Row],[Peso Expedido]]</f>
        <v>435.1</v>
      </c>
      <c r="AA856" s="17"/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>IFERROR(H857*((AA857*0.25)+(AC857*0.25)+(AD857*0.225)+(AE857*0.225)+(AF857*0.05)),"")</f>
        <v>0</v>
      </c>
      <c r="S857" s="18">
        <f>IFERROR(H857*AG857,"")</f>
        <v>0</v>
      </c>
      <c r="T857" s="19">
        <f>IFERROR(S857-H857,"")</f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>U857-C857</f>
        <v>-2</v>
      </c>
      <c r="Z857" s="20">
        <f>Tabela1[[#This Row],[PESO TOTAL]]-Tabela1[[#This Row],[Peso Expedido]]</f>
        <v>87.2</v>
      </c>
      <c r="AA857" s="17"/>
      <c r="AB857" s="33"/>
      <c r="AC857" s="33"/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>IFERROR(H858*((AA858*0.25)+(AC858*0.25)+(AD858*0.225)+(AE858*0.225)+(AF858*0.05)),"")</f>
        <v>0</v>
      </c>
      <c r="S858" s="18">
        <f>IFERROR(H858*AG858,"")</f>
        <v>0</v>
      </c>
      <c r="T858" s="19">
        <f>IFERROR(S858-H858,"")</f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>U858-C858</f>
        <v>-1</v>
      </c>
      <c r="Z858" s="20">
        <f>Tabela1[[#This Row],[PESO TOTAL]]-Tabela1[[#This Row],[Peso Expedido]]</f>
        <v>72</v>
      </c>
      <c r="AA858" s="17"/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>IFERROR(H859*((AA859*0.25)+(AC859*0.25)+(AD859*0.225)+(AE859*0.225)+(AF859*0.05)),"")</f>
        <v>0</v>
      </c>
      <c r="S859" s="18">
        <f>IFERROR(H859*AG859,"")</f>
        <v>0</v>
      </c>
      <c r="T859" s="19">
        <f>IFERROR(S859-H859,"")</f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>U859-C859</f>
        <v>-2</v>
      </c>
      <c r="Z859" s="20">
        <f>Tabela1[[#This Row],[PESO TOTAL]]-Tabela1[[#This Row],[Peso Expedido]]</f>
        <v>12.6</v>
      </c>
      <c r="AA859" s="17"/>
      <c r="AB859" s="33"/>
      <c r="AC859" s="33"/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>IFERROR(H860*((AA860*0.25)+(AC860*0.25)+(AD860*0.225)+(AE860*0.225)+(AF860*0.05)),"")</f>
        <v>0</v>
      </c>
      <c r="S860" s="18">
        <f>IFERROR(H860*AG860,"")</f>
        <v>0</v>
      </c>
      <c r="T860" s="19">
        <f>IFERROR(S860-H860,"")</f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>U860-C860</f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>IFERROR(H861*((AA861*0.25)+(AC861*0.25)+(AD861*0.225)+(AE861*0.225)+(AF861*0.05)),"")</f>
        <v>0</v>
      </c>
      <c r="S861" s="18">
        <f>IFERROR(H861*AG861,"")</f>
        <v>0</v>
      </c>
      <c r="T861" s="19">
        <f>IFERROR(S861-H861,"")</f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>U861-C861</f>
        <v>-2</v>
      </c>
      <c r="Z861" s="20">
        <f>Tabela1[[#This Row],[PESO TOTAL]]-Tabela1[[#This Row],[Peso Expedido]]</f>
        <v>107.4</v>
      </c>
      <c r="AA861" s="17"/>
      <c r="AB861" s="33"/>
      <c r="AC861" s="33"/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>IFERROR(H862*((AA862*0.25)+(AC862*0.25)+(AD862*0.225)+(AE862*0.225)+(AF862*0.05)),"")</f>
        <v>0</v>
      </c>
      <c r="S862" s="18">
        <f>IFERROR(H862*AG862,"")</f>
        <v>0</v>
      </c>
      <c r="T862" s="19">
        <f>IFERROR(S862-H862,"")</f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>U862-C862</f>
        <v>-1</v>
      </c>
      <c r="Z862" s="20">
        <f>Tabela1[[#This Row],[PESO TOTAL]]-Tabela1[[#This Row],[Peso Expedido]]</f>
        <v>170.2</v>
      </c>
      <c r="AA862" s="17"/>
      <c r="AB862" s="33"/>
      <c r="AC862" s="33"/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>IFERROR(H863*((AA863*0.25)+(AC863*0.25)+(AD863*0.225)+(AE863*0.225)+(AF863*0.05)),"")</f>
        <v>0</v>
      </c>
      <c r="S863" s="18">
        <f>IFERROR(H863*AG863,"")</f>
        <v>0</v>
      </c>
      <c r="T863" s="19">
        <f>IFERROR(S863-H863,"")</f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>U863-C863</f>
        <v>-1</v>
      </c>
      <c r="Z863" s="20">
        <f>Tabela1[[#This Row],[PESO TOTAL]]-Tabela1[[#This Row],[Peso Expedido]]</f>
        <v>220.2</v>
      </c>
      <c r="AA863" s="17"/>
      <c r="AB863" s="33"/>
      <c r="AC863" s="33"/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>IFERROR(H864*((AA864*0.25)+(AC864*0.25)+(AD864*0.225)+(AE864*0.225)+(AF864*0.05)),"")</f>
        <v>0</v>
      </c>
      <c r="S864" s="18">
        <f>IFERROR(H864*AG864,"")</f>
        <v>0</v>
      </c>
      <c r="T864" s="19">
        <f>IFERROR(S864-H864,"")</f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>U864-C864</f>
        <v>-1</v>
      </c>
      <c r="Z864" s="20">
        <f>Tabela1[[#This Row],[PESO TOTAL]]-Tabela1[[#This Row],[Peso Expedido]]</f>
        <v>220.2</v>
      </c>
      <c r="AA864" s="17"/>
      <c r="AB864" s="33"/>
      <c r="AC864" s="33"/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>IFERROR(H865*((AA865*0.25)+(AC865*0.25)+(AD865*0.225)+(AE865*0.225)+(AF865*0.05)),"")</f>
        <v>0</v>
      </c>
      <c r="S865" s="18">
        <f>IFERROR(H865*AG865,"")</f>
        <v>0</v>
      </c>
      <c r="T865" s="19">
        <f>IFERROR(S865-H865,"")</f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>U865-C865</f>
        <v>-2</v>
      </c>
      <c r="Z865" s="20">
        <f>Tabela1[[#This Row],[PESO TOTAL]]-Tabela1[[#This Row],[Peso Expedido]]</f>
        <v>110.2</v>
      </c>
      <c r="AA865" s="17"/>
      <c r="AB865" s="33"/>
      <c r="AC865" s="33"/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>IFERROR(H866*((AA866*0.25)+(AC866*0.25)+(AD866*0.225)+(AE866*0.225)+(AF866*0.05)),"")</f>
        <v>0</v>
      </c>
      <c r="S866" s="18">
        <f>IFERROR(H866*AG866,"")</f>
        <v>0</v>
      </c>
      <c r="T866" s="19">
        <f>IFERROR(S866-H866,"")</f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>U866-C866</f>
        <v>-2</v>
      </c>
      <c r="Z866" s="20">
        <f>Tabela1[[#This Row],[PESO TOTAL]]-Tabela1[[#This Row],[Peso Expedido]]</f>
        <v>138</v>
      </c>
      <c r="AA866" s="17"/>
      <c r="AB866" s="33"/>
      <c r="AC866" s="33"/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5032</v>
      </c>
      <c r="B867" s="21"/>
      <c r="C867" s="1">
        <v>6</v>
      </c>
      <c r="D867" s="1" t="s">
        <v>5033</v>
      </c>
      <c r="E867" s="7">
        <v>4522</v>
      </c>
      <c r="F867" s="7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>IFERROR(H867*((AA867*0.25)+(AC867*0.25)+(AD867*0.225)+(AE867*0.225)+(AF867*0.05)),"")</f>
        <v>0</v>
      </c>
      <c r="S867" s="18">
        <f>IFERROR(H867*AG867,"")</f>
        <v>0</v>
      </c>
      <c r="T867" s="19">
        <f>IFERROR(S867-H867,"")</f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>U867-C867</f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5036</v>
      </c>
      <c r="B868" s="21"/>
      <c r="C868" s="1">
        <v>10</v>
      </c>
      <c r="D868" s="1" t="s">
        <v>5037</v>
      </c>
      <c r="E868" s="7">
        <v>4523</v>
      </c>
      <c r="F868" s="7">
        <v>1</v>
      </c>
      <c r="G868" s="1">
        <v>10.5</v>
      </c>
      <c r="H868" s="34">
        <f>Tabela1[[#This Row],[PESO UNI]]*Tabela1[[#This Row],[QTE]]</f>
        <v>105</v>
      </c>
      <c r="I868" s="7" t="s">
        <v>43</v>
      </c>
      <c r="J868" s="8" t="s">
        <v>5034</v>
      </c>
      <c r="K868" s="8" t="s">
        <v>23</v>
      </c>
      <c r="L868" s="9" t="s">
        <v>5035</v>
      </c>
      <c r="M868" s="10">
        <v>46245</v>
      </c>
      <c r="N868" s="8" t="s">
        <v>38</v>
      </c>
      <c r="O868" s="12"/>
      <c r="P868" s="13"/>
      <c r="Q868" s="14">
        <f>Tabela1[[#This Row],[QTDE/ Fabricação]]-Tabela1[[#This Row],[QTE]]</f>
        <v>-10</v>
      </c>
      <c r="R868" s="18">
        <f t="shared" ref="R868" si="135">IFERROR(H868*((AA868*0.25)+(AC868*0.25)+(AD868*0.225)+(AE868*0.225)+(AF868*0.05)),"")</f>
        <v>0</v>
      </c>
      <c r="S868" s="18">
        <f t="shared" ref="S868" si="136">IFERROR(H868*AG868,"")</f>
        <v>0</v>
      </c>
      <c r="T868" s="19">
        <f t="shared" ref="T868" si="137">IFERROR(S868-H868,"")</f>
        <v>-105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ref="Y868" si="138">U868-C868</f>
        <v>-10</v>
      </c>
      <c r="Z868" s="20">
        <f>Tabela1[[#This Row],[PESO TOTAL]]-Tabela1[[#This Row],[Peso Expedido]]</f>
        <v>105</v>
      </c>
      <c r="AA868" s="17"/>
      <c r="AB868" s="33"/>
      <c r="AC868" s="33"/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5038</v>
      </c>
      <c r="B869" s="21"/>
      <c r="C869" s="1">
        <v>5</v>
      </c>
      <c r="D869" s="1" t="s">
        <v>5039</v>
      </c>
      <c r="E869" s="7">
        <v>4524</v>
      </c>
      <c r="F869" s="7">
        <v>1</v>
      </c>
      <c r="G869" s="1">
        <v>35</v>
      </c>
      <c r="H869" s="34">
        <f>Tabela1[[#This Row],[PESO UNI]]*Tabela1[[#This Row],[QTE]]</f>
        <v>175</v>
      </c>
      <c r="I869" s="7" t="s">
        <v>43</v>
      </c>
      <c r="J869" s="8" t="s">
        <v>5034</v>
      </c>
      <c r="K869" s="8" t="s">
        <v>23</v>
      </c>
      <c r="L869" s="9" t="s">
        <v>5035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-5</v>
      </c>
      <c r="R869" s="18">
        <f>IFERROR(H869*((AA869*0.25)+(AC869*0.25)+(AD869*0.225)+(AE869*0.225)+(AF869*0.05)),"")</f>
        <v>0</v>
      </c>
      <c r="S869" s="18">
        <f>IFERROR(H869*AG869,"")</f>
        <v>0</v>
      </c>
      <c r="T869" s="19">
        <f>IFERROR(S869-H869,"")</f>
        <v>-175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>U869-C869</f>
        <v>-5</v>
      </c>
      <c r="Z869" s="20">
        <f>Tabela1[[#This Row],[PESO TOTAL]]-Tabela1[[#This Row],[Peso Expedido]]</f>
        <v>175</v>
      </c>
      <c r="AA869" s="17"/>
      <c r="AB869" s="33"/>
      <c r="AC869" s="33"/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35</v>
      </c>
      <c r="H870" s="34">
        <f>Tabela1[[#This Row],[PESO UNI]]*Tabela1[[#This Row],[QTE]]</f>
        <v>24850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>IFERROR(H870*((AA870*0.25)+(AC870*0.25)+(AD870*0.225)+(AE870*0.225)+(AF870*0.05)),"")</f>
        <v>0</v>
      </c>
      <c r="S870" s="18">
        <f>IFERROR(H870*AG870,"")</f>
        <v>0</v>
      </c>
      <c r="T870" s="19">
        <f>IFERROR(S870-H870,"")</f>
        <v>-24850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>U870-C870</f>
        <v>-710</v>
      </c>
      <c r="Z870" s="20">
        <f>Tabela1[[#This Row],[PESO TOTAL]]-Tabela1[[#This Row],[Peso Expedido]]</f>
        <v>24850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414</v>
      </c>
      <c r="B871" s="21"/>
      <c r="C871" s="1">
        <v>10</v>
      </c>
      <c r="D871" s="1" t="s">
        <v>5044</v>
      </c>
      <c r="E871" s="7">
        <v>4526</v>
      </c>
      <c r="F871" s="7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>IFERROR(H871*((AA871*0.25)+(AC871*0.25)+(AD871*0.225)+(AE871*0.225)+(AF871*0.05)),"")</f>
        <v>0</v>
      </c>
      <c r="S871" s="18">
        <f>IFERROR(H871*AG871,"")</f>
        <v>0</v>
      </c>
      <c r="T871" s="19">
        <f>IFERROR(S871-H871,"")</f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>U871-C871</f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5051</v>
      </c>
      <c r="B872" s="21" t="s">
        <v>5052</v>
      </c>
      <c r="C872" s="1">
        <v>1</v>
      </c>
      <c r="D872" s="1" t="s">
        <v>5053</v>
      </c>
      <c r="E872" s="7">
        <v>4527</v>
      </c>
      <c r="F872" s="7">
        <v>56</v>
      </c>
      <c r="G872" s="1">
        <v>297.8</v>
      </c>
      <c r="H872" s="34">
        <f>Tabela1[[#This Row],[PESO UNI]]*Tabela1[[#This Row],[QTE]]</f>
        <v>297.8</v>
      </c>
      <c r="I872" s="7">
        <v>0</v>
      </c>
      <c r="J872" s="8" t="s">
        <v>3140</v>
      </c>
      <c r="K872" s="8" t="s">
        <v>4320</v>
      </c>
      <c r="L872" s="9" t="s">
        <v>2984</v>
      </c>
      <c r="M872" s="10">
        <v>46251</v>
      </c>
      <c r="N872" s="8" t="s">
        <v>5119</v>
      </c>
      <c r="O872" s="12"/>
      <c r="P872" s="13"/>
      <c r="Q872" s="14">
        <f>Tabela1[[#This Row],[QTDE/ Fabricação]]-Tabela1[[#This Row],[QTE]]</f>
        <v>-1</v>
      </c>
      <c r="R872" s="18">
        <f>IFERROR(H872*((AA872*0.25)+(AC872*0.25)+(AD872*0.225)+(AE872*0.225)+(AF872*0.05)),"")</f>
        <v>0</v>
      </c>
      <c r="S872" s="18">
        <f>IFERROR(H872*AG872,"")</f>
        <v>0</v>
      </c>
      <c r="T872" s="19">
        <f>IFERROR(S872-H872,"")</f>
        <v>-297.8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>U872-C872</f>
        <v>-1</v>
      </c>
      <c r="Z872" s="20">
        <f>Tabela1[[#This Row],[PESO TOTAL]]-Tabela1[[#This Row],[Peso Expedido]]</f>
        <v>297.8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" t="s">
        <v>5051</v>
      </c>
      <c r="B873" s="21" t="s">
        <v>5052</v>
      </c>
      <c r="C873" s="1">
        <v>1</v>
      </c>
      <c r="D873" s="1" t="s">
        <v>5054</v>
      </c>
      <c r="E873" s="7">
        <v>4528</v>
      </c>
      <c r="F873" s="7">
        <v>56</v>
      </c>
      <c r="G873" s="1">
        <v>297.8</v>
      </c>
      <c r="H873" s="34">
        <f>Tabela1[[#This Row],[PESO UNI]]*Tabela1[[#This Row],[QTE]]</f>
        <v>297.8</v>
      </c>
      <c r="I873" s="7">
        <v>0</v>
      </c>
      <c r="J873" s="8" t="s">
        <v>3140</v>
      </c>
      <c r="K873" s="8" t="s">
        <v>4320</v>
      </c>
      <c r="L873" s="9" t="s">
        <v>2984</v>
      </c>
      <c r="M873" s="10">
        <v>46251</v>
      </c>
      <c r="N873" s="8" t="s">
        <v>5119</v>
      </c>
      <c r="O873" s="12"/>
      <c r="P873" s="13"/>
      <c r="Q873" s="14">
        <f>Tabela1[[#This Row],[QTDE/ Fabricação]]-Tabela1[[#This Row],[QTE]]</f>
        <v>-1</v>
      </c>
      <c r="R873" s="18">
        <f>IFERROR(H873*((AA873*0.25)+(AC873*0.25)+(AD873*0.225)+(AE873*0.225)+(AF873*0.05)),"")</f>
        <v>0</v>
      </c>
      <c r="S873" s="18">
        <f>IFERROR(H873*AG873,"")</f>
        <v>0</v>
      </c>
      <c r="T873" s="19">
        <f>IFERROR(S873-H873,"")</f>
        <v>-297.8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>U873-C873</f>
        <v>-1</v>
      </c>
      <c r="Z873" s="20">
        <f>Tabela1[[#This Row],[PESO TOTAL]]-Tabela1[[#This Row],[Peso Expedido]]</f>
        <v>297.8</v>
      </c>
      <c r="AA873" s="17"/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5055</v>
      </c>
      <c r="B874" s="21" t="s">
        <v>5056</v>
      </c>
      <c r="C874" s="1">
        <v>1</v>
      </c>
      <c r="D874" s="1" t="s">
        <v>5057</v>
      </c>
      <c r="E874" s="7">
        <v>4529</v>
      </c>
      <c r="F874" s="7">
        <v>56</v>
      </c>
      <c r="G874" s="1">
        <v>886.6</v>
      </c>
      <c r="H874" s="34">
        <f>Tabela1[[#This Row],[PESO UNI]]*Tabela1[[#This Row],[QTE]]</f>
        <v>886.6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5119</v>
      </c>
      <c r="O874" s="12"/>
      <c r="P874" s="13"/>
      <c r="Q874" s="14">
        <f>Tabela1[[#This Row],[QTDE/ Fabricação]]-Tabela1[[#This Row],[QTE]]</f>
        <v>-1</v>
      </c>
      <c r="R874" s="18">
        <f>IFERROR(H874*((AA874*0.25)+(AC874*0.25)+(AD874*0.225)+(AE874*0.225)+(AF874*0.05)),"")</f>
        <v>0</v>
      </c>
      <c r="S874" s="18">
        <f>IFERROR(H874*AG874,"")</f>
        <v>0</v>
      </c>
      <c r="T874" s="19">
        <f>IFERROR(S874-H874,"")</f>
        <v>-886.6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>U874-C874</f>
        <v>-1</v>
      </c>
      <c r="Z874" s="20">
        <f>Tabela1[[#This Row],[PESO TOTAL]]-Tabela1[[#This Row],[Peso Expedido]]</f>
        <v>886.6</v>
      </c>
      <c r="AA874" s="17"/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5058</v>
      </c>
      <c r="B875" s="21" t="s">
        <v>5059</v>
      </c>
      <c r="C875" s="1">
        <v>1</v>
      </c>
      <c r="D875" s="1" t="s">
        <v>5060</v>
      </c>
      <c r="E875" s="7">
        <v>4530</v>
      </c>
      <c r="F875" s="7">
        <v>56</v>
      </c>
      <c r="G875" s="1">
        <v>643.4</v>
      </c>
      <c r="H875" s="34">
        <f>Tabela1[[#This Row],[PESO UNI]]*Tabela1[[#This Row],[QTE]]</f>
        <v>643.4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5119</v>
      </c>
      <c r="O875" s="12"/>
      <c r="P875" s="13"/>
      <c r="Q875" s="14">
        <f>Tabela1[[#This Row],[QTDE/ Fabricação]]-Tabela1[[#This Row],[QTE]]</f>
        <v>-1</v>
      </c>
      <c r="R875" s="18">
        <f>IFERROR(H875*((AA875*0.25)+(AC875*0.25)+(AD875*0.225)+(AE875*0.225)+(AF875*0.05)),"")</f>
        <v>0</v>
      </c>
      <c r="S875" s="18">
        <f>IFERROR(H875*AG875,"")</f>
        <v>0</v>
      </c>
      <c r="T875" s="19">
        <f>IFERROR(S875-H875,"")</f>
        <v>-643.4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>U875-C875</f>
        <v>-1</v>
      </c>
      <c r="Z875" s="20">
        <f>Tabela1[[#This Row],[PESO TOTAL]]-Tabela1[[#This Row],[Peso Expedido]]</f>
        <v>643.4</v>
      </c>
      <c r="AA875" s="17"/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5061</v>
      </c>
      <c r="B876" s="21" t="s">
        <v>5062</v>
      </c>
      <c r="C876" s="1">
        <v>1</v>
      </c>
      <c r="D876" s="1" t="s">
        <v>5063</v>
      </c>
      <c r="E876" s="7">
        <v>4531</v>
      </c>
      <c r="F876" s="7">
        <v>56</v>
      </c>
      <c r="G876" s="1">
        <v>368.4</v>
      </c>
      <c r="H876" s="34">
        <f>Tabela1[[#This Row],[PESO UNI]]*Tabela1[[#This Row],[QTE]]</f>
        <v>368.4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5119</v>
      </c>
      <c r="O876" s="12"/>
      <c r="P876" s="13"/>
      <c r="Q876" s="14">
        <f>Tabela1[[#This Row],[QTDE/ Fabricação]]-Tabela1[[#This Row],[QTE]]</f>
        <v>-1</v>
      </c>
      <c r="R876" s="18">
        <f>IFERROR(H876*((AA876*0.25)+(AC876*0.25)+(AD876*0.225)+(AE876*0.225)+(AF876*0.05)),"")</f>
        <v>0</v>
      </c>
      <c r="S876" s="18">
        <f>IFERROR(H876*AG876,"")</f>
        <v>0</v>
      </c>
      <c r="T876" s="19">
        <f>IFERROR(S876-H876,"")</f>
        <v>-368.4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>U876-C876</f>
        <v>-1</v>
      </c>
      <c r="Z876" s="20">
        <f>Tabela1[[#This Row],[PESO TOTAL]]-Tabela1[[#This Row],[Peso Expedido]]</f>
        <v>368.4</v>
      </c>
      <c r="AA876" s="17"/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5061</v>
      </c>
      <c r="B877" s="21" t="s">
        <v>5062</v>
      </c>
      <c r="C877" s="1">
        <v>1</v>
      </c>
      <c r="D877" s="1" t="s">
        <v>5064</v>
      </c>
      <c r="E877" s="7">
        <v>4532</v>
      </c>
      <c r="F877" s="7">
        <v>56</v>
      </c>
      <c r="G877" s="1">
        <v>340.7</v>
      </c>
      <c r="H877" s="34">
        <f>Tabela1[[#This Row],[PESO UNI]]*Tabela1[[#This Row],[QTE]]</f>
        <v>340.7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5119</v>
      </c>
      <c r="O877" s="12"/>
      <c r="P877" s="13"/>
      <c r="Q877" s="14">
        <f>Tabela1[[#This Row],[QTDE/ Fabricação]]-Tabela1[[#This Row],[QTE]]</f>
        <v>-1</v>
      </c>
      <c r="R877" s="18">
        <f>IFERROR(H877*((AA877*0.25)+(AC877*0.25)+(AD877*0.225)+(AE877*0.225)+(AF877*0.05)),"")</f>
        <v>0</v>
      </c>
      <c r="S877" s="18">
        <f>IFERROR(H877*AG877,"")</f>
        <v>0</v>
      </c>
      <c r="T877" s="19">
        <f>IFERROR(S877-H877,"")</f>
        <v>-340.7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>U877-C877</f>
        <v>-1</v>
      </c>
      <c r="Z877" s="20">
        <f>Tabela1[[#This Row],[PESO TOTAL]]-Tabela1[[#This Row],[Peso Expedido]]</f>
        <v>340.7</v>
      </c>
      <c r="AA877" s="17"/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5065</v>
      </c>
      <c r="B878" s="21" t="s">
        <v>5066</v>
      </c>
      <c r="C878" s="1">
        <v>4</v>
      </c>
      <c r="D878" s="1" t="s">
        <v>5067</v>
      </c>
      <c r="E878" s="7">
        <v>4533</v>
      </c>
      <c r="F878" s="7">
        <v>53</v>
      </c>
      <c r="G878" s="1">
        <v>6.2</v>
      </c>
      <c r="H878" s="34">
        <f>Tabela1[[#This Row],[PESO UNI]]*Tabela1[[#This Row],[QTE]]</f>
        <v>24.8</v>
      </c>
      <c r="I878" s="7">
        <v>0</v>
      </c>
      <c r="J878" s="8" t="s">
        <v>3045</v>
      </c>
      <c r="K878" s="8" t="s">
        <v>4320</v>
      </c>
      <c r="L878" s="9" t="s">
        <v>2984</v>
      </c>
      <c r="M878" s="10">
        <v>46251</v>
      </c>
      <c r="N878" s="8" t="s">
        <v>5119</v>
      </c>
      <c r="O878" s="12"/>
      <c r="P878" s="13"/>
      <c r="Q878" s="14">
        <f>Tabela1[[#This Row],[QTDE/ Fabricação]]-Tabela1[[#This Row],[QTE]]</f>
        <v>-4</v>
      </c>
      <c r="R878" s="18">
        <f>IFERROR(H878*((AA878*0.25)+(AC878*0.25)+(AD878*0.225)+(AE878*0.225)+(AF878*0.05)),"")</f>
        <v>0</v>
      </c>
      <c r="S878" s="18">
        <f>IFERROR(H878*AG878,"")</f>
        <v>0</v>
      </c>
      <c r="T878" s="19">
        <f>IFERROR(S878-H878,"")</f>
        <v>-24.8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>U878-C878</f>
        <v>-4</v>
      </c>
      <c r="Z878" s="20">
        <f>Tabela1[[#This Row],[PESO TOTAL]]-Tabela1[[#This Row],[Peso Expedido]]</f>
        <v>24.8</v>
      </c>
      <c r="AA878" s="17"/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5065</v>
      </c>
      <c r="B879" s="21" t="s">
        <v>5066</v>
      </c>
      <c r="C879" s="1">
        <v>1</v>
      </c>
      <c r="D879" s="1" t="s">
        <v>5070</v>
      </c>
      <c r="E879" s="7">
        <v>4534</v>
      </c>
      <c r="F879" s="7">
        <v>53</v>
      </c>
      <c r="G879" s="1">
        <v>312.39999999999998</v>
      </c>
      <c r="H879" s="34">
        <f>Tabela1[[#This Row],[PESO UNI]]*Tabela1[[#This Row],[QTE]]</f>
        <v>312.39999999999998</v>
      </c>
      <c r="I879" s="7">
        <v>0</v>
      </c>
      <c r="J879" s="8" t="s">
        <v>3045</v>
      </c>
      <c r="K879" s="8" t="s">
        <v>4320</v>
      </c>
      <c r="L879" s="9" t="s">
        <v>2984</v>
      </c>
      <c r="M879" s="10">
        <v>46251</v>
      </c>
      <c r="N879" s="8" t="s">
        <v>5119</v>
      </c>
      <c r="O879" s="12"/>
      <c r="P879" s="13"/>
      <c r="Q879" s="14">
        <f>Tabela1[[#This Row],[QTDE/ Fabricação]]-Tabela1[[#This Row],[QTE]]</f>
        <v>-1</v>
      </c>
      <c r="R879" s="18">
        <f>IFERROR(H879*((AA879*0.25)+(AC879*0.25)+(AD879*0.225)+(AE879*0.225)+(AF879*0.05)),"")</f>
        <v>0</v>
      </c>
      <c r="S879" s="18">
        <f>IFERROR(H879*AG879,"")</f>
        <v>0</v>
      </c>
      <c r="T879" s="19">
        <f>IFERROR(S879-H879,"")</f>
        <v>-312.39999999999998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>U879-C879</f>
        <v>-1</v>
      </c>
      <c r="Z879" s="20">
        <f>Tabela1[[#This Row],[PESO TOTAL]]-Tabela1[[#This Row],[Peso Expedido]]</f>
        <v>312.39999999999998</v>
      </c>
      <c r="AA879" s="17"/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5068</v>
      </c>
      <c r="B880" s="21" t="s">
        <v>5069</v>
      </c>
      <c r="C880" s="1">
        <v>2</v>
      </c>
      <c r="D880" s="1" t="s">
        <v>5071</v>
      </c>
      <c r="E880" s="7">
        <v>4535</v>
      </c>
      <c r="F880" s="7">
        <v>54</v>
      </c>
      <c r="G880" s="1">
        <v>5.4</v>
      </c>
      <c r="H880" s="34">
        <f>Tabela1[[#This Row],[PESO UNI]]*Tabela1[[#This Row],[QTE]]</f>
        <v>10.8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5119</v>
      </c>
      <c r="O880" s="12"/>
      <c r="P880" s="13"/>
      <c r="Q880" s="14">
        <f>Tabela1[[#This Row],[QTDE/ Fabricação]]-Tabela1[[#This Row],[QTE]]</f>
        <v>-2</v>
      </c>
      <c r="R880" s="18">
        <f>IFERROR(H880*((AA880*0.25)+(AC880*0.25)+(AD880*0.225)+(AE880*0.225)+(AF880*0.05)),"")</f>
        <v>0</v>
      </c>
      <c r="S880" s="18">
        <f>IFERROR(H880*AG880,"")</f>
        <v>0</v>
      </c>
      <c r="T880" s="19">
        <f>IFERROR(S880-H880,"")</f>
        <v>-10.8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>U880-C880</f>
        <v>-2</v>
      </c>
      <c r="Z880" s="20">
        <f>Tabela1[[#This Row],[PESO TOTAL]]-Tabela1[[#This Row],[Peso Expedido]]</f>
        <v>10.8</v>
      </c>
      <c r="AA880" s="17"/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5068</v>
      </c>
      <c r="B881" s="21" t="s">
        <v>5069</v>
      </c>
      <c r="C881" s="1">
        <v>2</v>
      </c>
      <c r="D881" s="1" t="s">
        <v>5072</v>
      </c>
      <c r="E881" s="7">
        <v>4536</v>
      </c>
      <c r="F881" s="7">
        <v>54</v>
      </c>
      <c r="G881" s="1">
        <v>4.7</v>
      </c>
      <c r="H881" s="34">
        <f>Tabela1[[#This Row],[PESO UNI]]*Tabela1[[#This Row],[QTE]]</f>
        <v>9.4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5119</v>
      </c>
      <c r="O881" s="12"/>
      <c r="P881" s="13"/>
      <c r="Q881" s="14">
        <f>Tabela1[[#This Row],[QTDE/ Fabricação]]-Tabela1[[#This Row],[QTE]]</f>
        <v>-2</v>
      </c>
      <c r="R881" s="18">
        <f>IFERROR(H881*((AA881*0.25)+(AC881*0.25)+(AD881*0.225)+(AE881*0.225)+(AF881*0.05)),"")</f>
        <v>0</v>
      </c>
      <c r="S881" s="18">
        <f>IFERROR(H881*AG881,"")</f>
        <v>0</v>
      </c>
      <c r="T881" s="19">
        <f>IFERROR(S881-H881,"")</f>
        <v>-9.4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>U881-C881</f>
        <v>-2</v>
      </c>
      <c r="Z881" s="20">
        <f>Tabela1[[#This Row],[PESO TOTAL]]-Tabela1[[#This Row],[Peso Expedido]]</f>
        <v>9.4</v>
      </c>
      <c r="AA881" s="17"/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5068</v>
      </c>
      <c r="B882" s="21" t="s">
        <v>5069</v>
      </c>
      <c r="C882" s="1">
        <v>1</v>
      </c>
      <c r="D882" s="1" t="s">
        <v>5073</v>
      </c>
      <c r="E882" s="7">
        <v>4537</v>
      </c>
      <c r="F882" s="7">
        <v>54</v>
      </c>
      <c r="G882" s="1">
        <v>211.4</v>
      </c>
      <c r="H882" s="34">
        <f>Tabela1[[#This Row],[PESO UNI]]*Tabela1[[#This Row],[QTE]]</f>
        <v>211.4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5119</v>
      </c>
      <c r="O882" s="12"/>
      <c r="P882" s="13"/>
      <c r="Q882" s="14">
        <f>Tabela1[[#This Row],[QTDE/ Fabricação]]-Tabela1[[#This Row],[QTE]]</f>
        <v>-1</v>
      </c>
      <c r="R882" s="18">
        <f>IFERROR(H882*((AA882*0.25)+(AC882*0.25)+(AD882*0.225)+(AE882*0.225)+(AF882*0.05)),"")</f>
        <v>0</v>
      </c>
      <c r="S882" s="18">
        <f>IFERROR(H882*AG882,"")</f>
        <v>0</v>
      </c>
      <c r="T882" s="19">
        <f>IFERROR(S882-H882,"")</f>
        <v>-211.4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>U882-C882</f>
        <v>-1</v>
      </c>
      <c r="Z882" s="20">
        <f>Tabela1[[#This Row],[PESO TOTAL]]-Tabela1[[#This Row],[Peso Expedido]]</f>
        <v>211.4</v>
      </c>
      <c r="AA882" s="17"/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5074</v>
      </c>
      <c r="B883" s="21" t="s">
        <v>5075</v>
      </c>
      <c r="C883" s="1">
        <v>1</v>
      </c>
      <c r="D883" s="1" t="s">
        <v>5076</v>
      </c>
      <c r="E883" s="7">
        <v>4538</v>
      </c>
      <c r="F883" s="7">
        <v>19</v>
      </c>
      <c r="G883" s="1">
        <v>593.20000000000005</v>
      </c>
      <c r="H883" s="34">
        <f>Tabela1[[#This Row],[PESO UNI]]*Tabela1[[#This Row],[QTE]]</f>
        <v>593.20000000000005</v>
      </c>
      <c r="I883" s="7">
        <v>0</v>
      </c>
      <c r="J883" s="8" t="s">
        <v>4834</v>
      </c>
      <c r="K883" s="8" t="s">
        <v>4320</v>
      </c>
      <c r="L883" s="9" t="s">
        <v>3291</v>
      </c>
      <c r="M883" s="10">
        <v>46252</v>
      </c>
      <c r="N883" s="8" t="s">
        <v>38</v>
      </c>
      <c r="O883" s="12"/>
      <c r="P883" s="13"/>
      <c r="Q883" s="14">
        <f>Tabela1[[#This Row],[QTDE/ Fabricação]]-Tabela1[[#This Row],[QTE]]</f>
        <v>-1</v>
      </c>
      <c r="R883" s="18">
        <f>IFERROR(H883*((AA883*0.25)+(AC883*0.25)+(AD883*0.225)+(AE883*0.225)+(AF883*0.05)),"")</f>
        <v>0</v>
      </c>
      <c r="S883" s="18">
        <f>IFERROR(H883*AG883,"")</f>
        <v>0</v>
      </c>
      <c r="T883" s="19">
        <f>IFERROR(S883-H883,"")</f>
        <v>-593.20000000000005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>U883-C883</f>
        <v>-1</v>
      </c>
      <c r="Z883" s="20">
        <f>Tabela1[[#This Row],[PESO TOTAL]]-Tabela1[[#This Row],[Peso Expedido]]</f>
        <v>593.20000000000005</v>
      </c>
      <c r="AA883" s="17"/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5077</v>
      </c>
      <c r="B884" s="21" t="s">
        <v>5078</v>
      </c>
      <c r="C884" s="1">
        <v>1</v>
      </c>
      <c r="D884" s="1" t="s">
        <v>5079</v>
      </c>
      <c r="E884" s="7">
        <v>4539</v>
      </c>
      <c r="F884" s="7">
        <v>19</v>
      </c>
      <c r="G884" s="1">
        <v>720.7</v>
      </c>
      <c r="H884" s="34">
        <f>Tabela1[[#This Row],[PESO UNI]]*Tabela1[[#This Row],[QTE]]</f>
        <v>720.7</v>
      </c>
      <c r="I884" s="7">
        <v>0</v>
      </c>
      <c r="J884" s="8" t="s">
        <v>4834</v>
      </c>
      <c r="K884" s="8" t="s">
        <v>4320</v>
      </c>
      <c r="L884" s="9" t="s">
        <v>3291</v>
      </c>
      <c r="M884" s="10">
        <v>46252</v>
      </c>
      <c r="N884" s="8" t="s">
        <v>38</v>
      </c>
      <c r="O884" s="12"/>
      <c r="P884" s="13"/>
      <c r="Q884" s="14">
        <f>Tabela1[[#This Row],[QTDE/ Fabricação]]-Tabela1[[#This Row],[QTE]]</f>
        <v>-1</v>
      </c>
      <c r="R884" s="18">
        <f>IFERROR(H884*((AA884*0.25)+(AC884*0.25)+(AD884*0.225)+(AE884*0.225)+(AF884*0.05)),"")</f>
        <v>0</v>
      </c>
      <c r="S884" s="18">
        <f>IFERROR(H884*AG884,"")</f>
        <v>0</v>
      </c>
      <c r="T884" s="19">
        <f>IFERROR(S884-H884,"")</f>
        <v>-720.7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>U884-C884</f>
        <v>-1</v>
      </c>
      <c r="Z884" s="20">
        <f>Tabela1[[#This Row],[PESO TOTAL]]-Tabela1[[#This Row],[Peso Expedido]]</f>
        <v>720.7</v>
      </c>
      <c r="AA884" s="17"/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5080</v>
      </c>
      <c r="B885" s="21" t="s">
        <v>5081</v>
      </c>
      <c r="C885" s="1">
        <v>1</v>
      </c>
      <c r="D885" s="1" t="s">
        <v>5082</v>
      </c>
      <c r="E885" s="7">
        <v>4540</v>
      </c>
      <c r="F885" s="7">
        <v>19</v>
      </c>
      <c r="G885" s="1">
        <v>355.4</v>
      </c>
      <c r="H885" s="34">
        <f>Tabela1[[#This Row],[PESO UNI]]*Tabela1[[#This Row],[QTE]]</f>
        <v>355.4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>IFERROR(H885*((AA885*0.25)+(AC885*0.25)+(AD885*0.225)+(AE885*0.225)+(AF885*0.05)),"")</f>
        <v>0</v>
      </c>
      <c r="S885" s="18">
        <f>IFERROR(H885*AG885,"")</f>
        <v>0</v>
      </c>
      <c r="T885" s="19">
        <f>IFERROR(S885-H885,"")</f>
        <v>-355.4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>U885-C885</f>
        <v>-1</v>
      </c>
      <c r="Z885" s="20">
        <f>Tabela1[[#This Row],[PESO TOTAL]]-Tabela1[[#This Row],[Peso Expedido]]</f>
        <v>355.4</v>
      </c>
      <c r="AA885" s="17"/>
      <c r="AB885" s="33"/>
      <c r="AC885" s="33"/>
      <c r="AD885" s="33"/>
      <c r="AE885" s="33"/>
      <c r="AF885" s="33"/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5083</v>
      </c>
      <c r="B886" s="21" t="s">
        <v>5084</v>
      </c>
      <c r="C886" s="1">
        <v>1</v>
      </c>
      <c r="D886" s="1" t="s">
        <v>5085</v>
      </c>
      <c r="E886" s="7">
        <v>4541</v>
      </c>
      <c r="F886" s="7">
        <v>19</v>
      </c>
      <c r="G886" s="1">
        <v>497.8</v>
      </c>
      <c r="H886" s="34">
        <f>Tabela1[[#This Row],[PESO UNI]]*Tabela1[[#This Row],[QTE]]</f>
        <v>497.8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>IFERROR(H886*((AA886*0.25)+(AC886*0.25)+(AD886*0.225)+(AE886*0.225)+(AF886*0.05)),"")</f>
        <v>0</v>
      </c>
      <c r="S886" s="18">
        <f>IFERROR(H886*AG886,"")</f>
        <v>0</v>
      </c>
      <c r="T886" s="19">
        <f>IFERROR(S886-H886,"")</f>
        <v>-497.8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>U886-C886</f>
        <v>-1</v>
      </c>
      <c r="Z886" s="20">
        <f>Tabela1[[#This Row],[PESO TOTAL]]-Tabela1[[#This Row],[Peso Expedido]]</f>
        <v>497.8</v>
      </c>
      <c r="AA886" s="17"/>
      <c r="AB886" s="33"/>
      <c r="AC886" s="33"/>
      <c r="AD886" s="33"/>
      <c r="AE886" s="33"/>
      <c r="AF886" s="33"/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5086</v>
      </c>
      <c r="B887" s="21" t="s">
        <v>5087</v>
      </c>
      <c r="C887" s="1">
        <v>1</v>
      </c>
      <c r="D887" s="1" t="s">
        <v>5088</v>
      </c>
      <c r="E887" s="7">
        <v>4542</v>
      </c>
      <c r="F887" s="7">
        <v>19</v>
      </c>
      <c r="G887" s="1">
        <v>484.8</v>
      </c>
      <c r="H887" s="34">
        <f>Tabela1[[#This Row],[PESO UNI]]*Tabela1[[#This Row],[QTE]]</f>
        <v>484.8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>IFERROR(H887*((AA887*0.25)+(AC887*0.25)+(AD887*0.225)+(AE887*0.225)+(AF887*0.05)),"")</f>
        <v>0</v>
      </c>
      <c r="S887" s="18">
        <f>IFERROR(H887*AG887,"")</f>
        <v>0</v>
      </c>
      <c r="T887" s="19">
        <f>IFERROR(S887-H887,"")</f>
        <v>-484.8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>U887-C887</f>
        <v>-1</v>
      </c>
      <c r="Z887" s="20">
        <f>Tabela1[[#This Row],[PESO TOTAL]]-Tabela1[[#This Row],[Peso Expedido]]</f>
        <v>484.8</v>
      </c>
      <c r="AA887" s="17"/>
      <c r="AB887" s="33"/>
      <c r="AC887" s="33"/>
      <c r="AD887" s="33"/>
      <c r="AE887" s="33"/>
      <c r="AF887" s="33"/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5089</v>
      </c>
      <c r="B888" s="21" t="s">
        <v>5090</v>
      </c>
      <c r="C888" s="1">
        <v>1</v>
      </c>
      <c r="D888" s="1" t="s">
        <v>5091</v>
      </c>
      <c r="E888" s="7">
        <v>4543</v>
      </c>
      <c r="F888" s="7">
        <v>19</v>
      </c>
      <c r="G888" s="1">
        <v>941</v>
      </c>
      <c r="H888" s="34">
        <f>Tabela1[[#This Row],[PESO UNI]]*Tabela1[[#This Row],[QTE]]</f>
        <v>941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>IFERROR(H888*((AA888*0.25)+(AC888*0.25)+(AD888*0.225)+(AE888*0.225)+(AF888*0.05)),"")</f>
        <v>0</v>
      </c>
      <c r="S888" s="18">
        <f>IFERROR(H888*AG888,"")</f>
        <v>0</v>
      </c>
      <c r="T888" s="19">
        <f>IFERROR(S888-H888,"")</f>
        <v>-941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>U888-C888</f>
        <v>-1</v>
      </c>
      <c r="Z888" s="20">
        <f>Tabela1[[#This Row],[PESO TOTAL]]-Tabela1[[#This Row],[Peso Expedido]]</f>
        <v>941</v>
      </c>
      <c r="AA888" s="17"/>
      <c r="AB888" s="33"/>
      <c r="AC888" s="33"/>
      <c r="AD888" s="33"/>
      <c r="AE888" s="33"/>
      <c r="AF888" s="33"/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5092</v>
      </c>
      <c r="B889" s="21" t="s">
        <v>5093</v>
      </c>
      <c r="C889" s="1">
        <v>1</v>
      </c>
      <c r="D889" s="1" t="s">
        <v>5094</v>
      </c>
      <c r="E889" s="7">
        <v>4544</v>
      </c>
      <c r="F889" s="7">
        <v>19</v>
      </c>
      <c r="G889" s="1">
        <v>239</v>
      </c>
      <c r="H889" s="34">
        <f>Tabela1[[#This Row],[PESO UNI]]*Tabela1[[#This Row],[QTE]]</f>
        <v>239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>IFERROR(H889*((AA889*0.25)+(AC889*0.25)+(AD889*0.225)+(AE889*0.225)+(AF889*0.05)),"")</f>
        <v>0</v>
      </c>
      <c r="S889" s="18">
        <f>IFERROR(H889*AG889,"")</f>
        <v>0</v>
      </c>
      <c r="T889" s="19">
        <f>IFERROR(S889-H889,"")</f>
        <v>-239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>U889-C889</f>
        <v>-1</v>
      </c>
      <c r="Z889" s="20">
        <f>Tabela1[[#This Row],[PESO TOTAL]]-Tabela1[[#This Row],[Peso Expedido]]</f>
        <v>239</v>
      </c>
      <c r="AA889" s="17"/>
      <c r="AB889" s="33"/>
      <c r="AC889" s="33"/>
      <c r="AD889" s="33"/>
      <c r="AE889" s="33"/>
      <c r="AF889" s="33"/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5095</v>
      </c>
      <c r="B890" s="21" t="s">
        <v>5096</v>
      </c>
      <c r="C890" s="1">
        <v>1</v>
      </c>
      <c r="D890" s="1" t="s">
        <v>5097</v>
      </c>
      <c r="E890" s="7">
        <v>4545</v>
      </c>
      <c r="F890" s="7">
        <v>57</v>
      </c>
      <c r="G890" s="1">
        <v>763.4</v>
      </c>
      <c r="H890" s="34">
        <f>Tabela1[[#This Row],[PESO UNI]]*Tabela1[[#This Row],[QTE]]</f>
        <v>763.4</v>
      </c>
      <c r="I890" s="7">
        <v>0</v>
      </c>
      <c r="J890" s="8" t="s">
        <v>3045</v>
      </c>
      <c r="K890" s="8" t="s">
        <v>4320</v>
      </c>
      <c r="L890" s="9" t="s">
        <v>2984</v>
      </c>
      <c r="M890" s="10">
        <v>46251</v>
      </c>
      <c r="N890" s="8" t="s">
        <v>5119</v>
      </c>
      <c r="O890" s="12"/>
      <c r="P890" s="13"/>
      <c r="Q890" s="14">
        <f>Tabela1[[#This Row],[QTDE/ Fabricação]]-Tabela1[[#This Row],[QTE]]</f>
        <v>-1</v>
      </c>
      <c r="R890" s="18">
        <f>IFERROR(H890*((AA890*0.25)+(AC890*0.25)+(AD890*0.225)+(AE890*0.225)+(AF890*0.05)),"")</f>
        <v>0</v>
      </c>
      <c r="S890" s="18">
        <f>IFERROR(H890*AG890,"")</f>
        <v>0</v>
      </c>
      <c r="T890" s="19">
        <f>IFERROR(S890-H890,"")</f>
        <v>-763.4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>U890-C890</f>
        <v>-1</v>
      </c>
      <c r="Z890" s="20">
        <f>Tabela1[[#This Row],[PESO TOTAL]]-Tabela1[[#This Row],[Peso Expedido]]</f>
        <v>763.4</v>
      </c>
      <c r="AA890" s="17"/>
      <c r="AB890" s="33"/>
      <c r="AC890" s="33"/>
      <c r="AD890" s="33"/>
      <c r="AE890" s="33"/>
      <c r="AF890" s="33"/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5098</v>
      </c>
      <c r="B891" s="21" t="s">
        <v>5099</v>
      </c>
      <c r="C891" s="1">
        <v>1</v>
      </c>
      <c r="D891" s="1" t="s">
        <v>5100</v>
      </c>
      <c r="E891" s="7">
        <v>4546</v>
      </c>
      <c r="F891" s="7">
        <v>57</v>
      </c>
      <c r="G891" s="1">
        <v>508.5</v>
      </c>
      <c r="H891" s="34">
        <f>Tabela1[[#This Row],[PESO UNI]]*Tabela1[[#This Row],[QTE]]</f>
        <v>508.5</v>
      </c>
      <c r="I891" s="7">
        <v>0</v>
      </c>
      <c r="J891" s="8" t="s">
        <v>3045</v>
      </c>
      <c r="K891" s="8" t="s">
        <v>4320</v>
      </c>
      <c r="L891" s="9" t="s">
        <v>2984</v>
      </c>
      <c r="M891" s="10">
        <v>46251</v>
      </c>
      <c r="N891" s="8" t="s">
        <v>5119</v>
      </c>
      <c r="O891" s="12"/>
      <c r="P891" s="13"/>
      <c r="Q891" s="14">
        <f>Tabela1[[#This Row],[QTDE/ Fabricação]]-Tabela1[[#This Row],[QTE]]</f>
        <v>-1</v>
      </c>
      <c r="R891" s="18">
        <f>IFERROR(H891*((AA891*0.25)+(AC891*0.25)+(AD891*0.225)+(AE891*0.225)+(AF891*0.05)),"")</f>
        <v>0</v>
      </c>
      <c r="S891" s="18">
        <f>IFERROR(H891*AG891,"")</f>
        <v>0</v>
      </c>
      <c r="T891" s="19">
        <f>IFERROR(S891-H891,"")</f>
        <v>-508.5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>U891-C891</f>
        <v>-1</v>
      </c>
      <c r="Z891" s="20">
        <f>Tabela1[[#This Row],[PESO TOTAL]]-Tabela1[[#This Row],[Peso Expedido]]</f>
        <v>508.5</v>
      </c>
      <c r="AA891" s="17"/>
      <c r="AB891" s="33"/>
      <c r="AC891" s="33"/>
      <c r="AD891" s="33"/>
      <c r="AE891" s="33"/>
      <c r="AF891" s="33"/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5101</v>
      </c>
      <c r="B892" s="21" t="s">
        <v>5102</v>
      </c>
      <c r="C892" s="1">
        <v>1</v>
      </c>
      <c r="D892" s="1" t="s">
        <v>5103</v>
      </c>
      <c r="E892" s="7">
        <v>4547</v>
      </c>
      <c r="F892" s="7">
        <v>57</v>
      </c>
      <c r="G892" s="1">
        <v>441.2</v>
      </c>
      <c r="H892" s="34">
        <f>Tabela1[[#This Row],[PESO UNI]]*Tabela1[[#This Row],[QTE]]</f>
        <v>441.2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5119</v>
      </c>
      <c r="O892" s="12"/>
      <c r="P892" s="13"/>
      <c r="Q892" s="14">
        <f>Tabela1[[#This Row],[QTDE/ Fabricação]]-Tabela1[[#This Row],[QTE]]</f>
        <v>-1</v>
      </c>
      <c r="R892" s="18">
        <f>IFERROR(H892*((AA892*0.25)+(AC892*0.25)+(AD892*0.225)+(AE892*0.225)+(AF892*0.05)),"")</f>
        <v>0</v>
      </c>
      <c r="S892" s="18">
        <f>IFERROR(H892*AG892,"")</f>
        <v>0</v>
      </c>
      <c r="T892" s="19">
        <f>IFERROR(S892-H892,"")</f>
        <v>-441.2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>U892-C892</f>
        <v>-1</v>
      </c>
      <c r="Z892" s="20">
        <f>Tabela1[[#This Row],[PESO TOTAL]]-Tabela1[[#This Row],[Peso Expedido]]</f>
        <v>441.2</v>
      </c>
      <c r="AA892" s="17"/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5104</v>
      </c>
      <c r="B893" s="21" t="s">
        <v>5105</v>
      </c>
      <c r="C893" s="1">
        <v>1</v>
      </c>
      <c r="D893" s="1" t="s">
        <v>5106</v>
      </c>
      <c r="E893" s="7">
        <v>4548</v>
      </c>
      <c r="F893" s="7">
        <v>57</v>
      </c>
      <c r="G893" s="1">
        <v>725.7</v>
      </c>
      <c r="H893" s="34">
        <f>Tabela1[[#This Row],[PESO UNI]]*Tabela1[[#This Row],[QTE]]</f>
        <v>725.7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5119</v>
      </c>
      <c r="O893" s="12"/>
      <c r="P893" s="13"/>
      <c r="Q893" s="14">
        <f>Tabela1[[#This Row],[QTDE/ Fabricação]]-Tabela1[[#This Row],[QTE]]</f>
        <v>-1</v>
      </c>
      <c r="R893" s="18">
        <f>IFERROR(H893*((AA893*0.25)+(AC893*0.25)+(AD893*0.225)+(AE893*0.225)+(AF893*0.05)),"")</f>
        <v>0</v>
      </c>
      <c r="S893" s="18">
        <f>IFERROR(H893*AG893,"")</f>
        <v>0</v>
      </c>
      <c r="T893" s="19">
        <f>IFERROR(S893-H893,"")</f>
        <v>-725.7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>U893-C893</f>
        <v>-1</v>
      </c>
      <c r="Z893" s="20">
        <f>Tabela1[[#This Row],[PESO TOTAL]]-Tabela1[[#This Row],[Peso Expedido]]</f>
        <v>725.7</v>
      </c>
      <c r="AA893" s="17"/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5107</v>
      </c>
      <c r="B894" s="21" t="s">
        <v>5108</v>
      </c>
      <c r="C894" s="1">
        <v>1</v>
      </c>
      <c r="D894" s="1" t="s">
        <v>5109</v>
      </c>
      <c r="E894" s="7">
        <v>4549</v>
      </c>
      <c r="F894" s="7">
        <v>57</v>
      </c>
      <c r="G894" s="1">
        <v>350.2</v>
      </c>
      <c r="H894" s="34">
        <f>Tabela1[[#This Row],[PESO UNI]]*Tabela1[[#This Row],[QTE]]</f>
        <v>350.2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5119</v>
      </c>
      <c r="O894" s="12"/>
      <c r="P894" s="13"/>
      <c r="Q894" s="14">
        <f>Tabela1[[#This Row],[QTDE/ Fabricação]]-Tabela1[[#This Row],[QTE]]</f>
        <v>-1</v>
      </c>
      <c r="R894" s="18">
        <f>IFERROR(H894*((AA894*0.25)+(AC894*0.25)+(AD894*0.225)+(AE894*0.225)+(AF894*0.05)),"")</f>
        <v>0</v>
      </c>
      <c r="S894" s="18">
        <f>IFERROR(H894*AG894,"")</f>
        <v>0</v>
      </c>
      <c r="T894" s="19">
        <f>IFERROR(S894-H894,"")</f>
        <v>-350.2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>U894-C894</f>
        <v>-1</v>
      </c>
      <c r="Z894" s="20">
        <f>Tabela1[[#This Row],[PESO TOTAL]]-Tabela1[[#This Row],[Peso Expedido]]</f>
        <v>350.2</v>
      </c>
      <c r="AA894" s="17"/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5107</v>
      </c>
      <c r="B895" s="21" t="s">
        <v>5108</v>
      </c>
      <c r="C895" s="1">
        <v>3</v>
      </c>
      <c r="D895" s="1" t="s">
        <v>5110</v>
      </c>
      <c r="E895" s="7">
        <v>4550</v>
      </c>
      <c r="F895" s="7">
        <v>57</v>
      </c>
      <c r="G895" s="1">
        <v>3.1</v>
      </c>
      <c r="H895" s="34">
        <f>Tabela1[[#This Row],[PESO UNI]]*Tabela1[[#This Row],[QTE]]</f>
        <v>9.3000000000000007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5119</v>
      </c>
      <c r="O895" s="12"/>
      <c r="P895" s="13"/>
      <c r="Q895" s="14">
        <f>Tabela1[[#This Row],[QTDE/ Fabricação]]-Tabela1[[#This Row],[QTE]]</f>
        <v>-3</v>
      </c>
      <c r="R895" s="18">
        <f>IFERROR(H895*((AA895*0.25)+(AC895*0.25)+(AD895*0.225)+(AE895*0.225)+(AF895*0.05)),"")</f>
        <v>0</v>
      </c>
      <c r="S895" s="18">
        <f>IFERROR(H895*AG895,"")</f>
        <v>0</v>
      </c>
      <c r="T895" s="19">
        <f>IFERROR(S895-H895,"")</f>
        <v>-9.3000000000000007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>U895-C895</f>
        <v>-3</v>
      </c>
      <c r="Z895" s="20">
        <f>Tabela1[[#This Row],[PESO TOTAL]]-Tabela1[[#This Row],[Peso Expedido]]</f>
        <v>9.3000000000000007</v>
      </c>
      <c r="AA895" s="17"/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5111</v>
      </c>
      <c r="B896" s="21" t="s">
        <v>5112</v>
      </c>
      <c r="C896" s="1">
        <v>1</v>
      </c>
      <c r="D896" s="1" t="s">
        <v>5113</v>
      </c>
      <c r="E896" s="7">
        <v>4551</v>
      </c>
      <c r="F896" s="7">
        <v>57</v>
      </c>
      <c r="G896" s="1">
        <v>33</v>
      </c>
      <c r="H896" s="34">
        <f>Tabela1[[#This Row],[PESO UNI]]*Tabela1[[#This Row],[QTE]]</f>
        <v>33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5119</v>
      </c>
      <c r="O896" s="12"/>
      <c r="P896" s="13"/>
      <c r="Q896" s="14">
        <f>Tabela1[[#This Row],[QTDE/ Fabricação]]-Tabela1[[#This Row],[QTE]]</f>
        <v>-1</v>
      </c>
      <c r="R896" s="18">
        <f>IFERROR(H896*((AA896*0.25)+(AC896*0.25)+(AD896*0.225)+(AE896*0.225)+(AF896*0.05)),"")</f>
        <v>0</v>
      </c>
      <c r="S896" s="18">
        <f>IFERROR(H896*AG896,"")</f>
        <v>0</v>
      </c>
      <c r="T896" s="19">
        <f>IFERROR(S896-H896,"")</f>
        <v>-33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>U896-C896</f>
        <v>-1</v>
      </c>
      <c r="Z896" s="20">
        <f>Tabela1[[#This Row],[PESO TOTAL]]-Tabela1[[#This Row],[Peso Expedido]]</f>
        <v>33</v>
      </c>
      <c r="AA896" s="17"/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5114</v>
      </c>
      <c r="B897" s="21" t="s">
        <v>5115</v>
      </c>
      <c r="C897" s="1">
        <v>1</v>
      </c>
      <c r="D897" s="1" t="s">
        <v>5116</v>
      </c>
      <c r="E897" s="7">
        <v>4552</v>
      </c>
      <c r="F897" s="7">
        <v>57</v>
      </c>
      <c r="G897" s="1">
        <v>166.8</v>
      </c>
      <c r="H897" s="34">
        <f>Tabela1[[#This Row],[PESO UNI]]*Tabela1[[#This Row],[QTE]]</f>
        <v>166.8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5119</v>
      </c>
      <c r="O897" s="12"/>
      <c r="P897" s="13"/>
      <c r="Q897" s="14">
        <f>Tabela1[[#This Row],[QTDE/ Fabricação]]-Tabela1[[#This Row],[QTE]]</f>
        <v>-1</v>
      </c>
      <c r="R897" s="18">
        <f>IFERROR(H897*((AA897*0.25)+(AC897*0.25)+(AD897*0.225)+(AE897*0.225)+(AF897*0.05)),"")</f>
        <v>0</v>
      </c>
      <c r="S897" s="18">
        <f>IFERROR(H897*AG897,"")</f>
        <v>0</v>
      </c>
      <c r="T897" s="19">
        <f>IFERROR(S897-H897,"")</f>
        <v>-166.8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>U897-C897</f>
        <v>-1</v>
      </c>
      <c r="Z897" s="20">
        <f>Tabela1[[#This Row],[PESO TOTAL]]-Tabela1[[#This Row],[Peso Expedido]]</f>
        <v>166.8</v>
      </c>
      <c r="AA897" s="17"/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5114</v>
      </c>
      <c r="B898" s="21" t="s">
        <v>5115</v>
      </c>
      <c r="C898" s="1">
        <v>1</v>
      </c>
      <c r="D898" s="1" t="s">
        <v>5117</v>
      </c>
      <c r="E898" s="7">
        <v>4553</v>
      </c>
      <c r="F898" s="7">
        <v>57</v>
      </c>
      <c r="G898" s="1">
        <v>484.2</v>
      </c>
      <c r="H898" s="34">
        <f>Tabela1[[#This Row],[PESO UNI]]*Tabela1[[#This Row],[QTE]]</f>
        <v>484.2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5119</v>
      </c>
      <c r="O898" s="12"/>
      <c r="P898" s="13"/>
      <c r="Q898" s="14">
        <f>Tabela1[[#This Row],[QTDE/ Fabricação]]-Tabela1[[#This Row],[QTE]]</f>
        <v>-1</v>
      </c>
      <c r="R898" s="18">
        <f>IFERROR(H898*((AA898*0.25)+(AC898*0.25)+(AD898*0.225)+(AE898*0.225)+(AF898*0.05)),"")</f>
        <v>0</v>
      </c>
      <c r="S898" s="18">
        <f>IFERROR(H898*AG898,"")</f>
        <v>0</v>
      </c>
      <c r="T898" s="19">
        <f>IFERROR(S898-H898,"")</f>
        <v>-484.2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>U898-C898</f>
        <v>-1</v>
      </c>
      <c r="Z898" s="20">
        <f>Tabela1[[#This Row],[PESO TOTAL]]-Tabela1[[#This Row],[Peso Expedido]]</f>
        <v>484.2</v>
      </c>
      <c r="AA898" s="17"/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5114</v>
      </c>
      <c r="B899" s="21" t="s">
        <v>5115</v>
      </c>
      <c r="C899" s="1">
        <v>1</v>
      </c>
      <c r="D899" s="1" t="s">
        <v>5118</v>
      </c>
      <c r="E899" s="7">
        <v>4554</v>
      </c>
      <c r="F899" s="7">
        <v>57</v>
      </c>
      <c r="G899" s="1">
        <v>268.39999999999998</v>
      </c>
      <c r="H899" s="34">
        <f>Tabela1[[#This Row],[PESO UNI]]*Tabela1[[#This Row],[QTE]]</f>
        <v>268.39999999999998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5119</v>
      </c>
      <c r="O899" s="12"/>
      <c r="P899" s="13"/>
      <c r="Q899" s="14">
        <f>Tabela1[[#This Row],[QTDE/ Fabricação]]-Tabela1[[#This Row],[QTE]]</f>
        <v>-1</v>
      </c>
      <c r="R899" s="18">
        <f>IFERROR(H899*((AA899*0.25)+(AC899*0.25)+(AD899*0.225)+(AE899*0.225)+(AF899*0.05)),"")</f>
        <v>0</v>
      </c>
      <c r="S899" s="18">
        <f>IFERROR(H899*AG899,"")</f>
        <v>0</v>
      </c>
      <c r="T899" s="19">
        <f>IFERROR(S899-H899,"")</f>
        <v>-268.39999999999998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>U899-C899</f>
        <v>-1</v>
      </c>
      <c r="Z899" s="20">
        <f>Tabela1[[#This Row],[PESO TOTAL]]-Tabela1[[#This Row],[Peso Expedido]]</f>
        <v>268.39999999999998</v>
      </c>
      <c r="AA899" s="17"/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5120</v>
      </c>
      <c r="B900" s="21" t="s">
        <v>5121</v>
      </c>
      <c r="C900" s="1">
        <v>1</v>
      </c>
      <c r="D900" s="1" t="s">
        <v>5122</v>
      </c>
      <c r="E900" s="7">
        <v>4555</v>
      </c>
      <c r="F900" s="7">
        <v>58</v>
      </c>
      <c r="G900" s="1">
        <v>84.46</v>
      </c>
      <c r="H900" s="34">
        <f>Tabela1[[#This Row],[PESO UNI]]*Tabela1[[#This Row],[QTE]]</f>
        <v>84.46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5119</v>
      </c>
      <c r="O900" s="12"/>
      <c r="P900" s="13"/>
      <c r="Q900" s="14">
        <f>Tabela1[[#This Row],[QTDE/ Fabricação]]-Tabela1[[#This Row],[QTE]]</f>
        <v>-1</v>
      </c>
      <c r="R900" s="18">
        <f>IFERROR(H900*((AA900*0.25)+(AC900*0.25)+(AD900*0.225)+(AE900*0.225)+(AF900*0.05)),"")</f>
        <v>0</v>
      </c>
      <c r="S900" s="18">
        <f>IFERROR(H900*AG900,"")</f>
        <v>0</v>
      </c>
      <c r="T900" s="19">
        <f>IFERROR(S900-H900,"")</f>
        <v>-84.46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>U900-C900</f>
        <v>-1</v>
      </c>
      <c r="Z900" s="20">
        <f>Tabela1[[#This Row],[PESO TOTAL]]-Tabela1[[#This Row],[Peso Expedido]]</f>
        <v>84.46</v>
      </c>
      <c r="AA900" s="17"/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5120</v>
      </c>
      <c r="B901" s="21" t="s">
        <v>5121</v>
      </c>
      <c r="C901" s="1">
        <v>2</v>
      </c>
      <c r="D901" s="1" t="s">
        <v>5123</v>
      </c>
      <c r="E901" s="7">
        <v>4556</v>
      </c>
      <c r="F901" s="7">
        <v>58</v>
      </c>
      <c r="G901" s="1">
        <v>69.61</v>
      </c>
      <c r="H901" s="34">
        <f>Tabela1[[#This Row],[PESO UNI]]*Tabela1[[#This Row],[QTE]]</f>
        <v>139.22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5119</v>
      </c>
      <c r="O901" s="12"/>
      <c r="P901" s="13"/>
      <c r="Q901" s="14">
        <f>Tabela1[[#This Row],[QTDE/ Fabricação]]-Tabela1[[#This Row],[QTE]]</f>
        <v>-2</v>
      </c>
      <c r="R901" s="18">
        <f>IFERROR(H901*((AA901*0.25)+(AC901*0.25)+(AD901*0.225)+(AE901*0.225)+(AF901*0.05)),"")</f>
        <v>0</v>
      </c>
      <c r="S901" s="18">
        <f>IFERROR(H901*AG901,"")</f>
        <v>0</v>
      </c>
      <c r="T901" s="19">
        <f>IFERROR(S901-H901,"")</f>
        <v>-139.22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>U901-C901</f>
        <v>-2</v>
      </c>
      <c r="Z901" s="20">
        <f>Tabela1[[#This Row],[PESO TOTAL]]-Tabela1[[#This Row],[Peso Expedido]]</f>
        <v>139.22</v>
      </c>
      <c r="AA901" s="17"/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5120</v>
      </c>
      <c r="B902" s="21" t="s">
        <v>5121</v>
      </c>
      <c r="C902" s="1">
        <v>2</v>
      </c>
      <c r="D902" s="1" t="s">
        <v>5124</v>
      </c>
      <c r="E902" s="7">
        <v>4557</v>
      </c>
      <c r="F902" s="7">
        <v>58</v>
      </c>
      <c r="G902" s="1">
        <v>30.38</v>
      </c>
      <c r="H902" s="34">
        <f>Tabela1[[#This Row],[PESO UNI]]*Tabela1[[#This Row],[QTE]]</f>
        <v>60.76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5119</v>
      </c>
      <c r="O902" s="12"/>
      <c r="P902" s="13"/>
      <c r="Q902" s="14">
        <f>Tabela1[[#This Row],[QTDE/ Fabricação]]-Tabela1[[#This Row],[QTE]]</f>
        <v>-2</v>
      </c>
      <c r="R902" s="18">
        <f>IFERROR(H902*((AA902*0.25)+(AC902*0.25)+(AD902*0.225)+(AE902*0.225)+(AF902*0.05)),"")</f>
        <v>0</v>
      </c>
      <c r="S902" s="18">
        <f>IFERROR(H902*AG902,"")</f>
        <v>0</v>
      </c>
      <c r="T902" s="19">
        <f>IFERROR(S902-H902,"")</f>
        <v>-60.76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>U902-C902</f>
        <v>-2</v>
      </c>
      <c r="Z902" s="20">
        <f>Tabela1[[#This Row],[PESO TOTAL]]-Tabela1[[#This Row],[Peso Expedido]]</f>
        <v>60.76</v>
      </c>
      <c r="AA902" s="17"/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5120</v>
      </c>
      <c r="B903" s="21" t="s">
        <v>5121</v>
      </c>
      <c r="C903" s="1">
        <v>6</v>
      </c>
      <c r="D903" s="1" t="s">
        <v>5125</v>
      </c>
      <c r="E903" s="7">
        <v>4558</v>
      </c>
      <c r="F903" s="7">
        <v>58</v>
      </c>
      <c r="G903" s="1">
        <v>6.07</v>
      </c>
      <c r="H903" s="34">
        <f>Tabela1[[#This Row],[PESO UNI]]*Tabela1[[#This Row],[QTE]]</f>
        <v>36.42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5119</v>
      </c>
      <c r="O903" s="12"/>
      <c r="P903" s="13"/>
      <c r="Q903" s="14">
        <f>Tabela1[[#This Row],[QTDE/ Fabricação]]-Tabela1[[#This Row],[QTE]]</f>
        <v>-6</v>
      </c>
      <c r="R903" s="18">
        <f>IFERROR(H903*((AA903*0.25)+(AC903*0.25)+(AD903*0.225)+(AE903*0.225)+(AF903*0.05)),"")</f>
        <v>0</v>
      </c>
      <c r="S903" s="18">
        <f>IFERROR(H903*AG903,"")</f>
        <v>0</v>
      </c>
      <c r="T903" s="19">
        <f>IFERROR(S903-H903,"")</f>
        <v>-36.42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>U903-C903</f>
        <v>-6</v>
      </c>
      <c r="Z903" s="20">
        <f>Tabela1[[#This Row],[PESO TOTAL]]-Tabela1[[#This Row],[Peso Expedido]]</f>
        <v>36.42</v>
      </c>
      <c r="AA903" s="17"/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5120</v>
      </c>
      <c r="B904" s="21" t="s">
        <v>5121</v>
      </c>
      <c r="C904" s="1">
        <v>1</v>
      </c>
      <c r="D904" s="1" t="s">
        <v>5126</v>
      </c>
      <c r="E904" s="7">
        <v>4559</v>
      </c>
      <c r="F904" s="7">
        <v>58</v>
      </c>
      <c r="G904" s="1">
        <v>22.07</v>
      </c>
      <c r="H904" s="34">
        <f>Tabela1[[#This Row],[PESO UNI]]*Tabela1[[#This Row],[QTE]]</f>
        <v>22.07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5119</v>
      </c>
      <c r="O904" s="12"/>
      <c r="P904" s="13"/>
      <c r="Q904" s="14">
        <f>Tabela1[[#This Row],[QTDE/ Fabricação]]-Tabela1[[#This Row],[QTE]]</f>
        <v>-1</v>
      </c>
      <c r="R904" s="18">
        <f>IFERROR(H904*((AA904*0.25)+(AC904*0.25)+(AD904*0.225)+(AE904*0.225)+(AF904*0.05)),"")</f>
        <v>0</v>
      </c>
      <c r="S904" s="18">
        <f>IFERROR(H904*AG904,"")</f>
        <v>0</v>
      </c>
      <c r="T904" s="19">
        <f>IFERROR(S904-H904,"")</f>
        <v>-22.07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>U904-C904</f>
        <v>-1</v>
      </c>
      <c r="Z904" s="20">
        <f>Tabela1[[#This Row],[PESO TOTAL]]-Tabela1[[#This Row],[Peso Expedido]]</f>
        <v>22.07</v>
      </c>
      <c r="AA904" s="17"/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5120</v>
      </c>
      <c r="B905" s="21" t="s">
        <v>5121</v>
      </c>
      <c r="C905" s="1">
        <v>1</v>
      </c>
      <c r="D905" s="1" t="s">
        <v>5127</v>
      </c>
      <c r="E905" s="7">
        <v>4560</v>
      </c>
      <c r="F905" s="7">
        <v>58</v>
      </c>
      <c r="G905" s="1">
        <v>33.590000000000003</v>
      </c>
      <c r="H905" s="34">
        <f>Tabela1[[#This Row],[PESO UNI]]*Tabela1[[#This Row],[QTE]]</f>
        <v>33.590000000000003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5119</v>
      </c>
      <c r="O905" s="12"/>
      <c r="P905" s="13"/>
      <c r="Q905" s="14">
        <f>Tabela1[[#This Row],[QTDE/ Fabricação]]-Tabela1[[#This Row],[QTE]]</f>
        <v>-1</v>
      </c>
      <c r="R905" s="18">
        <f>IFERROR(H905*((AA905*0.25)+(AC905*0.25)+(AD905*0.225)+(AE905*0.225)+(AF905*0.05)),"")</f>
        <v>0</v>
      </c>
      <c r="S905" s="18">
        <f>IFERROR(H905*AG905,"")</f>
        <v>0</v>
      </c>
      <c r="T905" s="19">
        <f>IFERROR(S905-H905,"")</f>
        <v>-33.590000000000003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>U905-C905</f>
        <v>-1</v>
      </c>
      <c r="Z905" s="20">
        <f>Tabela1[[#This Row],[PESO TOTAL]]-Tabela1[[#This Row],[Peso Expedido]]</f>
        <v>33.590000000000003</v>
      </c>
      <c r="AA905" s="17"/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5120</v>
      </c>
      <c r="B906" s="21" t="s">
        <v>5121</v>
      </c>
      <c r="C906" s="1">
        <v>1</v>
      </c>
      <c r="D906" s="1" t="s">
        <v>5128</v>
      </c>
      <c r="E906" s="7">
        <v>4561</v>
      </c>
      <c r="F906" s="7">
        <v>58</v>
      </c>
      <c r="G906" s="1">
        <v>20.48</v>
      </c>
      <c r="H906" s="34">
        <f>Tabela1[[#This Row],[PESO UNI]]*Tabela1[[#This Row],[QTE]]</f>
        <v>20.48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5119</v>
      </c>
      <c r="O906" s="12"/>
      <c r="P906" s="13"/>
      <c r="Q906" s="14">
        <f>Tabela1[[#This Row],[QTDE/ Fabricação]]-Tabela1[[#This Row],[QTE]]</f>
        <v>-1</v>
      </c>
      <c r="R906" s="18">
        <f>IFERROR(H906*((AA906*0.25)+(AC906*0.25)+(AD906*0.225)+(AE906*0.225)+(AF906*0.05)),"")</f>
        <v>0</v>
      </c>
      <c r="S906" s="18">
        <f>IFERROR(H906*AG906,"")</f>
        <v>0</v>
      </c>
      <c r="T906" s="19">
        <f>IFERROR(S906-H906,"")</f>
        <v>-20.48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>U906-C906</f>
        <v>-1</v>
      </c>
      <c r="Z906" s="20">
        <f>Tabela1[[#This Row],[PESO TOTAL]]-Tabela1[[#This Row],[Peso Expedido]]</f>
        <v>20.48</v>
      </c>
      <c r="AA906" s="17"/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5120</v>
      </c>
      <c r="B907" s="21" t="s">
        <v>5121</v>
      </c>
      <c r="C907" s="1">
        <v>2</v>
      </c>
      <c r="D907" s="1" t="s">
        <v>5129</v>
      </c>
      <c r="E907" s="7">
        <v>4562</v>
      </c>
      <c r="F907" s="7">
        <v>58</v>
      </c>
      <c r="G907" s="1">
        <v>18.54</v>
      </c>
      <c r="H907" s="34">
        <f>Tabela1[[#This Row],[PESO UNI]]*Tabela1[[#This Row],[QTE]]</f>
        <v>37.08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5119</v>
      </c>
      <c r="O907" s="12"/>
      <c r="P907" s="13"/>
      <c r="Q907" s="14">
        <f>Tabela1[[#This Row],[QTDE/ Fabricação]]-Tabela1[[#This Row],[QTE]]</f>
        <v>-2</v>
      </c>
      <c r="R907" s="18">
        <f>IFERROR(H907*((AA907*0.25)+(AC907*0.25)+(AD907*0.225)+(AE907*0.225)+(AF907*0.05)),"")</f>
        <v>0</v>
      </c>
      <c r="S907" s="18">
        <f>IFERROR(H907*AG907,"")</f>
        <v>0</v>
      </c>
      <c r="T907" s="19">
        <f>IFERROR(S907-H907,"")</f>
        <v>-37.08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>U907-C907</f>
        <v>-2</v>
      </c>
      <c r="Z907" s="20">
        <f>Tabela1[[#This Row],[PESO TOTAL]]-Tabela1[[#This Row],[Peso Expedido]]</f>
        <v>37.08</v>
      </c>
      <c r="AA907" s="17"/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5130</v>
      </c>
      <c r="B908" s="21" t="s">
        <v>5131</v>
      </c>
      <c r="C908" s="1">
        <v>1</v>
      </c>
      <c r="D908" s="1" t="s">
        <v>5132</v>
      </c>
      <c r="E908" s="7">
        <v>4563</v>
      </c>
      <c r="F908" s="7">
        <v>58</v>
      </c>
      <c r="G908" s="1">
        <v>82.5</v>
      </c>
      <c r="H908" s="34">
        <f>Tabela1[[#This Row],[PESO UNI]]*Tabela1[[#This Row],[QTE]]</f>
        <v>82.5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5119</v>
      </c>
      <c r="O908" s="12"/>
      <c r="P908" s="13"/>
      <c r="Q908" s="14">
        <f>Tabela1[[#This Row],[QTDE/ Fabricação]]-Tabela1[[#This Row],[QTE]]</f>
        <v>-1</v>
      </c>
      <c r="R908" s="18">
        <f>IFERROR(H908*((AA908*0.25)+(AC908*0.25)+(AD908*0.225)+(AE908*0.225)+(AF908*0.05)),"")</f>
        <v>0</v>
      </c>
      <c r="S908" s="18">
        <f>IFERROR(H908*AG908,"")</f>
        <v>0</v>
      </c>
      <c r="T908" s="19">
        <f>IFERROR(S908-H908,"")</f>
        <v>-82.5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>U908-C908</f>
        <v>-1</v>
      </c>
      <c r="Z908" s="20">
        <f>Tabela1[[#This Row],[PESO TOTAL]]-Tabela1[[#This Row],[Peso Expedido]]</f>
        <v>82.5</v>
      </c>
      <c r="AA908" s="17"/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5130</v>
      </c>
      <c r="B909" s="21" t="s">
        <v>5131</v>
      </c>
      <c r="C909" s="1">
        <v>1</v>
      </c>
      <c r="D909" s="1" t="s">
        <v>5133</v>
      </c>
      <c r="E909" s="7">
        <v>4564</v>
      </c>
      <c r="F909" s="7">
        <v>58</v>
      </c>
      <c r="G909" s="1">
        <v>81.86</v>
      </c>
      <c r="H909" s="34">
        <f>Tabela1[[#This Row],[PESO UNI]]*Tabela1[[#This Row],[QTE]]</f>
        <v>81.86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5119</v>
      </c>
      <c r="O909" s="12"/>
      <c r="P909" s="13"/>
      <c r="Q909" s="14">
        <f>Tabela1[[#This Row],[QTDE/ Fabricação]]-Tabela1[[#This Row],[QTE]]</f>
        <v>-1</v>
      </c>
      <c r="R909" s="18">
        <f>IFERROR(H909*((AA909*0.25)+(AC909*0.25)+(AD909*0.225)+(AE909*0.225)+(AF909*0.05)),"")</f>
        <v>0</v>
      </c>
      <c r="S909" s="18">
        <f>IFERROR(H909*AG909,"")</f>
        <v>0</v>
      </c>
      <c r="T909" s="19">
        <f>IFERROR(S909-H909,"")</f>
        <v>-81.86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>U909-C909</f>
        <v>-1</v>
      </c>
      <c r="Z909" s="20">
        <f>Tabela1[[#This Row],[PESO TOTAL]]-Tabela1[[#This Row],[Peso Expedido]]</f>
        <v>81.86</v>
      </c>
      <c r="AA909" s="17"/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5134</v>
      </c>
      <c r="B910" s="21" t="s">
        <v>5135</v>
      </c>
      <c r="C910" s="1">
        <v>3</v>
      </c>
      <c r="D910" s="1" t="s">
        <v>5136</v>
      </c>
      <c r="E910" s="7">
        <v>4565</v>
      </c>
      <c r="F910" s="7">
        <v>58</v>
      </c>
      <c r="G910" s="1">
        <v>83.82</v>
      </c>
      <c r="H910" s="34">
        <f>Tabela1[[#This Row],[PESO UNI]]*Tabela1[[#This Row],[QTE]]</f>
        <v>251.45999999999998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5119</v>
      </c>
      <c r="O910" s="12"/>
      <c r="P910" s="13"/>
      <c r="Q910" s="14">
        <f>Tabela1[[#This Row],[QTDE/ Fabricação]]-Tabela1[[#This Row],[QTE]]</f>
        <v>-3</v>
      </c>
      <c r="R910" s="18">
        <f>IFERROR(H910*((AA910*0.25)+(AC910*0.25)+(AD910*0.225)+(AE910*0.225)+(AF910*0.05)),"")</f>
        <v>0</v>
      </c>
      <c r="S910" s="18">
        <f>IFERROR(H910*AG910,"")</f>
        <v>0</v>
      </c>
      <c r="T910" s="19">
        <f>IFERROR(S910-H910,"")</f>
        <v>-251.45999999999998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>U910-C910</f>
        <v>-3</v>
      </c>
      <c r="Z910" s="20">
        <f>Tabela1[[#This Row],[PESO TOTAL]]-Tabela1[[#This Row],[Peso Expedido]]</f>
        <v>251.45999999999998</v>
      </c>
      <c r="AA910" s="17"/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5134</v>
      </c>
      <c r="B911" s="21" t="s">
        <v>5135</v>
      </c>
      <c r="C911" s="1">
        <v>2</v>
      </c>
      <c r="D911" s="1" t="s">
        <v>5137</v>
      </c>
      <c r="E911" s="7">
        <v>4566</v>
      </c>
      <c r="F911" s="7">
        <v>58</v>
      </c>
      <c r="G911" s="1">
        <v>85.1</v>
      </c>
      <c r="H911" s="34">
        <f>Tabela1[[#This Row],[PESO UNI]]*Tabela1[[#This Row],[QTE]]</f>
        <v>170.2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5119</v>
      </c>
      <c r="O911" s="12"/>
      <c r="P911" s="13"/>
      <c r="Q911" s="14">
        <f>Tabela1[[#This Row],[QTDE/ Fabricação]]-Tabela1[[#This Row],[QTE]]</f>
        <v>-2</v>
      </c>
      <c r="R911" s="18">
        <f>IFERROR(H911*((AA911*0.25)+(AC911*0.25)+(AD911*0.225)+(AE911*0.225)+(AF911*0.05)),"")</f>
        <v>0</v>
      </c>
      <c r="S911" s="18">
        <f>IFERROR(H911*AG911,"")</f>
        <v>0</v>
      </c>
      <c r="T911" s="19">
        <f>IFERROR(S911-H911,"")</f>
        <v>-170.2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>U911-C911</f>
        <v>-2</v>
      </c>
      <c r="Z911" s="20">
        <f>Tabela1[[#This Row],[PESO TOTAL]]-Tabela1[[#This Row],[Peso Expedido]]</f>
        <v>170.2</v>
      </c>
      <c r="AA911" s="17"/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5138</v>
      </c>
      <c r="B912" s="21" t="s">
        <v>5139</v>
      </c>
      <c r="C912" s="1">
        <v>1</v>
      </c>
      <c r="D912" s="1" t="s">
        <v>5140</v>
      </c>
      <c r="E912" s="7">
        <v>4567</v>
      </c>
      <c r="F912" s="7">
        <v>58</v>
      </c>
      <c r="G912" s="1">
        <v>86.97</v>
      </c>
      <c r="H912" s="34">
        <f>Tabela1[[#This Row],[PESO UNI]]*Tabela1[[#This Row],[QTE]]</f>
        <v>86.97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5119</v>
      </c>
      <c r="O912" s="12"/>
      <c r="P912" s="13"/>
      <c r="Q912" s="14">
        <f>Tabela1[[#This Row],[QTDE/ Fabricação]]-Tabela1[[#This Row],[QTE]]</f>
        <v>-1</v>
      </c>
      <c r="R912" s="18">
        <f>IFERROR(H912*((AA912*0.25)+(AC912*0.25)+(AD912*0.225)+(AE912*0.225)+(AF912*0.05)),"")</f>
        <v>0</v>
      </c>
      <c r="S912" s="18">
        <f>IFERROR(H912*AG912,"")</f>
        <v>0</v>
      </c>
      <c r="T912" s="19">
        <f>IFERROR(S912-H912,"")</f>
        <v>-86.97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>U912-C912</f>
        <v>-1</v>
      </c>
      <c r="Z912" s="20">
        <f>Tabela1[[#This Row],[PESO TOTAL]]-Tabela1[[#This Row],[Peso Expedido]]</f>
        <v>86.97</v>
      </c>
      <c r="AA912" s="17"/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5138</v>
      </c>
      <c r="B913" s="21" t="s">
        <v>5139</v>
      </c>
      <c r="C913" s="1">
        <v>1</v>
      </c>
      <c r="D913" s="1" t="s">
        <v>5141</v>
      </c>
      <c r="E913" s="7">
        <v>4568</v>
      </c>
      <c r="F913" s="7">
        <v>58</v>
      </c>
      <c r="G913" s="1">
        <v>87.61</v>
      </c>
      <c r="H913" s="34">
        <f>Tabela1[[#This Row],[PESO UNI]]*Tabela1[[#This Row],[QTE]]</f>
        <v>87.61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5119</v>
      </c>
      <c r="O913" s="12"/>
      <c r="P913" s="13"/>
      <c r="Q913" s="14">
        <f>Tabela1[[#This Row],[QTDE/ Fabricação]]-Tabela1[[#This Row],[QTE]]</f>
        <v>-1</v>
      </c>
      <c r="R913" s="18">
        <f>IFERROR(H913*((AA913*0.25)+(AC913*0.25)+(AD913*0.225)+(AE913*0.225)+(AF913*0.05)),"")</f>
        <v>0</v>
      </c>
      <c r="S913" s="18">
        <f>IFERROR(H913*AG913,"")</f>
        <v>0</v>
      </c>
      <c r="T913" s="19">
        <f>IFERROR(S913-H913,"")</f>
        <v>-87.61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>U913-C913</f>
        <v>-1</v>
      </c>
      <c r="Z913" s="20">
        <f>Tabela1[[#This Row],[PESO TOTAL]]-Tabela1[[#This Row],[Peso Expedido]]</f>
        <v>87.61</v>
      </c>
      <c r="AA913" s="17"/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5142</v>
      </c>
      <c r="B914" s="21" t="s">
        <v>5143</v>
      </c>
      <c r="C914" s="1">
        <v>4</v>
      </c>
      <c r="D914" s="1" t="s">
        <v>5144</v>
      </c>
      <c r="E914" s="7">
        <v>4569</v>
      </c>
      <c r="F914" s="7">
        <v>58</v>
      </c>
      <c r="G914" s="1">
        <v>26.26</v>
      </c>
      <c r="H914" s="34">
        <f>Tabela1[[#This Row],[PESO UNI]]*Tabela1[[#This Row],[QTE]]</f>
        <v>105.04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5119</v>
      </c>
      <c r="O914" s="12"/>
      <c r="P914" s="13"/>
      <c r="Q914" s="14">
        <f>Tabela1[[#This Row],[QTDE/ Fabricação]]-Tabela1[[#This Row],[QTE]]</f>
        <v>-4</v>
      </c>
      <c r="R914" s="18">
        <f>IFERROR(H914*((AA914*0.25)+(AC914*0.25)+(AD914*0.225)+(AE914*0.225)+(AF914*0.05)),"")</f>
        <v>0</v>
      </c>
      <c r="S914" s="18">
        <f>IFERROR(H914*AG914,"")</f>
        <v>0</v>
      </c>
      <c r="T914" s="19">
        <f>IFERROR(S914-H914,"")</f>
        <v>-105.04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>U914-C914</f>
        <v>-4</v>
      </c>
      <c r="Z914" s="20">
        <f>Tabela1[[#This Row],[PESO TOTAL]]-Tabela1[[#This Row],[Peso Expedido]]</f>
        <v>105.04</v>
      </c>
      <c r="AA914" s="17"/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5142</v>
      </c>
      <c r="B915" s="21" t="s">
        <v>5143</v>
      </c>
      <c r="C915" s="1">
        <v>4</v>
      </c>
      <c r="D915" s="1" t="s">
        <v>5145</v>
      </c>
      <c r="E915" s="7">
        <v>4570</v>
      </c>
      <c r="F915" s="7">
        <v>58</v>
      </c>
      <c r="G915" s="1">
        <v>31.82</v>
      </c>
      <c r="H915" s="34">
        <f>Tabela1[[#This Row],[PESO UNI]]*Tabela1[[#This Row],[QTE]]</f>
        <v>127.28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5119</v>
      </c>
      <c r="O915" s="12"/>
      <c r="P915" s="13"/>
      <c r="Q915" s="14">
        <f>Tabela1[[#This Row],[QTDE/ Fabricação]]-Tabela1[[#This Row],[QTE]]</f>
        <v>-4</v>
      </c>
      <c r="R915" s="18">
        <f>IFERROR(H915*((AA915*0.25)+(AC915*0.25)+(AD915*0.225)+(AE915*0.225)+(AF915*0.05)),"")</f>
        <v>0</v>
      </c>
      <c r="S915" s="18">
        <f>IFERROR(H915*AG915,"")</f>
        <v>0</v>
      </c>
      <c r="T915" s="19">
        <f>IFERROR(S915-H915,"")</f>
        <v>-127.28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>U915-C915</f>
        <v>-4</v>
      </c>
      <c r="Z915" s="20">
        <f>Tabela1[[#This Row],[PESO TOTAL]]-Tabela1[[#This Row],[Peso Expedido]]</f>
        <v>127.28</v>
      </c>
      <c r="AA915" s="17"/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5142</v>
      </c>
      <c r="B916" s="21" t="s">
        <v>5143</v>
      </c>
      <c r="C916" s="1">
        <v>4</v>
      </c>
      <c r="D916" s="1" t="s">
        <v>5146</v>
      </c>
      <c r="E916" s="7">
        <v>4571</v>
      </c>
      <c r="F916" s="7">
        <v>58</v>
      </c>
      <c r="G916" s="1">
        <v>30.1</v>
      </c>
      <c r="H916" s="34">
        <f>Tabela1[[#This Row],[PESO UNI]]*Tabela1[[#This Row],[QTE]]</f>
        <v>120.4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5119</v>
      </c>
      <c r="O916" s="12"/>
      <c r="P916" s="13"/>
      <c r="Q916" s="14">
        <f>Tabela1[[#This Row],[QTDE/ Fabricação]]-Tabela1[[#This Row],[QTE]]</f>
        <v>-4</v>
      </c>
      <c r="R916" s="18">
        <f>IFERROR(H916*((AA916*0.25)+(AC916*0.25)+(AD916*0.225)+(AE916*0.225)+(AF916*0.05)),"")</f>
        <v>0</v>
      </c>
      <c r="S916" s="18">
        <f>IFERROR(H916*AG916,"")</f>
        <v>0</v>
      </c>
      <c r="T916" s="19">
        <f>IFERROR(S916-H916,"")</f>
        <v>-120.4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>U916-C916</f>
        <v>-4</v>
      </c>
      <c r="Z916" s="20">
        <f>Tabela1[[#This Row],[PESO TOTAL]]-Tabela1[[#This Row],[Peso Expedido]]</f>
        <v>120.4</v>
      </c>
      <c r="AA916" s="17"/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5142</v>
      </c>
      <c r="B917" s="21" t="s">
        <v>5143</v>
      </c>
      <c r="C917" s="1">
        <v>4</v>
      </c>
      <c r="D917" s="1" t="s">
        <v>5147</v>
      </c>
      <c r="E917" s="7">
        <v>4572</v>
      </c>
      <c r="F917" s="7">
        <v>58</v>
      </c>
      <c r="G917" s="1">
        <v>34.200000000000003</v>
      </c>
      <c r="H917" s="34">
        <f>Tabela1[[#This Row],[PESO UNI]]*Tabela1[[#This Row],[QTE]]</f>
        <v>136.80000000000001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5119</v>
      </c>
      <c r="O917" s="12"/>
      <c r="P917" s="13"/>
      <c r="Q917" s="14">
        <f>Tabela1[[#This Row],[QTDE/ Fabricação]]-Tabela1[[#This Row],[QTE]]</f>
        <v>-4</v>
      </c>
      <c r="R917" s="18">
        <f>IFERROR(H917*((AA917*0.25)+(AC917*0.25)+(AD917*0.225)+(AE917*0.225)+(AF917*0.05)),"")</f>
        <v>0</v>
      </c>
      <c r="S917" s="18">
        <f>IFERROR(H917*AG917,"")</f>
        <v>0</v>
      </c>
      <c r="T917" s="19">
        <f>IFERROR(S917-H917,"")</f>
        <v>-136.80000000000001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>U917-C917</f>
        <v>-4</v>
      </c>
      <c r="Z917" s="20">
        <f>Tabela1[[#This Row],[PESO TOTAL]]-Tabela1[[#This Row],[Peso Expedido]]</f>
        <v>136.80000000000001</v>
      </c>
      <c r="AA917" s="17"/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5142</v>
      </c>
      <c r="B918" s="21" t="s">
        <v>5143</v>
      </c>
      <c r="C918" s="1">
        <v>2</v>
      </c>
      <c r="D918" s="1" t="s">
        <v>5148</v>
      </c>
      <c r="E918" s="7">
        <v>4573</v>
      </c>
      <c r="F918" s="7">
        <v>58</v>
      </c>
      <c r="G918" s="1">
        <v>29.36</v>
      </c>
      <c r="H918" s="34">
        <f>Tabela1[[#This Row],[PESO UNI]]*Tabela1[[#This Row],[QTE]]</f>
        <v>58.72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5119</v>
      </c>
      <c r="O918" s="12"/>
      <c r="P918" s="13"/>
      <c r="Q918" s="14">
        <f>Tabela1[[#This Row],[QTDE/ Fabricação]]-Tabela1[[#This Row],[QTE]]</f>
        <v>-2</v>
      </c>
      <c r="R918" s="18">
        <f>IFERROR(H918*((AA918*0.25)+(AC918*0.25)+(AD918*0.225)+(AE918*0.225)+(AF918*0.05)),"")</f>
        <v>0</v>
      </c>
      <c r="S918" s="18">
        <f>IFERROR(H918*AG918,"")</f>
        <v>0</v>
      </c>
      <c r="T918" s="19">
        <f>IFERROR(S918-H918,"")</f>
        <v>-58.72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>U918-C918</f>
        <v>-2</v>
      </c>
      <c r="Z918" s="20">
        <f>Tabela1[[#This Row],[PESO TOTAL]]-Tabela1[[#This Row],[Peso Expedido]]</f>
        <v>58.72</v>
      </c>
      <c r="AA918" s="17"/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5142</v>
      </c>
      <c r="B919" s="21" t="s">
        <v>5143</v>
      </c>
      <c r="C919" s="1">
        <v>2</v>
      </c>
      <c r="D919" s="1" t="s">
        <v>5149</v>
      </c>
      <c r="E919" s="7">
        <v>4574</v>
      </c>
      <c r="F919" s="7">
        <v>58</v>
      </c>
      <c r="G919" s="1">
        <v>27.46</v>
      </c>
      <c r="H919" s="34">
        <f>Tabela1[[#This Row],[PESO UNI]]*Tabela1[[#This Row],[QTE]]</f>
        <v>54.92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5119</v>
      </c>
      <c r="O919" s="12"/>
      <c r="P919" s="13"/>
      <c r="Q919" s="14">
        <f>Tabela1[[#This Row],[QTDE/ Fabricação]]-Tabela1[[#This Row],[QTE]]</f>
        <v>-2</v>
      </c>
      <c r="R919" s="18">
        <f>IFERROR(H919*((AA919*0.25)+(AC919*0.25)+(AD919*0.225)+(AE919*0.225)+(AF919*0.05)),"")</f>
        <v>0</v>
      </c>
      <c r="S919" s="18">
        <f>IFERROR(H919*AG919,"")</f>
        <v>0</v>
      </c>
      <c r="T919" s="19">
        <f>IFERROR(S919-H919,"")</f>
        <v>-54.92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>U919-C919</f>
        <v>-2</v>
      </c>
      <c r="Z919" s="20">
        <f>Tabela1[[#This Row],[PESO TOTAL]]-Tabela1[[#This Row],[Peso Expedido]]</f>
        <v>54.92</v>
      </c>
      <c r="AA919" s="17"/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5142</v>
      </c>
      <c r="B920" s="21" t="s">
        <v>5143</v>
      </c>
      <c r="C920" s="1">
        <v>2</v>
      </c>
      <c r="D920" s="1" t="s">
        <v>5151</v>
      </c>
      <c r="E920" s="7">
        <v>4575</v>
      </c>
      <c r="F920" s="7">
        <v>58</v>
      </c>
      <c r="G920" s="1">
        <v>71.62</v>
      </c>
      <c r="H920" s="34">
        <f>Tabela1[[#This Row],[PESO UNI]]*Tabela1[[#This Row],[QTE]]</f>
        <v>143.24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5119</v>
      </c>
      <c r="O920" s="12"/>
      <c r="P920" s="13"/>
      <c r="Q920" s="14">
        <f>Tabela1[[#This Row],[QTDE/ Fabricação]]-Tabela1[[#This Row],[QTE]]</f>
        <v>-2</v>
      </c>
      <c r="R920" s="18">
        <f>IFERROR(H920*((AA920*0.25)+(AC920*0.25)+(AD920*0.225)+(AE920*0.225)+(AF920*0.05)),"")</f>
        <v>0</v>
      </c>
      <c r="S920" s="18">
        <f>IFERROR(H920*AG920,"")</f>
        <v>0</v>
      </c>
      <c r="T920" s="19">
        <f>IFERROR(S920-H920,"")</f>
        <v>-143.24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>U920-C920</f>
        <v>-2</v>
      </c>
      <c r="Z920" s="20">
        <f>Tabela1[[#This Row],[PESO TOTAL]]-Tabela1[[#This Row],[Peso Expedido]]</f>
        <v>143.24</v>
      </c>
      <c r="AA920" s="17"/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5142</v>
      </c>
      <c r="B921" s="21" t="s">
        <v>5143</v>
      </c>
      <c r="C921" s="1">
        <v>2</v>
      </c>
      <c r="D921" s="1" t="s">
        <v>5150</v>
      </c>
      <c r="E921" s="7">
        <v>4576</v>
      </c>
      <c r="F921" s="7">
        <v>58</v>
      </c>
      <c r="G921" s="1">
        <v>82.73</v>
      </c>
      <c r="H921" s="34">
        <f>Tabela1[[#This Row],[PESO UNI]]*Tabela1[[#This Row],[QTE]]</f>
        <v>165.46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5119</v>
      </c>
      <c r="O921" s="12"/>
      <c r="P921" s="13"/>
      <c r="Q921" s="14">
        <f>Tabela1[[#This Row],[QTDE/ Fabricação]]-Tabela1[[#This Row],[QTE]]</f>
        <v>-2</v>
      </c>
      <c r="R921" s="18">
        <f>IFERROR(H921*((AA921*0.25)+(AC921*0.25)+(AD921*0.225)+(AE921*0.225)+(AF921*0.05)),"")</f>
        <v>0</v>
      </c>
      <c r="S921" s="18">
        <f>IFERROR(H921*AG921,"")</f>
        <v>0</v>
      </c>
      <c r="T921" s="19">
        <f>IFERROR(S921-H921,"")</f>
        <v>-165.46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>U921-C921</f>
        <v>-2</v>
      </c>
      <c r="Z921" s="20">
        <f>Tabela1[[#This Row],[PESO TOTAL]]-Tabela1[[#This Row],[Peso Expedido]]</f>
        <v>165.46</v>
      </c>
      <c r="AA921" s="17"/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5152</v>
      </c>
      <c r="B922" s="21" t="s">
        <v>5153</v>
      </c>
      <c r="C922" s="1">
        <v>1</v>
      </c>
      <c r="D922" s="1" t="s">
        <v>5154</v>
      </c>
      <c r="E922" s="7">
        <v>4577</v>
      </c>
      <c r="F922" s="7">
        <v>58</v>
      </c>
      <c r="G922" s="1">
        <v>92.27</v>
      </c>
      <c r="H922" s="34">
        <f>Tabela1[[#This Row],[PESO UNI]]*Tabela1[[#This Row],[QTE]]</f>
        <v>92.27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5119</v>
      </c>
      <c r="O922" s="12"/>
      <c r="P922" s="13"/>
      <c r="Q922" s="14">
        <f>Tabela1[[#This Row],[QTDE/ Fabricação]]-Tabela1[[#This Row],[QTE]]</f>
        <v>-1</v>
      </c>
      <c r="R922" s="18">
        <f>IFERROR(H922*((AA922*0.25)+(AC922*0.25)+(AD922*0.225)+(AE922*0.225)+(AF922*0.05)),"")</f>
        <v>0</v>
      </c>
      <c r="S922" s="18">
        <f>IFERROR(H922*AG922,"")</f>
        <v>0</v>
      </c>
      <c r="T922" s="19">
        <f>IFERROR(S922-H922,"")</f>
        <v>-92.27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>U922-C922</f>
        <v>-1</v>
      </c>
      <c r="Z922" s="20">
        <f>Tabela1[[#This Row],[PESO TOTAL]]-Tabela1[[#This Row],[Peso Expedido]]</f>
        <v>92.27</v>
      </c>
      <c r="AA922" s="17"/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5152</v>
      </c>
      <c r="B923" s="21" t="s">
        <v>5153</v>
      </c>
      <c r="C923" s="1">
        <v>1</v>
      </c>
      <c r="D923" s="1" t="s">
        <v>5155</v>
      </c>
      <c r="E923" s="7">
        <v>4578</v>
      </c>
      <c r="F923" s="7">
        <v>58</v>
      </c>
      <c r="G923" s="1">
        <v>93.32</v>
      </c>
      <c r="H923" s="34">
        <f>Tabela1[[#This Row],[PESO UNI]]*Tabela1[[#This Row],[QTE]]</f>
        <v>93.32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5119</v>
      </c>
      <c r="O923" s="12"/>
      <c r="P923" s="13"/>
      <c r="Q923" s="14">
        <f>Tabela1[[#This Row],[QTDE/ Fabricação]]-Tabela1[[#This Row],[QTE]]</f>
        <v>-1</v>
      </c>
      <c r="R923" s="18">
        <f>IFERROR(H923*((AA923*0.25)+(AC923*0.25)+(AD923*0.225)+(AE923*0.225)+(AF923*0.05)),"")</f>
        <v>0</v>
      </c>
      <c r="S923" s="18">
        <f>IFERROR(H923*AG923,"")</f>
        <v>0</v>
      </c>
      <c r="T923" s="19">
        <f>IFERROR(S923-H923,"")</f>
        <v>-93.32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>U923-C923</f>
        <v>-1</v>
      </c>
      <c r="Z923" s="20">
        <f>Tabela1[[#This Row],[PESO TOTAL]]-Tabela1[[#This Row],[Peso Expedido]]</f>
        <v>93.32</v>
      </c>
      <c r="AA923" s="17"/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5152</v>
      </c>
      <c r="B924" s="21" t="s">
        <v>5153</v>
      </c>
      <c r="C924" s="1">
        <v>1</v>
      </c>
      <c r="D924" s="1" t="s">
        <v>5156</v>
      </c>
      <c r="E924" s="7">
        <v>4579</v>
      </c>
      <c r="F924" s="7">
        <v>58</v>
      </c>
      <c r="G924" s="1">
        <v>60.64</v>
      </c>
      <c r="H924" s="34">
        <f>Tabela1[[#This Row],[PESO UNI]]*Tabela1[[#This Row],[QTE]]</f>
        <v>60.64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5119</v>
      </c>
      <c r="O924" s="12"/>
      <c r="P924" s="13"/>
      <c r="Q924" s="14">
        <f>Tabela1[[#This Row],[QTDE/ Fabricação]]-Tabela1[[#This Row],[QTE]]</f>
        <v>-1</v>
      </c>
      <c r="R924" s="18">
        <f>IFERROR(H924*((AA924*0.25)+(AC924*0.25)+(AD924*0.225)+(AE924*0.225)+(AF924*0.05)),"")</f>
        <v>0</v>
      </c>
      <c r="S924" s="18">
        <f>IFERROR(H924*AG924,"")</f>
        <v>0</v>
      </c>
      <c r="T924" s="19">
        <f>IFERROR(S924-H924,"")</f>
        <v>-60.64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>U924-C924</f>
        <v>-1</v>
      </c>
      <c r="Z924" s="20">
        <f>Tabela1[[#This Row],[PESO TOTAL]]-Tabela1[[#This Row],[Peso Expedido]]</f>
        <v>60.64</v>
      </c>
      <c r="AA924" s="17"/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5152</v>
      </c>
      <c r="B925" s="21" t="s">
        <v>5153</v>
      </c>
      <c r="C925" s="1">
        <v>2</v>
      </c>
      <c r="D925" s="1" t="s">
        <v>5157</v>
      </c>
      <c r="E925" s="7">
        <v>4580</v>
      </c>
      <c r="F925" s="7">
        <v>58</v>
      </c>
      <c r="G925" s="1">
        <v>91.98</v>
      </c>
      <c r="H925" s="34">
        <f>Tabela1[[#This Row],[PESO UNI]]*Tabela1[[#This Row],[QTE]]</f>
        <v>183.96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5119</v>
      </c>
      <c r="O925" s="12"/>
      <c r="P925" s="13"/>
      <c r="Q925" s="14">
        <f>Tabela1[[#This Row],[QTDE/ Fabricação]]-Tabela1[[#This Row],[QTE]]</f>
        <v>-2</v>
      </c>
      <c r="R925" s="18">
        <f>IFERROR(H925*((AA925*0.25)+(AC925*0.25)+(AD925*0.225)+(AE925*0.225)+(AF925*0.05)),"")</f>
        <v>0</v>
      </c>
      <c r="S925" s="18">
        <f>IFERROR(H925*AG925,"")</f>
        <v>0</v>
      </c>
      <c r="T925" s="19">
        <f>IFERROR(S925-H925,"")</f>
        <v>-183.96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>U925-C925</f>
        <v>-2</v>
      </c>
      <c r="Z925" s="20">
        <f>Tabela1[[#This Row],[PESO TOTAL]]-Tabela1[[#This Row],[Peso Expedido]]</f>
        <v>183.96</v>
      </c>
      <c r="AA925" s="17"/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5152</v>
      </c>
      <c r="B926" s="21" t="s">
        <v>5153</v>
      </c>
      <c r="C926" s="1">
        <v>1</v>
      </c>
      <c r="D926" s="1" t="s">
        <v>5158</v>
      </c>
      <c r="E926" s="7">
        <v>4581</v>
      </c>
      <c r="F926" s="7">
        <v>58</v>
      </c>
      <c r="G926" s="1">
        <v>26.04</v>
      </c>
      <c r="H926" s="34">
        <f>Tabela1[[#This Row],[PESO UNI]]*Tabela1[[#This Row],[QTE]]</f>
        <v>26.04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5119</v>
      </c>
      <c r="O926" s="12"/>
      <c r="P926" s="13"/>
      <c r="Q926" s="14">
        <f>Tabela1[[#This Row],[QTDE/ Fabricação]]-Tabela1[[#This Row],[QTE]]</f>
        <v>-1</v>
      </c>
      <c r="R926" s="18">
        <f>IFERROR(H926*((AA926*0.25)+(AC926*0.25)+(AD926*0.225)+(AE926*0.225)+(AF926*0.05)),"")</f>
        <v>0</v>
      </c>
      <c r="S926" s="18">
        <f>IFERROR(H926*AG926,"")</f>
        <v>0</v>
      </c>
      <c r="T926" s="19">
        <f>IFERROR(S926-H926,"")</f>
        <v>-26.04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>U926-C926</f>
        <v>-1</v>
      </c>
      <c r="Z926" s="20">
        <f>Tabela1[[#This Row],[PESO TOTAL]]-Tabela1[[#This Row],[Peso Expedido]]</f>
        <v>26.04</v>
      </c>
      <c r="AA926" s="17"/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5152</v>
      </c>
      <c r="B927" s="21" t="s">
        <v>5153</v>
      </c>
      <c r="C927" s="1">
        <v>1</v>
      </c>
      <c r="D927" s="1" t="s">
        <v>5159</v>
      </c>
      <c r="E927" s="7">
        <v>4582</v>
      </c>
      <c r="F927" s="7">
        <v>58</v>
      </c>
      <c r="G927" s="1">
        <v>26.04</v>
      </c>
      <c r="H927" s="34">
        <f>Tabela1[[#This Row],[PESO UNI]]*Tabela1[[#This Row],[QTE]]</f>
        <v>26.04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5119</v>
      </c>
      <c r="O927" s="12"/>
      <c r="P927" s="13"/>
      <c r="Q927" s="14">
        <f>Tabela1[[#This Row],[QTDE/ Fabricação]]-Tabela1[[#This Row],[QTE]]</f>
        <v>-1</v>
      </c>
      <c r="R927" s="18">
        <f>IFERROR(H927*((AA927*0.25)+(AC927*0.25)+(AD927*0.225)+(AE927*0.225)+(AF927*0.05)),"")</f>
        <v>0</v>
      </c>
      <c r="S927" s="18">
        <f>IFERROR(H927*AG927,"")</f>
        <v>0</v>
      </c>
      <c r="T927" s="19">
        <f>IFERROR(S927-H927,"")</f>
        <v>-26.04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>U927-C927</f>
        <v>-1</v>
      </c>
      <c r="Z927" s="20">
        <f>Tabela1[[#This Row],[PESO TOTAL]]-Tabela1[[#This Row],[Peso Expedido]]</f>
        <v>26.04</v>
      </c>
      <c r="AA927" s="17"/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5152</v>
      </c>
      <c r="B928" s="21" t="s">
        <v>5153</v>
      </c>
      <c r="C928" s="1">
        <v>1</v>
      </c>
      <c r="D928" s="1" t="s">
        <v>5160</v>
      </c>
      <c r="E928" s="7">
        <v>4583</v>
      </c>
      <c r="F928" s="7">
        <v>58</v>
      </c>
      <c r="G928" s="1">
        <v>177.93</v>
      </c>
      <c r="H928" s="34">
        <f>Tabela1[[#This Row],[PESO UNI]]*Tabela1[[#This Row],[QTE]]</f>
        <v>177.93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5119</v>
      </c>
      <c r="O928" s="12"/>
      <c r="P928" s="13"/>
      <c r="Q928" s="14">
        <f>Tabela1[[#This Row],[QTDE/ Fabricação]]-Tabela1[[#This Row],[QTE]]</f>
        <v>-1</v>
      </c>
      <c r="R928" s="18">
        <f>IFERROR(H928*((AA928*0.25)+(AC928*0.25)+(AD928*0.225)+(AE928*0.225)+(AF928*0.05)),"")</f>
        <v>0</v>
      </c>
      <c r="S928" s="18">
        <f>IFERROR(H928*AG928,"")</f>
        <v>0</v>
      </c>
      <c r="T928" s="19">
        <f>IFERROR(S928-H928,"")</f>
        <v>-177.93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>U928-C928</f>
        <v>-1</v>
      </c>
      <c r="Z928" s="20">
        <f>Tabela1[[#This Row],[PESO TOTAL]]-Tabela1[[#This Row],[Peso Expedido]]</f>
        <v>177.93</v>
      </c>
      <c r="AA928" s="17"/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5152</v>
      </c>
      <c r="B929" s="21" t="s">
        <v>5153</v>
      </c>
      <c r="C929" s="1">
        <v>1</v>
      </c>
      <c r="D929" s="1" t="s">
        <v>5161</v>
      </c>
      <c r="E929" s="7">
        <v>4584</v>
      </c>
      <c r="F929" s="7">
        <v>58</v>
      </c>
      <c r="G929" s="1">
        <v>177.93</v>
      </c>
      <c r="H929" s="34">
        <f>Tabela1[[#This Row],[PESO UNI]]*Tabela1[[#This Row],[QTE]]</f>
        <v>177.93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5119</v>
      </c>
      <c r="O929" s="12"/>
      <c r="P929" s="13"/>
      <c r="Q929" s="14">
        <f>Tabela1[[#This Row],[QTDE/ Fabricação]]-Tabela1[[#This Row],[QTE]]</f>
        <v>-1</v>
      </c>
      <c r="R929" s="18">
        <f>IFERROR(H929*((AA929*0.25)+(AC929*0.25)+(AD929*0.225)+(AE929*0.225)+(AF929*0.05)),"")</f>
        <v>0</v>
      </c>
      <c r="S929" s="18">
        <f>IFERROR(H929*AG929,"")</f>
        <v>0</v>
      </c>
      <c r="T929" s="19">
        <f>IFERROR(S929-H929,"")</f>
        <v>-177.93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>U929-C929</f>
        <v>-1</v>
      </c>
      <c r="Z929" s="20">
        <f>Tabela1[[#This Row],[PESO TOTAL]]-Tabela1[[#This Row],[Peso Expedido]]</f>
        <v>177.93</v>
      </c>
      <c r="AA929" s="17"/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5162</v>
      </c>
      <c r="B930" s="21" t="s">
        <v>5163</v>
      </c>
      <c r="C930" s="1">
        <v>2</v>
      </c>
      <c r="D930" s="1" t="s">
        <v>5164</v>
      </c>
      <c r="E930" s="7">
        <v>4585</v>
      </c>
      <c r="F930" s="7">
        <v>58</v>
      </c>
      <c r="G930" s="1">
        <v>102.33</v>
      </c>
      <c r="H930" s="34">
        <f>Tabela1[[#This Row],[PESO UNI]]*Tabela1[[#This Row],[QTE]]</f>
        <v>204.66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5119</v>
      </c>
      <c r="O930" s="12"/>
      <c r="P930" s="13"/>
      <c r="Q930" s="14">
        <f>Tabela1[[#This Row],[QTDE/ Fabricação]]-Tabela1[[#This Row],[QTE]]</f>
        <v>-2</v>
      </c>
      <c r="R930" s="18">
        <f>IFERROR(H930*((AA930*0.25)+(AC930*0.25)+(AD930*0.225)+(AE930*0.225)+(AF930*0.05)),"")</f>
        <v>0</v>
      </c>
      <c r="S930" s="18">
        <f>IFERROR(H930*AG930,"")</f>
        <v>0</v>
      </c>
      <c r="T930" s="19">
        <f>IFERROR(S930-H930,"")</f>
        <v>-204.66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>U930-C930</f>
        <v>-2</v>
      </c>
      <c r="Z930" s="20">
        <f>Tabela1[[#This Row],[PESO TOTAL]]-Tabela1[[#This Row],[Peso Expedido]]</f>
        <v>204.66</v>
      </c>
      <c r="AA930" s="17"/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5162</v>
      </c>
      <c r="B931" s="21" t="s">
        <v>5163</v>
      </c>
      <c r="C931" s="1">
        <v>2</v>
      </c>
      <c r="D931" s="1" t="s">
        <v>5165</v>
      </c>
      <c r="E931" s="7">
        <v>4586</v>
      </c>
      <c r="F931" s="7">
        <v>58</v>
      </c>
      <c r="G931" s="1">
        <v>111.41</v>
      </c>
      <c r="H931" s="34">
        <f>Tabela1[[#This Row],[PESO UNI]]*Tabela1[[#This Row],[QTE]]</f>
        <v>222.82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5119</v>
      </c>
      <c r="O931" s="12"/>
      <c r="P931" s="13"/>
      <c r="Q931" s="14">
        <f>Tabela1[[#This Row],[QTDE/ Fabricação]]-Tabela1[[#This Row],[QTE]]</f>
        <v>-2</v>
      </c>
      <c r="R931" s="18">
        <f>IFERROR(H931*((AA931*0.25)+(AC931*0.25)+(AD931*0.225)+(AE931*0.225)+(AF931*0.05)),"")</f>
        <v>0</v>
      </c>
      <c r="S931" s="18">
        <f>IFERROR(H931*AG931,"")</f>
        <v>0</v>
      </c>
      <c r="T931" s="19">
        <f>IFERROR(S931-H931,"")</f>
        <v>-222.82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>U931-C931</f>
        <v>-2</v>
      </c>
      <c r="Z931" s="20">
        <f>Tabela1[[#This Row],[PESO TOTAL]]-Tabela1[[#This Row],[Peso Expedido]]</f>
        <v>222.82</v>
      </c>
      <c r="AA931" s="17"/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5162</v>
      </c>
      <c r="B932" s="21" t="s">
        <v>5163</v>
      </c>
      <c r="C932" s="1">
        <v>1</v>
      </c>
      <c r="D932" s="1" t="s">
        <v>5166</v>
      </c>
      <c r="E932" s="7">
        <v>4587</v>
      </c>
      <c r="F932" s="7">
        <v>58</v>
      </c>
      <c r="G932" s="1">
        <v>107.64</v>
      </c>
      <c r="H932" s="34">
        <f>Tabela1[[#This Row],[PESO UNI]]*Tabela1[[#This Row],[QTE]]</f>
        <v>107.64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5119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0</v>
      </c>
      <c r="S932" s="18">
        <f>IFERROR(H932*AG932,"")</f>
        <v>0</v>
      </c>
      <c r="T932" s="19">
        <f>IFERROR(S932-H932,"")</f>
        <v>-107.64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>U932-C932</f>
        <v>-1</v>
      </c>
      <c r="Z932" s="20">
        <f>Tabela1[[#This Row],[PESO TOTAL]]-Tabela1[[#This Row],[Peso Expedido]]</f>
        <v>107.64</v>
      </c>
      <c r="AA932" s="17"/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5162</v>
      </c>
      <c r="B933" s="21" t="s">
        <v>5163</v>
      </c>
      <c r="C933" s="1">
        <v>2</v>
      </c>
      <c r="D933" s="1" t="s">
        <v>5167</v>
      </c>
      <c r="E933" s="7">
        <v>4588</v>
      </c>
      <c r="F933" s="7">
        <v>58</v>
      </c>
      <c r="G933" s="1">
        <v>148.63999999999999</v>
      </c>
      <c r="H933" s="34">
        <f>Tabela1[[#This Row],[PESO UNI]]*Tabela1[[#This Row],[QTE]]</f>
        <v>297.27999999999997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5119</v>
      </c>
      <c r="O933" s="12"/>
      <c r="P933" s="13"/>
      <c r="Q933" s="14">
        <f>Tabela1[[#This Row],[QTDE/ Fabricação]]-Tabela1[[#This Row],[QTE]]</f>
        <v>-2</v>
      </c>
      <c r="R933" s="18">
        <f>IFERROR(H933*((AA933*0.25)+(AC933*0.25)+(AD933*0.225)+(AE933*0.225)+(AF933*0.05)),"")</f>
        <v>0</v>
      </c>
      <c r="S933" s="18">
        <f>IFERROR(H933*AG933,"")</f>
        <v>0</v>
      </c>
      <c r="T933" s="19">
        <f>IFERROR(S933-H933,"")</f>
        <v>-297.27999999999997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>U933-C933</f>
        <v>-2</v>
      </c>
      <c r="Z933" s="20">
        <f>Tabela1[[#This Row],[PESO TOTAL]]-Tabela1[[#This Row],[Peso Expedido]]</f>
        <v>297.27999999999997</v>
      </c>
      <c r="AA933" s="17"/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5162</v>
      </c>
      <c r="B934" s="21" t="s">
        <v>5163</v>
      </c>
      <c r="C934" s="1">
        <v>1</v>
      </c>
      <c r="D934" s="1" t="s">
        <v>5168</v>
      </c>
      <c r="E934" s="7">
        <v>4589</v>
      </c>
      <c r="F934" s="7">
        <v>58</v>
      </c>
      <c r="G934" s="1">
        <v>26.04</v>
      </c>
      <c r="H934" s="34">
        <f>Tabela1[[#This Row],[PESO UNI]]*Tabela1[[#This Row],[QTE]]</f>
        <v>26.04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5119</v>
      </c>
      <c r="O934" s="12"/>
      <c r="P934" s="13"/>
      <c r="Q934" s="14">
        <f>Tabela1[[#This Row],[QTDE/ Fabricação]]-Tabela1[[#This Row],[QTE]]</f>
        <v>-1</v>
      </c>
      <c r="R934" s="18">
        <f>IFERROR(H934*((AA934*0.25)+(AC934*0.25)+(AD934*0.225)+(AE934*0.225)+(AF934*0.05)),"")</f>
        <v>0</v>
      </c>
      <c r="S934" s="18">
        <f>IFERROR(H934*AG934,"")</f>
        <v>0</v>
      </c>
      <c r="T934" s="19">
        <f>IFERROR(S934-H934,"")</f>
        <v>-26.04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>U934-C934</f>
        <v>-1</v>
      </c>
      <c r="Z934" s="20">
        <f>Tabela1[[#This Row],[PESO TOTAL]]-Tabela1[[#This Row],[Peso Expedido]]</f>
        <v>26.04</v>
      </c>
      <c r="AA934" s="17"/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5162</v>
      </c>
      <c r="B935" s="21" t="s">
        <v>5163</v>
      </c>
      <c r="C935" s="1">
        <v>1</v>
      </c>
      <c r="D935" s="1" t="s">
        <v>5169</v>
      </c>
      <c r="E935" s="7">
        <v>4590</v>
      </c>
      <c r="F935" s="7">
        <v>58</v>
      </c>
      <c r="G935" s="1">
        <v>26.04</v>
      </c>
      <c r="H935" s="34">
        <f>Tabela1[[#This Row],[PESO UNI]]*Tabela1[[#This Row],[QTE]]</f>
        <v>26.04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5119</v>
      </c>
      <c r="O935" s="12"/>
      <c r="P935" s="13"/>
      <c r="Q935" s="14">
        <f>Tabela1[[#This Row],[QTDE/ Fabricação]]-Tabela1[[#This Row],[QTE]]</f>
        <v>-1</v>
      </c>
      <c r="R935" s="18">
        <f>IFERROR(H935*((AA935*0.25)+(AC935*0.25)+(AD935*0.225)+(AE935*0.225)+(AF935*0.05)),"")</f>
        <v>0</v>
      </c>
      <c r="S935" s="18">
        <f>IFERROR(H935*AG935,"")</f>
        <v>0</v>
      </c>
      <c r="T935" s="19">
        <f>IFERROR(S935-H935,"")</f>
        <v>-26.04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>U935-C935</f>
        <v>-1</v>
      </c>
      <c r="Z935" s="20">
        <f>Tabela1[[#This Row],[PESO TOTAL]]-Tabela1[[#This Row],[Peso Expedido]]</f>
        <v>26.04</v>
      </c>
      <c r="AA935" s="17"/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5162</v>
      </c>
      <c r="B936" s="21" t="s">
        <v>5163</v>
      </c>
      <c r="C936" s="1">
        <v>1</v>
      </c>
      <c r="D936" s="1" t="s">
        <v>5170</v>
      </c>
      <c r="E936" s="7">
        <v>4591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5119</v>
      </c>
      <c r="O936" s="12"/>
      <c r="P936" s="13"/>
      <c r="Q936" s="14">
        <f>Tabela1[[#This Row],[QTDE/ Fabricação]]-Tabela1[[#This Row],[QTE]]</f>
        <v>-1</v>
      </c>
      <c r="R936" s="18">
        <f>IFERROR(H936*((AA936*0.25)+(AC936*0.25)+(AD936*0.225)+(AE936*0.225)+(AF936*0.05)),"")</f>
        <v>0</v>
      </c>
      <c r="S936" s="18">
        <f>IFERROR(H936*AG936,"")</f>
        <v>0</v>
      </c>
      <c r="T936" s="19">
        <f>IFERROR(S936-H936,"")</f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>U936-C936</f>
        <v>-1</v>
      </c>
      <c r="Z936" s="20">
        <f>Tabela1[[#This Row],[PESO TOTAL]]-Tabela1[[#This Row],[Peso Expedido]]</f>
        <v>26.04</v>
      </c>
      <c r="AA936" s="17"/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5162</v>
      </c>
      <c r="B937" s="21" t="s">
        <v>5163</v>
      </c>
      <c r="C937" s="1">
        <v>1</v>
      </c>
      <c r="D937" s="1" t="s">
        <v>5171</v>
      </c>
      <c r="E937" s="7">
        <v>4592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5119</v>
      </c>
      <c r="O937" s="12"/>
      <c r="P937" s="13"/>
      <c r="Q937" s="14">
        <f>Tabela1[[#This Row],[QTDE/ Fabricação]]-Tabela1[[#This Row],[QTE]]</f>
        <v>-1</v>
      </c>
      <c r="R937" s="18">
        <f>IFERROR(H937*((AA937*0.25)+(AC937*0.25)+(AD937*0.225)+(AE937*0.225)+(AF937*0.05)),"")</f>
        <v>0</v>
      </c>
      <c r="S937" s="18">
        <f>IFERROR(H937*AG937,"")</f>
        <v>0</v>
      </c>
      <c r="T937" s="19">
        <f>IFERROR(S937-H937,"")</f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>U937-C937</f>
        <v>-1</v>
      </c>
      <c r="Z937" s="20">
        <f>Tabela1[[#This Row],[PESO TOTAL]]-Tabela1[[#This Row],[Peso Expedido]]</f>
        <v>26.04</v>
      </c>
      <c r="AA937" s="17"/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5162</v>
      </c>
      <c r="B938" s="21" t="s">
        <v>5163</v>
      </c>
      <c r="C938" s="1">
        <v>12</v>
      </c>
      <c r="D938" s="1" t="s">
        <v>5172</v>
      </c>
      <c r="E938" s="7">
        <v>4593</v>
      </c>
      <c r="F938" s="7">
        <v>58</v>
      </c>
      <c r="G938" s="1">
        <v>7.89</v>
      </c>
      <c r="H938" s="34">
        <f>Tabela1[[#This Row],[PESO UNI]]*Tabela1[[#This Row],[QTE]]</f>
        <v>94.679999999999993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5119</v>
      </c>
      <c r="O938" s="12"/>
      <c r="P938" s="13"/>
      <c r="Q938" s="14">
        <f>Tabela1[[#This Row],[QTDE/ Fabricação]]-Tabela1[[#This Row],[QTE]]</f>
        <v>-12</v>
      </c>
      <c r="R938" s="18">
        <f>IFERROR(H938*((AA938*0.25)+(AC938*0.25)+(AD938*0.225)+(AE938*0.225)+(AF938*0.05)),"")</f>
        <v>0</v>
      </c>
      <c r="S938" s="18">
        <f>IFERROR(H938*AG938,"")</f>
        <v>0</v>
      </c>
      <c r="T938" s="19">
        <f>IFERROR(S938-H938,"")</f>
        <v>-94.679999999999993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>U938-C938</f>
        <v>-12</v>
      </c>
      <c r="Z938" s="20">
        <f>Tabela1[[#This Row],[PESO TOTAL]]-Tabela1[[#This Row],[Peso Expedido]]</f>
        <v>94.679999999999993</v>
      </c>
      <c r="AA938" s="17"/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5162</v>
      </c>
      <c r="B939" s="21" t="s">
        <v>5163</v>
      </c>
      <c r="C939" s="1">
        <v>3</v>
      </c>
      <c r="D939" s="1" t="s">
        <v>5173</v>
      </c>
      <c r="E939" s="7">
        <v>4594</v>
      </c>
      <c r="F939" s="7">
        <v>58</v>
      </c>
      <c r="G939" s="1">
        <v>10.33</v>
      </c>
      <c r="H939" s="34">
        <f>Tabela1[[#This Row],[PESO UNI]]*Tabela1[[#This Row],[QTE]]</f>
        <v>30.990000000000002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5119</v>
      </c>
      <c r="O939" s="12"/>
      <c r="P939" s="13"/>
      <c r="Q939" s="14">
        <f>Tabela1[[#This Row],[QTDE/ Fabricação]]-Tabela1[[#This Row],[QTE]]</f>
        <v>-3</v>
      </c>
      <c r="R939" s="18">
        <f>IFERROR(H939*((AA939*0.25)+(AC939*0.25)+(AD939*0.225)+(AE939*0.225)+(AF939*0.05)),"")</f>
        <v>0</v>
      </c>
      <c r="S939" s="18">
        <f>IFERROR(H939*AG939,"")</f>
        <v>0</v>
      </c>
      <c r="T939" s="19">
        <f>IFERROR(S939-H939,"")</f>
        <v>-30.990000000000002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>U939-C939</f>
        <v>-3</v>
      </c>
      <c r="Z939" s="20">
        <f>Tabela1[[#This Row],[PESO TOTAL]]-Tabela1[[#This Row],[Peso Expedido]]</f>
        <v>30.990000000000002</v>
      </c>
      <c r="AA939" s="17"/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5162</v>
      </c>
      <c r="B940" s="21" t="s">
        <v>5163</v>
      </c>
      <c r="C940" s="1">
        <v>6</v>
      </c>
      <c r="D940" s="1" t="s">
        <v>5174</v>
      </c>
      <c r="E940" s="7">
        <v>4595</v>
      </c>
      <c r="F940" s="7">
        <v>58</v>
      </c>
      <c r="G940" s="1">
        <v>6.61</v>
      </c>
      <c r="H940" s="34">
        <f>Tabela1[[#This Row],[PESO UNI]]*Tabela1[[#This Row],[QTE]]</f>
        <v>39.660000000000004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5119</v>
      </c>
      <c r="O940" s="12"/>
      <c r="P940" s="13"/>
      <c r="Q940" s="14">
        <f>Tabela1[[#This Row],[QTDE/ Fabricação]]-Tabela1[[#This Row],[QTE]]</f>
        <v>-6</v>
      </c>
      <c r="R940" s="18">
        <f>IFERROR(H940*((AA940*0.25)+(AC940*0.25)+(AD940*0.225)+(AE940*0.225)+(AF940*0.05)),"")</f>
        <v>0</v>
      </c>
      <c r="S940" s="18">
        <f>IFERROR(H940*AG940,"")</f>
        <v>0</v>
      </c>
      <c r="T940" s="19">
        <f>IFERROR(S940-H940,"")</f>
        <v>-39.660000000000004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>U940-C940</f>
        <v>-6</v>
      </c>
      <c r="Z940" s="20">
        <f>Tabela1[[#This Row],[PESO TOTAL]]-Tabela1[[#This Row],[Peso Expedido]]</f>
        <v>39.660000000000004</v>
      </c>
      <c r="AA940" s="17"/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5175</v>
      </c>
      <c r="B941" s="21" t="s">
        <v>5176</v>
      </c>
      <c r="C941" s="1">
        <v>2</v>
      </c>
      <c r="D941" s="1" t="s">
        <v>5177</v>
      </c>
      <c r="E941" s="7">
        <v>4596</v>
      </c>
      <c r="F941" s="7">
        <v>58</v>
      </c>
      <c r="G941" s="1">
        <v>96.54</v>
      </c>
      <c r="H941" s="34">
        <f>Tabela1[[#This Row],[PESO UNI]]*Tabela1[[#This Row],[QTE]]</f>
        <v>193.08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5119</v>
      </c>
      <c r="O941" s="12"/>
      <c r="P941" s="13"/>
      <c r="Q941" s="14">
        <f>Tabela1[[#This Row],[QTDE/ Fabricação]]-Tabela1[[#This Row],[QTE]]</f>
        <v>-2</v>
      </c>
      <c r="R941" s="18">
        <f>IFERROR(H941*((AA941*0.25)+(AC941*0.25)+(AD941*0.225)+(AE941*0.225)+(AF941*0.05)),"")</f>
        <v>0</v>
      </c>
      <c r="S941" s="18">
        <f>IFERROR(H941*AG941,"")</f>
        <v>0</v>
      </c>
      <c r="T941" s="19">
        <f>IFERROR(S941-H941,"")</f>
        <v>-193.08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>U941-C941</f>
        <v>-2</v>
      </c>
      <c r="Z941" s="20">
        <f>Tabela1[[#This Row],[PESO TOTAL]]-Tabela1[[#This Row],[Peso Expedido]]</f>
        <v>193.08</v>
      </c>
      <c r="AA941" s="17"/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5175</v>
      </c>
      <c r="B942" s="21" t="s">
        <v>5176</v>
      </c>
      <c r="C942" s="1">
        <v>2</v>
      </c>
      <c r="D942" s="1" t="s">
        <v>5178</v>
      </c>
      <c r="E942" s="7">
        <v>4597</v>
      </c>
      <c r="F942" s="7">
        <v>58</v>
      </c>
      <c r="G942" s="1">
        <v>112.63</v>
      </c>
      <c r="H942" s="34">
        <f>Tabela1[[#This Row],[PESO UNI]]*Tabela1[[#This Row],[QTE]]</f>
        <v>225.26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5119</v>
      </c>
      <c r="O942" s="12"/>
      <c r="P942" s="13"/>
      <c r="Q942" s="14">
        <f>Tabela1[[#This Row],[QTDE/ Fabricação]]-Tabela1[[#This Row],[QTE]]</f>
        <v>-2</v>
      </c>
      <c r="R942" s="18">
        <f>IFERROR(H942*((AA942*0.25)+(AC942*0.25)+(AD942*0.225)+(AE942*0.225)+(AF942*0.05)),"")</f>
        <v>0</v>
      </c>
      <c r="S942" s="18">
        <f>IFERROR(H942*AG942,"")</f>
        <v>0</v>
      </c>
      <c r="T942" s="19">
        <f>IFERROR(S942-H942,"")</f>
        <v>-225.26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>U942-C942</f>
        <v>-2</v>
      </c>
      <c r="Z942" s="20">
        <f>Tabela1[[#This Row],[PESO TOTAL]]-Tabela1[[#This Row],[Peso Expedido]]</f>
        <v>225.26</v>
      </c>
      <c r="AA942" s="17"/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5175</v>
      </c>
      <c r="B943" s="21" t="s">
        <v>5176</v>
      </c>
      <c r="C943" s="1">
        <v>1</v>
      </c>
      <c r="D943" s="1" t="s">
        <v>5179</v>
      </c>
      <c r="E943" s="7">
        <v>4598</v>
      </c>
      <c r="F943" s="7">
        <v>58</v>
      </c>
      <c r="G943" s="1">
        <v>89.1</v>
      </c>
      <c r="H943" s="34">
        <f>Tabela1[[#This Row],[PESO UNI]]*Tabela1[[#This Row],[QTE]]</f>
        <v>89.1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5119</v>
      </c>
      <c r="O943" s="12"/>
      <c r="P943" s="13"/>
      <c r="Q943" s="14">
        <f>Tabela1[[#This Row],[QTDE/ Fabricação]]-Tabela1[[#This Row],[QTE]]</f>
        <v>-1</v>
      </c>
      <c r="R943" s="18">
        <f>IFERROR(H943*((AA943*0.25)+(AC943*0.25)+(AD943*0.225)+(AE943*0.225)+(AF943*0.05)),"")</f>
        <v>0</v>
      </c>
      <c r="S943" s="18">
        <f>IFERROR(H943*AG943,"")</f>
        <v>0</v>
      </c>
      <c r="T943" s="19">
        <f>IFERROR(S943-H943,"")</f>
        <v>-89.1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>U943-C943</f>
        <v>-1</v>
      </c>
      <c r="Z943" s="20">
        <f>Tabela1[[#This Row],[PESO TOTAL]]-Tabela1[[#This Row],[Peso Expedido]]</f>
        <v>89.1</v>
      </c>
      <c r="AA943" s="17"/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5175</v>
      </c>
      <c r="B944" s="21" t="s">
        <v>5176</v>
      </c>
      <c r="C944" s="1">
        <v>1</v>
      </c>
      <c r="D944" s="1" t="s">
        <v>5180</v>
      </c>
      <c r="E944" s="7">
        <v>4599</v>
      </c>
      <c r="F944" s="7">
        <v>58</v>
      </c>
      <c r="G944" s="1">
        <v>88.34</v>
      </c>
      <c r="H944" s="34">
        <f>Tabela1[[#This Row],[PESO UNI]]*Tabela1[[#This Row],[QTE]]</f>
        <v>88.34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5119</v>
      </c>
      <c r="O944" s="12"/>
      <c r="P944" s="13"/>
      <c r="Q944" s="14">
        <f>Tabela1[[#This Row],[QTDE/ Fabricação]]-Tabela1[[#This Row],[QTE]]</f>
        <v>-1</v>
      </c>
      <c r="R944" s="18">
        <f>IFERROR(H944*((AA944*0.25)+(AC944*0.25)+(AD944*0.225)+(AE944*0.225)+(AF944*0.05)),"")</f>
        <v>0</v>
      </c>
      <c r="S944" s="18">
        <f>IFERROR(H944*AG944,"")</f>
        <v>0</v>
      </c>
      <c r="T944" s="19">
        <f>IFERROR(S944-H944,"")</f>
        <v>-88.34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>U944-C944</f>
        <v>-1</v>
      </c>
      <c r="Z944" s="20">
        <f>Tabela1[[#This Row],[PESO TOTAL]]-Tabela1[[#This Row],[Peso Expedido]]</f>
        <v>88.34</v>
      </c>
      <c r="AA944" s="17"/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5175</v>
      </c>
      <c r="B945" s="21" t="s">
        <v>5176</v>
      </c>
      <c r="C945" s="1">
        <v>1</v>
      </c>
      <c r="D945" s="1" t="s">
        <v>5181</v>
      </c>
      <c r="E945" s="7">
        <v>4600</v>
      </c>
      <c r="F945" s="7">
        <v>58</v>
      </c>
      <c r="G945" s="1">
        <v>83.44</v>
      </c>
      <c r="H945" s="34">
        <f>Tabela1[[#This Row],[PESO UNI]]*Tabela1[[#This Row],[QTE]]</f>
        <v>83.44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5119</v>
      </c>
      <c r="O945" s="12"/>
      <c r="P945" s="13"/>
      <c r="Q945" s="14">
        <f>Tabela1[[#This Row],[QTDE/ Fabricação]]-Tabela1[[#This Row],[QTE]]</f>
        <v>-1</v>
      </c>
      <c r="R945" s="18">
        <f>IFERROR(H945*((AA945*0.25)+(AC945*0.25)+(AD945*0.225)+(AE945*0.225)+(AF945*0.05)),"")</f>
        <v>0</v>
      </c>
      <c r="S945" s="18">
        <f>IFERROR(H945*AG945,"")</f>
        <v>0</v>
      </c>
      <c r="T945" s="19">
        <f>IFERROR(S945-H945,"")</f>
        <v>-83.44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>U945-C945</f>
        <v>-1</v>
      </c>
      <c r="Z945" s="20">
        <f>Tabela1[[#This Row],[PESO TOTAL]]-Tabela1[[#This Row],[Peso Expedido]]</f>
        <v>83.44</v>
      </c>
      <c r="AA945" s="17"/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5175</v>
      </c>
      <c r="B946" s="21" t="s">
        <v>5176</v>
      </c>
      <c r="C946" s="1">
        <v>1</v>
      </c>
      <c r="D946" s="1" t="s">
        <v>5182</v>
      </c>
      <c r="E946" s="7">
        <v>4601</v>
      </c>
      <c r="F946" s="7">
        <v>58</v>
      </c>
      <c r="G946" s="1">
        <v>105.14</v>
      </c>
      <c r="H946" s="34">
        <f>Tabela1[[#This Row],[PESO UNI]]*Tabela1[[#This Row],[QTE]]</f>
        <v>105.14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5119</v>
      </c>
      <c r="O946" s="12"/>
      <c r="P946" s="13"/>
      <c r="Q946" s="14">
        <f>Tabela1[[#This Row],[QTDE/ Fabricação]]-Tabela1[[#This Row],[QTE]]</f>
        <v>-1</v>
      </c>
      <c r="R946" s="18">
        <f>IFERROR(H946*((AA946*0.25)+(AC946*0.25)+(AD946*0.225)+(AE946*0.225)+(AF946*0.05)),"")</f>
        <v>0</v>
      </c>
      <c r="S946" s="18">
        <f>IFERROR(H946*AG946,"")</f>
        <v>0</v>
      </c>
      <c r="T946" s="19">
        <f>IFERROR(S946-H946,"")</f>
        <v>-105.14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>U946-C946</f>
        <v>-1</v>
      </c>
      <c r="Z946" s="20">
        <f>Tabela1[[#This Row],[PESO TOTAL]]-Tabela1[[#This Row],[Peso Expedido]]</f>
        <v>105.14</v>
      </c>
      <c r="AA946" s="17"/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5175</v>
      </c>
      <c r="B947" s="21" t="s">
        <v>5176</v>
      </c>
      <c r="C947" s="1">
        <v>1</v>
      </c>
      <c r="D947" s="1" t="s">
        <v>5183</v>
      </c>
      <c r="E947" s="7">
        <v>4602</v>
      </c>
      <c r="F947" s="7">
        <v>58</v>
      </c>
      <c r="G947" s="1">
        <v>105.14</v>
      </c>
      <c r="H947" s="34">
        <f>Tabela1[[#This Row],[PESO UNI]]*Tabela1[[#This Row],[QTE]]</f>
        <v>105.14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5119</v>
      </c>
      <c r="O947" s="12"/>
      <c r="P947" s="13"/>
      <c r="Q947" s="14">
        <f>Tabela1[[#This Row],[QTDE/ Fabricação]]-Tabela1[[#This Row],[QTE]]</f>
        <v>-1</v>
      </c>
      <c r="R947" s="18">
        <f>IFERROR(H947*((AA947*0.25)+(AC947*0.25)+(AD947*0.225)+(AE947*0.225)+(AF947*0.05)),"")</f>
        <v>0</v>
      </c>
      <c r="S947" s="18">
        <f>IFERROR(H947*AG947,"")</f>
        <v>0</v>
      </c>
      <c r="T947" s="19">
        <f>IFERROR(S947-H947,"")</f>
        <v>-105.14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>U947-C947</f>
        <v>-1</v>
      </c>
      <c r="Z947" s="20">
        <f>Tabela1[[#This Row],[PESO TOTAL]]-Tabela1[[#This Row],[Peso Expedido]]</f>
        <v>105.14</v>
      </c>
      <c r="AA947" s="17"/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5175</v>
      </c>
      <c r="B948" s="21" t="s">
        <v>5176</v>
      </c>
      <c r="C948" s="1">
        <v>1</v>
      </c>
      <c r="D948" s="1" t="s">
        <v>5184</v>
      </c>
      <c r="E948" s="7">
        <v>4603</v>
      </c>
      <c r="F948" s="7">
        <v>58</v>
      </c>
      <c r="G948" s="1">
        <v>107.64</v>
      </c>
      <c r="H948" s="34">
        <f>Tabela1[[#This Row],[PESO UNI]]*Tabela1[[#This Row],[QTE]]</f>
        <v>107.64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5119</v>
      </c>
      <c r="O948" s="12"/>
      <c r="P948" s="13"/>
      <c r="Q948" s="14">
        <f>Tabela1[[#This Row],[QTDE/ Fabricação]]-Tabela1[[#This Row],[QTE]]</f>
        <v>-1</v>
      </c>
      <c r="R948" s="18">
        <f>IFERROR(H948*((AA948*0.25)+(AC948*0.25)+(AD948*0.225)+(AE948*0.225)+(AF948*0.05)),"")</f>
        <v>0</v>
      </c>
      <c r="S948" s="18">
        <f>IFERROR(H948*AG948,"")</f>
        <v>0</v>
      </c>
      <c r="T948" s="19">
        <f>IFERROR(S948-H948,"")</f>
        <v>-107.64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>U948-C948</f>
        <v>-1</v>
      </c>
      <c r="Z948" s="20">
        <f>Tabela1[[#This Row],[PESO TOTAL]]-Tabela1[[#This Row],[Peso Expedido]]</f>
        <v>107.64</v>
      </c>
      <c r="AA948" s="17"/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5187</v>
      </c>
      <c r="B949" s="21" t="s">
        <v>5185</v>
      </c>
      <c r="C949" s="1">
        <v>1</v>
      </c>
      <c r="D949" s="1" t="s">
        <v>5186</v>
      </c>
      <c r="E949" s="7">
        <v>4604</v>
      </c>
      <c r="F949" s="7">
        <v>58</v>
      </c>
      <c r="G949" s="1">
        <v>513.87</v>
      </c>
      <c r="H949" s="34">
        <f>Tabela1[[#This Row],[PESO UNI]]*Tabela1[[#This Row],[QTE]]</f>
        <v>513.87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5119</v>
      </c>
      <c r="O949" s="12"/>
      <c r="P949" s="13"/>
      <c r="Q949" s="14">
        <f>Tabela1[[#This Row],[QTDE/ Fabricação]]-Tabela1[[#This Row],[QTE]]</f>
        <v>-1</v>
      </c>
      <c r="R949" s="18">
        <f>IFERROR(H949*((AA949*0.25)+(AC949*0.25)+(AD949*0.225)+(AE949*0.225)+(AF949*0.05)),"")</f>
        <v>0</v>
      </c>
      <c r="S949" s="18">
        <f>IFERROR(H949*AG949,"")</f>
        <v>0</v>
      </c>
      <c r="T949" s="19">
        <f>IFERROR(S949-H949,"")</f>
        <v>-513.87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>U949-C949</f>
        <v>-1</v>
      </c>
      <c r="Z949" s="20">
        <f>Tabela1[[#This Row],[PESO TOTAL]]-Tabela1[[#This Row],[Peso Expedido]]</f>
        <v>513.87</v>
      </c>
      <c r="AA949" s="17"/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5188</v>
      </c>
      <c r="B950" s="21" t="s">
        <v>5189</v>
      </c>
      <c r="C950" s="1">
        <v>1</v>
      </c>
      <c r="D950" s="1" t="s">
        <v>5190</v>
      </c>
      <c r="E950" s="7">
        <v>4605</v>
      </c>
      <c r="F950" s="7">
        <v>58</v>
      </c>
      <c r="G950" s="1">
        <v>483.47</v>
      </c>
      <c r="H950" s="34">
        <f>Tabela1[[#This Row],[PESO UNI]]*Tabela1[[#This Row],[QTE]]</f>
        <v>483.47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5119</v>
      </c>
      <c r="O950" s="12"/>
      <c r="P950" s="13"/>
      <c r="Q950" s="14">
        <f>Tabela1[[#This Row],[QTDE/ Fabricação]]-Tabela1[[#This Row],[QTE]]</f>
        <v>-1</v>
      </c>
      <c r="R950" s="18">
        <f>IFERROR(H950*((AA950*0.25)+(AC950*0.25)+(AD950*0.225)+(AE950*0.225)+(AF950*0.05)),"")</f>
        <v>0</v>
      </c>
      <c r="S950" s="18">
        <f>IFERROR(H950*AG950,"")</f>
        <v>0</v>
      </c>
      <c r="T950" s="19">
        <f>IFERROR(S950-H950,"")</f>
        <v>-483.47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>U950-C950</f>
        <v>-1</v>
      </c>
      <c r="Z950" s="20">
        <f>Tabela1[[#This Row],[PESO TOTAL]]-Tabela1[[#This Row],[Peso Expedido]]</f>
        <v>483.47</v>
      </c>
      <c r="AA950" s="17"/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5191</v>
      </c>
      <c r="B951" s="21" t="s">
        <v>5192</v>
      </c>
      <c r="C951" s="1">
        <v>1</v>
      </c>
      <c r="D951" s="1" t="s">
        <v>5193</v>
      </c>
      <c r="E951" s="7">
        <v>4606</v>
      </c>
      <c r="F951" s="7">
        <v>58</v>
      </c>
      <c r="G951" s="1">
        <v>477.68</v>
      </c>
      <c r="H951" s="34">
        <f>Tabela1[[#This Row],[PESO UNI]]*Tabela1[[#This Row],[QTE]]</f>
        <v>477.68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5119</v>
      </c>
      <c r="O951" s="12"/>
      <c r="P951" s="13"/>
      <c r="Q951" s="14">
        <f>Tabela1[[#This Row],[QTDE/ Fabricação]]-Tabela1[[#This Row],[QTE]]</f>
        <v>-1</v>
      </c>
      <c r="R951" s="18">
        <f>IFERROR(H951*((AA951*0.25)+(AC951*0.25)+(AD951*0.225)+(AE951*0.225)+(AF951*0.05)),"")</f>
        <v>0</v>
      </c>
      <c r="S951" s="18">
        <f>IFERROR(H951*AG951,"")</f>
        <v>0</v>
      </c>
      <c r="T951" s="19">
        <f>IFERROR(S951-H951,"")</f>
        <v>-477.68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>U951-C951</f>
        <v>-1</v>
      </c>
      <c r="Z951" s="20">
        <f>Tabela1[[#This Row],[PESO TOTAL]]-Tabela1[[#This Row],[Peso Expedido]]</f>
        <v>477.68</v>
      </c>
      <c r="AA951" s="17"/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5194</v>
      </c>
      <c r="B952" s="21" t="s">
        <v>5195</v>
      </c>
      <c r="C952" s="1">
        <v>1</v>
      </c>
      <c r="D952" s="1" t="s">
        <v>5196</v>
      </c>
      <c r="E952" s="7">
        <v>4607</v>
      </c>
      <c r="F952" s="7">
        <v>58</v>
      </c>
      <c r="G952" s="1">
        <v>499.5</v>
      </c>
      <c r="H952" s="34">
        <f>Tabela1[[#This Row],[PESO UNI]]*Tabela1[[#This Row],[QTE]]</f>
        <v>499.5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5119</v>
      </c>
      <c r="O952" s="12"/>
      <c r="P952" s="13"/>
      <c r="Q952" s="14">
        <f>Tabela1[[#This Row],[QTDE/ Fabricação]]-Tabela1[[#This Row],[QTE]]</f>
        <v>-1</v>
      </c>
      <c r="R952" s="18">
        <f>IFERROR(H952*((AA952*0.25)+(AC952*0.25)+(AD952*0.225)+(AE952*0.225)+(AF952*0.05)),"")</f>
        <v>0</v>
      </c>
      <c r="S952" s="18">
        <f>IFERROR(H952*AG952,"")</f>
        <v>0</v>
      </c>
      <c r="T952" s="19">
        <f>IFERROR(S952-H952,"")</f>
        <v>-499.5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>U952-C952</f>
        <v>-1</v>
      </c>
      <c r="Z952" s="20">
        <f>Tabela1[[#This Row],[PESO TOTAL]]-Tabela1[[#This Row],[Peso Expedido]]</f>
        <v>499.5</v>
      </c>
      <c r="AA952" s="17"/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5197</v>
      </c>
      <c r="B953" s="21" t="s">
        <v>5198</v>
      </c>
      <c r="C953" s="1">
        <v>3</v>
      </c>
      <c r="D953" s="1" t="s">
        <v>5199</v>
      </c>
      <c r="E953" s="7">
        <v>4608</v>
      </c>
      <c r="F953" s="7">
        <v>59</v>
      </c>
      <c r="G953" s="1">
        <v>499.5</v>
      </c>
      <c r="H953" s="34">
        <f>Tabela1[[#This Row],[PESO UNI]]*Tabela1[[#This Row],[QTE]]</f>
        <v>1498.5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5119</v>
      </c>
      <c r="O953" s="12"/>
      <c r="P953" s="13"/>
      <c r="Q953" s="14">
        <f>Tabela1[[#This Row],[QTDE/ Fabricação]]-Tabela1[[#This Row],[QTE]]</f>
        <v>-3</v>
      </c>
      <c r="R953" s="18">
        <f>IFERROR(H953*((AA953*0.25)+(AC953*0.25)+(AD953*0.225)+(AE953*0.225)+(AF953*0.05)),"")</f>
        <v>0</v>
      </c>
      <c r="S953" s="18">
        <f>IFERROR(H953*AG953,"")</f>
        <v>0</v>
      </c>
      <c r="T953" s="19">
        <f>IFERROR(S953-H953,"")</f>
        <v>-1498.5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>U953-C953</f>
        <v>-3</v>
      </c>
      <c r="Z953" s="20">
        <f>Tabela1[[#This Row],[PESO TOTAL]]-Tabela1[[#This Row],[Peso Expedido]]</f>
        <v>1498.5</v>
      </c>
      <c r="AA953" s="17"/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5197</v>
      </c>
      <c r="B954" s="21" t="s">
        <v>5198</v>
      </c>
      <c r="C954" s="1">
        <v>1</v>
      </c>
      <c r="D954" s="1" t="s">
        <v>5200</v>
      </c>
      <c r="E954" s="7">
        <v>4609</v>
      </c>
      <c r="F954" s="7">
        <v>59</v>
      </c>
      <c r="G954" s="1">
        <v>114.46</v>
      </c>
      <c r="H954" s="34">
        <f>Tabela1[[#This Row],[PESO UNI]]*Tabela1[[#This Row],[QTE]]</f>
        <v>114.46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5119</v>
      </c>
      <c r="O954" s="12"/>
      <c r="P954" s="13"/>
      <c r="Q954" s="14">
        <f>Tabela1[[#This Row],[QTDE/ Fabricação]]-Tabela1[[#This Row],[QTE]]</f>
        <v>-1</v>
      </c>
      <c r="R954" s="18">
        <f>IFERROR(H954*((AA954*0.25)+(AC954*0.25)+(AD954*0.225)+(AE954*0.225)+(AF954*0.05)),"")</f>
        <v>0</v>
      </c>
      <c r="S954" s="18">
        <f>IFERROR(H954*AG954,"")</f>
        <v>0</v>
      </c>
      <c r="T954" s="19">
        <f>IFERROR(S954-H954,"")</f>
        <v>-114.46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>U954-C954</f>
        <v>-1</v>
      </c>
      <c r="Z954" s="20">
        <f>Tabela1[[#This Row],[PESO TOTAL]]-Tabela1[[#This Row],[Peso Expedido]]</f>
        <v>114.46</v>
      </c>
      <c r="AA954" s="17"/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5197</v>
      </c>
      <c r="B955" s="21" t="s">
        <v>5198</v>
      </c>
      <c r="C955" s="1">
        <v>1</v>
      </c>
      <c r="D955" s="1" t="s">
        <v>5201</v>
      </c>
      <c r="E955" s="7">
        <v>4610</v>
      </c>
      <c r="F955" s="7">
        <v>59</v>
      </c>
      <c r="G955" s="1">
        <v>80.17</v>
      </c>
      <c r="H955" s="34">
        <f>Tabela1[[#This Row],[PESO UNI]]*Tabela1[[#This Row],[QTE]]</f>
        <v>80.17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5119</v>
      </c>
      <c r="O955" s="12"/>
      <c r="P955" s="13"/>
      <c r="Q955" s="14">
        <f>Tabela1[[#This Row],[QTDE/ Fabricação]]-Tabela1[[#This Row],[QTE]]</f>
        <v>-1</v>
      </c>
      <c r="R955" s="18">
        <f>IFERROR(H955*((AA955*0.25)+(AC955*0.25)+(AD955*0.225)+(AE955*0.225)+(AF955*0.05)),"")</f>
        <v>0</v>
      </c>
      <c r="S955" s="18">
        <f>IFERROR(H955*AG955,"")</f>
        <v>0</v>
      </c>
      <c r="T955" s="19">
        <f>IFERROR(S955-H955,"")</f>
        <v>-80.17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>U955-C955</f>
        <v>-1</v>
      </c>
      <c r="Z955" s="20">
        <f>Tabela1[[#This Row],[PESO TOTAL]]-Tabela1[[#This Row],[Peso Expedido]]</f>
        <v>80.17</v>
      </c>
      <c r="AA955" s="17"/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5197</v>
      </c>
      <c r="B956" s="21" t="s">
        <v>5198</v>
      </c>
      <c r="C956" s="1">
        <v>1</v>
      </c>
      <c r="D956" s="1" t="s">
        <v>5202</v>
      </c>
      <c r="E956" s="7">
        <v>4611</v>
      </c>
      <c r="F956" s="7">
        <v>59</v>
      </c>
      <c r="G956" s="1">
        <v>113.7</v>
      </c>
      <c r="H956" s="34">
        <f>Tabela1[[#This Row],[PESO UNI]]*Tabela1[[#This Row],[QTE]]</f>
        <v>113.7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5119</v>
      </c>
      <c r="O956" s="12"/>
      <c r="P956" s="13"/>
      <c r="Q956" s="14">
        <f>Tabela1[[#This Row],[QTDE/ Fabricação]]-Tabela1[[#This Row],[QTE]]</f>
        <v>-1</v>
      </c>
      <c r="R956" s="18">
        <f>IFERROR(H956*((AA956*0.25)+(AC956*0.25)+(AD956*0.225)+(AE956*0.225)+(AF956*0.05)),"")</f>
        <v>0</v>
      </c>
      <c r="S956" s="18">
        <f>IFERROR(H956*AG956,"")</f>
        <v>0</v>
      </c>
      <c r="T956" s="19">
        <f>IFERROR(S956-H956,"")</f>
        <v>-113.7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>U956-C956</f>
        <v>-1</v>
      </c>
      <c r="Z956" s="20">
        <f>Tabela1[[#This Row],[PESO TOTAL]]-Tabela1[[#This Row],[Peso Expedido]]</f>
        <v>113.7</v>
      </c>
      <c r="AA956" s="17"/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5197</v>
      </c>
      <c r="B957" s="21" t="s">
        <v>5198</v>
      </c>
      <c r="C957" s="1">
        <v>3</v>
      </c>
      <c r="D957" s="1" t="s">
        <v>5203</v>
      </c>
      <c r="E957" s="7">
        <v>4612</v>
      </c>
      <c r="F957" s="7">
        <v>59</v>
      </c>
      <c r="G957" s="1">
        <v>46.8</v>
      </c>
      <c r="H957" s="34">
        <f>Tabela1[[#This Row],[PESO UNI]]*Tabela1[[#This Row],[QTE]]</f>
        <v>140.39999999999998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5119</v>
      </c>
      <c r="O957" s="12"/>
      <c r="P957" s="13"/>
      <c r="Q957" s="14">
        <f>Tabela1[[#This Row],[QTDE/ Fabricação]]-Tabela1[[#This Row],[QTE]]</f>
        <v>-3</v>
      </c>
      <c r="R957" s="18">
        <f>IFERROR(H957*((AA957*0.25)+(AC957*0.25)+(AD957*0.225)+(AE957*0.225)+(AF957*0.05)),"")</f>
        <v>0</v>
      </c>
      <c r="S957" s="18">
        <f>IFERROR(H957*AG957,"")</f>
        <v>0</v>
      </c>
      <c r="T957" s="19">
        <f>IFERROR(S957-H957,"")</f>
        <v>-140.39999999999998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>U957-C957</f>
        <v>-3</v>
      </c>
      <c r="Z957" s="20">
        <f>Tabela1[[#This Row],[PESO TOTAL]]-Tabela1[[#This Row],[Peso Expedido]]</f>
        <v>140.39999999999998</v>
      </c>
      <c r="AA957" s="17"/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5204</v>
      </c>
      <c r="B958" s="21" t="s">
        <v>5205</v>
      </c>
      <c r="C958" s="1">
        <v>1</v>
      </c>
      <c r="D958" s="1" t="s">
        <v>5208</v>
      </c>
      <c r="E958" s="7">
        <v>4613</v>
      </c>
      <c r="F958" s="7">
        <v>59</v>
      </c>
      <c r="G958" s="1">
        <v>134.07</v>
      </c>
      <c r="H958" s="34">
        <f>Tabela1[[#This Row],[PESO UNI]]*Tabela1[[#This Row],[QTE]]</f>
        <v>134.07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5119</v>
      </c>
      <c r="O958" s="12"/>
      <c r="P958" s="13"/>
      <c r="Q958" s="14">
        <f>Tabela1[[#This Row],[QTDE/ Fabricação]]-Tabela1[[#This Row],[QTE]]</f>
        <v>-1</v>
      </c>
      <c r="R958" s="18">
        <f>IFERROR(H958*((AA958*0.25)+(AC958*0.25)+(AD958*0.225)+(AE958*0.225)+(AF958*0.05)),"")</f>
        <v>0</v>
      </c>
      <c r="S958" s="18">
        <f>IFERROR(H958*AG958,"")</f>
        <v>0</v>
      </c>
      <c r="T958" s="19">
        <f>IFERROR(S958-H958,"")</f>
        <v>-134.07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>U958-C958</f>
        <v>-1</v>
      </c>
      <c r="Z958" s="20">
        <f>Tabela1[[#This Row],[PESO TOTAL]]-Tabela1[[#This Row],[Peso Expedido]]</f>
        <v>134.07</v>
      </c>
      <c r="AA958" s="17"/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5206</v>
      </c>
      <c r="B959" s="21" t="s">
        <v>5207</v>
      </c>
      <c r="C959" s="1">
        <v>1</v>
      </c>
      <c r="D959" s="1" t="s">
        <v>5209</v>
      </c>
      <c r="E959" s="7">
        <v>4614</v>
      </c>
      <c r="F959" s="7">
        <v>59</v>
      </c>
      <c r="G959" s="1">
        <v>149.56</v>
      </c>
      <c r="H959" s="34">
        <f>Tabela1[[#This Row],[PESO UNI]]*Tabela1[[#This Row],[QTE]]</f>
        <v>149.56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5119</v>
      </c>
      <c r="O959" s="12"/>
      <c r="P959" s="13"/>
      <c r="Q959" s="14">
        <f>Tabela1[[#This Row],[QTDE/ Fabricação]]-Tabela1[[#This Row],[QTE]]</f>
        <v>-1</v>
      </c>
      <c r="R959" s="18">
        <f>IFERROR(H959*((AA959*0.25)+(AC959*0.25)+(AD959*0.225)+(AE959*0.225)+(AF959*0.05)),"")</f>
        <v>0</v>
      </c>
      <c r="S959" s="18">
        <f>IFERROR(H959*AG959,"")</f>
        <v>0</v>
      </c>
      <c r="T959" s="19">
        <f>IFERROR(S959-H959,"")</f>
        <v>-149.56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>U959-C959</f>
        <v>-1</v>
      </c>
      <c r="Z959" s="20">
        <f>Tabela1[[#This Row],[PESO TOTAL]]-Tabela1[[#This Row],[Peso Expedido]]</f>
        <v>149.56</v>
      </c>
      <c r="AA959" s="17"/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5210</v>
      </c>
      <c r="B960" s="21" t="s">
        <v>5211</v>
      </c>
      <c r="C960" s="1">
        <v>1</v>
      </c>
      <c r="D960" s="1" t="s">
        <v>5212</v>
      </c>
      <c r="E960" s="7">
        <v>4615</v>
      </c>
      <c r="F960" s="7">
        <v>59</v>
      </c>
      <c r="G960" s="1">
        <v>151.88</v>
      </c>
      <c r="H960" s="34">
        <f>Tabela1[[#This Row],[PESO UNI]]*Tabela1[[#This Row],[QTE]]</f>
        <v>151.88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5119</v>
      </c>
      <c r="O960" s="12"/>
      <c r="P960" s="13"/>
      <c r="Q960" s="14">
        <f>Tabela1[[#This Row],[QTDE/ Fabricação]]-Tabela1[[#This Row],[QTE]]</f>
        <v>-1</v>
      </c>
      <c r="R960" s="18">
        <f>IFERROR(H960*((AA960*0.25)+(AC960*0.25)+(AD960*0.225)+(AE960*0.225)+(AF960*0.05)),"")</f>
        <v>0</v>
      </c>
      <c r="S960" s="18">
        <f>IFERROR(H960*AG960,"")</f>
        <v>0</v>
      </c>
      <c r="T960" s="19">
        <f>IFERROR(S960-H960,"")</f>
        <v>-151.88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>U960-C960</f>
        <v>-1</v>
      </c>
      <c r="Z960" s="20">
        <f>Tabela1[[#This Row],[PESO TOTAL]]-Tabela1[[#This Row],[Peso Expedido]]</f>
        <v>151.88</v>
      </c>
      <c r="AA960" s="17"/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5213</v>
      </c>
      <c r="B961" s="21" t="s">
        <v>5214</v>
      </c>
      <c r="C961" s="1">
        <v>2</v>
      </c>
      <c r="D961" s="1" t="s">
        <v>5215</v>
      </c>
      <c r="E961" s="7">
        <v>4616</v>
      </c>
      <c r="F961" s="7">
        <v>59</v>
      </c>
      <c r="G961" s="1">
        <v>190.64</v>
      </c>
      <c r="H961" s="34">
        <f>Tabela1[[#This Row],[PESO UNI]]*Tabela1[[#This Row],[QTE]]</f>
        <v>381.28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5119</v>
      </c>
      <c r="O961" s="12"/>
      <c r="P961" s="13"/>
      <c r="Q961" s="14">
        <f>Tabela1[[#This Row],[QTDE/ Fabricação]]-Tabela1[[#This Row],[QTE]]</f>
        <v>-2</v>
      </c>
      <c r="R961" s="18">
        <f>IFERROR(H961*((AA961*0.25)+(AC961*0.25)+(AD961*0.225)+(AE961*0.225)+(AF961*0.05)),"")</f>
        <v>0</v>
      </c>
      <c r="S961" s="18">
        <f>IFERROR(H961*AG961,"")</f>
        <v>0</v>
      </c>
      <c r="T961" s="19">
        <f>IFERROR(S961-H961,"")</f>
        <v>-381.28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>U961-C961</f>
        <v>-2</v>
      </c>
      <c r="Z961" s="20">
        <f>Tabela1[[#This Row],[PESO TOTAL]]-Tabela1[[#This Row],[Peso Expedido]]</f>
        <v>381.28</v>
      </c>
      <c r="AA961" s="17"/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5216</v>
      </c>
      <c r="B962" s="21" t="s">
        <v>5217</v>
      </c>
      <c r="C962" s="1">
        <v>2</v>
      </c>
      <c r="D962" s="1" t="s">
        <v>5218</v>
      </c>
      <c r="E962" s="7">
        <v>4617</v>
      </c>
      <c r="F962" s="7">
        <v>59</v>
      </c>
      <c r="G962" s="1">
        <v>110.01</v>
      </c>
      <c r="H962" s="34">
        <f>Tabela1[[#This Row],[PESO UNI]]*Tabela1[[#This Row],[QTE]]</f>
        <v>220.02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5119</v>
      </c>
      <c r="O962" s="12"/>
      <c r="P962" s="13"/>
      <c r="Q962" s="14">
        <f>Tabela1[[#This Row],[QTDE/ Fabricação]]-Tabela1[[#This Row],[QTE]]</f>
        <v>-2</v>
      </c>
      <c r="R962" s="18">
        <f>IFERROR(H962*((AA962*0.25)+(AC962*0.25)+(AD962*0.225)+(AE962*0.225)+(AF962*0.05)),"")</f>
        <v>0</v>
      </c>
      <c r="S962" s="18">
        <f>IFERROR(H962*AG962,"")</f>
        <v>0</v>
      </c>
      <c r="T962" s="19">
        <f>IFERROR(S962-H962,"")</f>
        <v>-220.02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>U962-C962</f>
        <v>-2</v>
      </c>
      <c r="Z962" s="20">
        <f>Tabela1[[#This Row],[PESO TOTAL]]-Tabela1[[#This Row],[Peso Expedido]]</f>
        <v>220.02</v>
      </c>
      <c r="AA962" s="17"/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5216</v>
      </c>
      <c r="B963" s="21" t="s">
        <v>5217</v>
      </c>
      <c r="C963" s="1">
        <v>1</v>
      </c>
      <c r="D963" s="1" t="s">
        <v>5219</v>
      </c>
      <c r="E963" s="7">
        <v>4618</v>
      </c>
      <c r="F963" s="7">
        <v>59</v>
      </c>
      <c r="G963" s="1">
        <v>109.4</v>
      </c>
      <c r="H963" s="34">
        <f>Tabela1[[#This Row],[PESO UNI]]*Tabela1[[#This Row],[QTE]]</f>
        <v>109.4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5119</v>
      </c>
      <c r="O963" s="12"/>
      <c r="P963" s="13"/>
      <c r="Q963" s="14">
        <f>Tabela1[[#This Row],[QTDE/ Fabricação]]-Tabela1[[#This Row],[QTE]]</f>
        <v>-1</v>
      </c>
      <c r="R963" s="18">
        <f>IFERROR(H963*((AA963*0.25)+(AC963*0.25)+(AD963*0.225)+(AE963*0.225)+(AF963*0.05)),"")</f>
        <v>0</v>
      </c>
      <c r="S963" s="18">
        <f>IFERROR(H963*AG963,"")</f>
        <v>0</v>
      </c>
      <c r="T963" s="19">
        <f>IFERROR(S963-H963,"")</f>
        <v>-109.4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>U963-C963</f>
        <v>-1</v>
      </c>
      <c r="Z963" s="20">
        <f>Tabela1[[#This Row],[PESO TOTAL]]-Tabela1[[#This Row],[Peso Expedido]]</f>
        <v>109.4</v>
      </c>
      <c r="AA963" s="17"/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5220</v>
      </c>
      <c r="B964" s="21" t="s">
        <v>5221</v>
      </c>
      <c r="C964" s="1">
        <v>1</v>
      </c>
      <c r="D964" s="1" t="s">
        <v>5222</v>
      </c>
      <c r="E964" s="7">
        <v>4619</v>
      </c>
      <c r="F964" s="7">
        <v>59</v>
      </c>
      <c r="G964" s="1">
        <v>186.84</v>
      </c>
      <c r="H964" s="34">
        <f>Tabela1[[#This Row],[PESO UNI]]*Tabela1[[#This Row],[QTE]]</f>
        <v>186.84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5119</v>
      </c>
      <c r="O964" s="12"/>
      <c r="P964" s="13"/>
      <c r="Q964" s="14">
        <f>Tabela1[[#This Row],[QTDE/ Fabricação]]-Tabela1[[#This Row],[QTE]]</f>
        <v>-1</v>
      </c>
      <c r="R964" s="18">
        <f>IFERROR(H964*((AA964*0.25)+(AC964*0.25)+(AD964*0.225)+(AE964*0.225)+(AF964*0.05)),"")</f>
        <v>0</v>
      </c>
      <c r="S964" s="18">
        <f>IFERROR(H964*AG964,"")</f>
        <v>0</v>
      </c>
      <c r="T964" s="19">
        <f>IFERROR(S964-H964,"")</f>
        <v>-186.84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>U964-C964</f>
        <v>-1</v>
      </c>
      <c r="Z964" s="20">
        <f>Tabela1[[#This Row],[PESO TOTAL]]-Tabela1[[#This Row],[Peso Expedido]]</f>
        <v>186.84</v>
      </c>
      <c r="AA964" s="17"/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5223</v>
      </c>
      <c r="B965" s="21" t="s">
        <v>5224</v>
      </c>
      <c r="C965" s="1">
        <v>1</v>
      </c>
      <c r="D965" s="1" t="s">
        <v>5225</v>
      </c>
      <c r="E965" s="7">
        <v>4620</v>
      </c>
      <c r="F965" s="7">
        <v>59</v>
      </c>
      <c r="G965" s="1">
        <v>145.27000000000001</v>
      </c>
      <c r="H965" s="34">
        <f>Tabela1[[#This Row],[PESO UNI]]*Tabela1[[#This Row],[QTE]]</f>
        <v>145.27000000000001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5119</v>
      </c>
      <c r="O965" s="12"/>
      <c r="P965" s="13"/>
      <c r="Q965" s="14">
        <f>Tabela1[[#This Row],[QTDE/ Fabricação]]-Tabela1[[#This Row],[QTE]]</f>
        <v>-1</v>
      </c>
      <c r="R965" s="18">
        <f>IFERROR(H965*((AA965*0.25)+(AC965*0.25)+(AD965*0.225)+(AE965*0.225)+(AF965*0.05)),"")</f>
        <v>0</v>
      </c>
      <c r="S965" s="18">
        <f>IFERROR(H965*AG965,"")</f>
        <v>0</v>
      </c>
      <c r="T965" s="19">
        <f>IFERROR(S965-H965,"")</f>
        <v>-145.27000000000001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>U965-C965</f>
        <v>-1</v>
      </c>
      <c r="Z965" s="20">
        <f>Tabela1[[#This Row],[PESO TOTAL]]-Tabela1[[#This Row],[Peso Expedido]]</f>
        <v>145.27000000000001</v>
      </c>
      <c r="AA965" s="17"/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5223</v>
      </c>
      <c r="B966" s="21" t="s">
        <v>5224</v>
      </c>
      <c r="C966" s="1">
        <v>4</v>
      </c>
      <c r="D966" s="1" t="s">
        <v>5226</v>
      </c>
      <c r="E966" s="7">
        <v>4621</v>
      </c>
      <c r="F966" s="7">
        <v>59</v>
      </c>
      <c r="G966" s="1">
        <v>1.53</v>
      </c>
      <c r="H966" s="34">
        <f>Tabela1[[#This Row],[PESO UNI]]*Tabela1[[#This Row],[QTE]]</f>
        <v>6.12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5119</v>
      </c>
      <c r="O966" s="12"/>
      <c r="P966" s="13"/>
      <c r="Q966" s="14">
        <f>Tabela1[[#This Row],[QTDE/ Fabricação]]-Tabela1[[#This Row],[QTE]]</f>
        <v>-4</v>
      </c>
      <c r="R966" s="18">
        <f>IFERROR(H966*((AA966*0.25)+(AC966*0.25)+(AD966*0.225)+(AE966*0.225)+(AF966*0.05)),"")</f>
        <v>0</v>
      </c>
      <c r="S966" s="18">
        <f>IFERROR(H966*AG966,"")</f>
        <v>0</v>
      </c>
      <c r="T966" s="19">
        <f>IFERROR(S966-H966,"")</f>
        <v>-6.12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>U966-C966</f>
        <v>-4</v>
      </c>
      <c r="Z966" s="20">
        <f>Tabela1[[#This Row],[PESO TOTAL]]-Tabela1[[#This Row],[Peso Expedido]]</f>
        <v>6.12</v>
      </c>
      <c r="AA966" s="17"/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5223</v>
      </c>
      <c r="B967" s="21" t="s">
        <v>5224</v>
      </c>
      <c r="C967" s="1">
        <v>2</v>
      </c>
      <c r="D967" s="1" t="s">
        <v>5227</v>
      </c>
      <c r="E967" s="7">
        <v>4622</v>
      </c>
      <c r="F967" s="7">
        <v>59</v>
      </c>
      <c r="G967" s="1">
        <v>1.56</v>
      </c>
      <c r="H967" s="34">
        <f>Tabela1[[#This Row],[PESO UNI]]*Tabela1[[#This Row],[QTE]]</f>
        <v>3.12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5119</v>
      </c>
      <c r="O967" s="12"/>
      <c r="P967" s="13"/>
      <c r="Q967" s="14">
        <f>Tabela1[[#This Row],[QTDE/ Fabricação]]-Tabela1[[#This Row],[QTE]]</f>
        <v>-2</v>
      </c>
      <c r="R967" s="18">
        <f>IFERROR(H967*((AA967*0.25)+(AC967*0.25)+(AD967*0.225)+(AE967*0.225)+(AF967*0.05)),"")</f>
        <v>0</v>
      </c>
      <c r="S967" s="18">
        <f>IFERROR(H967*AG967,"")</f>
        <v>0</v>
      </c>
      <c r="T967" s="19">
        <f>IFERROR(S967-H967,"")</f>
        <v>-3.12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>U967-C967</f>
        <v>-2</v>
      </c>
      <c r="Z967" s="20">
        <f>Tabela1[[#This Row],[PESO TOTAL]]-Tabela1[[#This Row],[Peso Expedido]]</f>
        <v>3.12</v>
      </c>
      <c r="AA967" s="17"/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5228</v>
      </c>
      <c r="B968" s="21" t="s">
        <v>5229</v>
      </c>
      <c r="C968" s="1">
        <v>2</v>
      </c>
      <c r="D968" s="1" t="s">
        <v>5230</v>
      </c>
      <c r="E968" s="7">
        <v>4623</v>
      </c>
      <c r="F968" s="7">
        <v>59</v>
      </c>
      <c r="G968" s="1">
        <v>150.6</v>
      </c>
      <c r="H968" s="34">
        <f>Tabela1[[#This Row],[PESO UNI]]*Tabela1[[#This Row],[QTE]]</f>
        <v>301.2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5119</v>
      </c>
      <c r="O968" s="12"/>
      <c r="P968" s="13"/>
      <c r="Q968" s="14">
        <f>Tabela1[[#This Row],[QTDE/ Fabricação]]-Tabela1[[#This Row],[QTE]]</f>
        <v>-2</v>
      </c>
      <c r="R968" s="18">
        <f>IFERROR(H968*((AA968*0.25)+(AC968*0.25)+(AD968*0.225)+(AE968*0.225)+(AF968*0.05)),"")</f>
        <v>0</v>
      </c>
      <c r="S968" s="18">
        <f>IFERROR(H968*AG968,"")</f>
        <v>0</v>
      </c>
      <c r="T968" s="19">
        <f>IFERROR(S968-H968,"")</f>
        <v>-301.2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>U968-C968</f>
        <v>-2</v>
      </c>
      <c r="Z968" s="20">
        <f>Tabela1[[#This Row],[PESO TOTAL]]-Tabela1[[#This Row],[Peso Expedido]]</f>
        <v>301.2</v>
      </c>
      <c r="AA968" s="17"/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5228</v>
      </c>
      <c r="B969" s="21" t="s">
        <v>5229</v>
      </c>
      <c r="C969" s="1">
        <v>3</v>
      </c>
      <c r="D969" s="1" t="s">
        <v>5231</v>
      </c>
      <c r="E969" s="7">
        <v>4624</v>
      </c>
      <c r="F969" s="7">
        <v>59</v>
      </c>
      <c r="G969" s="1">
        <v>50.54</v>
      </c>
      <c r="H969" s="34">
        <f>Tabela1[[#This Row],[PESO UNI]]*Tabela1[[#This Row],[QTE]]</f>
        <v>151.62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5119</v>
      </c>
      <c r="O969" s="12"/>
      <c r="P969" s="13"/>
      <c r="Q969" s="14">
        <f>Tabela1[[#This Row],[QTDE/ Fabricação]]-Tabela1[[#This Row],[QTE]]</f>
        <v>-3</v>
      </c>
      <c r="R969" s="18">
        <f>IFERROR(H969*((AA969*0.25)+(AC969*0.25)+(AD969*0.225)+(AE969*0.225)+(AF969*0.05)),"")</f>
        <v>0</v>
      </c>
      <c r="S969" s="18">
        <f>IFERROR(H969*AG969,"")</f>
        <v>0</v>
      </c>
      <c r="T969" s="19">
        <f>IFERROR(S969-H969,"")</f>
        <v>-151.62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>U969-C969</f>
        <v>-3</v>
      </c>
      <c r="Z969" s="20">
        <f>Tabela1[[#This Row],[PESO TOTAL]]-Tabela1[[#This Row],[Peso Expedido]]</f>
        <v>151.62</v>
      </c>
      <c r="AA969" s="17"/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5228</v>
      </c>
      <c r="B970" s="21" t="s">
        <v>5229</v>
      </c>
      <c r="C970" s="1">
        <v>1</v>
      </c>
      <c r="D970" s="1" t="s">
        <v>5232</v>
      </c>
      <c r="E970" s="7">
        <v>4625</v>
      </c>
      <c r="F970" s="7">
        <v>59</v>
      </c>
      <c r="G970" s="1">
        <v>116.11</v>
      </c>
      <c r="H970" s="34">
        <f>Tabela1[[#This Row],[PESO UNI]]*Tabela1[[#This Row],[QTE]]</f>
        <v>116.11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5119</v>
      </c>
      <c r="O970" s="12"/>
      <c r="P970" s="13"/>
      <c r="Q970" s="14">
        <f>Tabela1[[#This Row],[QTDE/ Fabricação]]-Tabela1[[#This Row],[QTE]]</f>
        <v>-1</v>
      </c>
      <c r="R970" s="18">
        <f>IFERROR(H970*((AA970*0.25)+(AC970*0.25)+(AD970*0.225)+(AE970*0.225)+(AF970*0.05)),"")</f>
        <v>0</v>
      </c>
      <c r="S970" s="18">
        <f>IFERROR(H970*AG970,"")</f>
        <v>0</v>
      </c>
      <c r="T970" s="19">
        <f>IFERROR(S970-H970,"")</f>
        <v>-116.11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>U970-C970</f>
        <v>-1</v>
      </c>
      <c r="Z970" s="20">
        <f>Tabela1[[#This Row],[PESO TOTAL]]-Tabela1[[#This Row],[Peso Expedido]]</f>
        <v>116.11</v>
      </c>
      <c r="AA970" s="17"/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5228</v>
      </c>
      <c r="B971" s="21" t="s">
        <v>5229</v>
      </c>
      <c r="C971" s="1">
        <v>1</v>
      </c>
      <c r="D971" s="1" t="s">
        <v>5233</v>
      </c>
      <c r="E971" s="7">
        <v>4626</v>
      </c>
      <c r="F971" s="7">
        <v>59</v>
      </c>
      <c r="G971" s="1">
        <v>112.71</v>
      </c>
      <c r="H971" s="34">
        <f>Tabela1[[#This Row],[PESO UNI]]*Tabela1[[#This Row],[QTE]]</f>
        <v>112.71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5119</v>
      </c>
      <c r="O971" s="12"/>
      <c r="P971" s="13"/>
      <c r="Q971" s="14">
        <f>Tabela1[[#This Row],[QTDE/ Fabricação]]-Tabela1[[#This Row],[QTE]]</f>
        <v>-1</v>
      </c>
      <c r="R971" s="18">
        <f>IFERROR(H971*((AA971*0.25)+(AC971*0.25)+(AD971*0.225)+(AE971*0.225)+(AF971*0.05)),"")</f>
        <v>0</v>
      </c>
      <c r="S971" s="18">
        <f>IFERROR(H971*AG971,"")</f>
        <v>0</v>
      </c>
      <c r="T971" s="19">
        <f>IFERROR(S971-H971,"")</f>
        <v>-112.71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>U971-C971</f>
        <v>-1</v>
      </c>
      <c r="Z971" s="20">
        <f>Tabela1[[#This Row],[PESO TOTAL]]-Tabela1[[#This Row],[Peso Expedido]]</f>
        <v>112.71</v>
      </c>
      <c r="AA971" s="17"/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5234</v>
      </c>
      <c r="B972" s="21" t="s">
        <v>5235</v>
      </c>
      <c r="C972" s="1">
        <v>1</v>
      </c>
      <c r="D972" s="1" t="s">
        <v>5236</v>
      </c>
      <c r="E972" s="7">
        <v>4627</v>
      </c>
      <c r="F972" s="7">
        <v>61</v>
      </c>
      <c r="G972" s="1">
        <v>372</v>
      </c>
      <c r="H972" s="34">
        <f>Tabela1[[#This Row],[PESO UNI]]*Tabela1[[#This Row],[QTE]]</f>
        <v>372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5119</v>
      </c>
      <c r="O972" s="12"/>
      <c r="P972" s="13"/>
      <c r="Q972" s="14">
        <f>Tabela1[[#This Row],[QTDE/ Fabricação]]-Tabela1[[#This Row],[QTE]]</f>
        <v>-1</v>
      </c>
      <c r="R972" s="18">
        <f>IFERROR(H972*((AA972*0.25)+(AC972*0.25)+(AD972*0.225)+(AE972*0.225)+(AF972*0.05)),"")</f>
        <v>0</v>
      </c>
      <c r="S972" s="18">
        <f>IFERROR(H972*AG972,"")</f>
        <v>0</v>
      </c>
      <c r="T972" s="19">
        <f>IFERROR(S972-H972,"")</f>
        <v>-372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>U972-C972</f>
        <v>-1</v>
      </c>
      <c r="Z972" s="20">
        <f>Tabela1[[#This Row],[PESO TOTAL]]-Tabela1[[#This Row],[Peso Expedido]]</f>
        <v>372</v>
      </c>
      <c r="AA972" s="17"/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5234</v>
      </c>
      <c r="B973" s="21" t="s">
        <v>5235</v>
      </c>
      <c r="C973" s="1">
        <v>4</v>
      </c>
      <c r="D973" s="1" t="s">
        <v>5237</v>
      </c>
      <c r="E973" s="7">
        <v>4628</v>
      </c>
      <c r="F973" s="7">
        <v>61</v>
      </c>
      <c r="G973" s="1">
        <v>6.5</v>
      </c>
      <c r="H973" s="34">
        <f>Tabela1[[#This Row],[PESO UNI]]*Tabela1[[#This Row],[QTE]]</f>
        <v>26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5119</v>
      </c>
      <c r="O973" s="12"/>
      <c r="P973" s="13"/>
      <c r="Q973" s="14">
        <f>Tabela1[[#This Row],[QTDE/ Fabricação]]-Tabela1[[#This Row],[QTE]]</f>
        <v>-4</v>
      </c>
      <c r="R973" s="18">
        <f>IFERROR(H973*((AA973*0.25)+(AC973*0.25)+(AD973*0.225)+(AE973*0.225)+(AF973*0.05)),"")</f>
        <v>0</v>
      </c>
      <c r="S973" s="18">
        <f>IFERROR(H973*AG973,"")</f>
        <v>0</v>
      </c>
      <c r="T973" s="19">
        <f>IFERROR(S973-H973,"")</f>
        <v>-26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>U973-C973</f>
        <v>-4</v>
      </c>
      <c r="Z973" s="20">
        <f>Tabela1[[#This Row],[PESO TOTAL]]-Tabela1[[#This Row],[Peso Expedido]]</f>
        <v>26</v>
      </c>
      <c r="AA973" s="17"/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5234</v>
      </c>
      <c r="B974" s="21" t="s">
        <v>5235</v>
      </c>
      <c r="C974" s="1">
        <v>8</v>
      </c>
      <c r="D974" s="1" t="s">
        <v>5238</v>
      </c>
      <c r="E974" s="7">
        <v>4629</v>
      </c>
      <c r="F974" s="7">
        <v>61</v>
      </c>
      <c r="G974" s="1">
        <v>2.1</v>
      </c>
      <c r="H974" s="34">
        <f>Tabela1[[#This Row],[PESO UNI]]*Tabela1[[#This Row],[QTE]]</f>
        <v>16.8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5119</v>
      </c>
      <c r="O974" s="12"/>
      <c r="P974" s="13"/>
      <c r="Q974" s="14">
        <f>Tabela1[[#This Row],[QTDE/ Fabricação]]-Tabela1[[#This Row],[QTE]]</f>
        <v>-8</v>
      </c>
      <c r="R974" s="18">
        <f>IFERROR(H974*((AA974*0.25)+(AC974*0.25)+(AD974*0.225)+(AE974*0.225)+(AF974*0.05)),"")</f>
        <v>0</v>
      </c>
      <c r="S974" s="18">
        <f>IFERROR(H974*AG974,"")</f>
        <v>0</v>
      </c>
      <c r="T974" s="19">
        <f>IFERROR(S974-H974,"")</f>
        <v>-16.8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>U974-C974</f>
        <v>-8</v>
      </c>
      <c r="Z974" s="20">
        <f>Tabela1[[#This Row],[PESO TOTAL]]-Tabela1[[#This Row],[Peso Expedido]]</f>
        <v>16.8</v>
      </c>
      <c r="AA974" s="17"/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5234</v>
      </c>
      <c r="B975" s="21" t="s">
        <v>5235</v>
      </c>
      <c r="C975" s="1">
        <v>2</v>
      </c>
      <c r="D975" s="1" t="s">
        <v>5239</v>
      </c>
      <c r="E975" s="7">
        <v>4630</v>
      </c>
      <c r="F975" s="7">
        <v>61</v>
      </c>
      <c r="G975" s="1">
        <v>1.6</v>
      </c>
      <c r="H975" s="34">
        <f>Tabela1[[#This Row],[PESO UNI]]*Tabela1[[#This Row],[QTE]]</f>
        <v>3.2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5119</v>
      </c>
      <c r="O975" s="12"/>
      <c r="P975" s="13"/>
      <c r="Q975" s="14">
        <f>Tabela1[[#This Row],[QTDE/ Fabricação]]-Tabela1[[#This Row],[QTE]]</f>
        <v>-2</v>
      </c>
      <c r="R975" s="18">
        <f>IFERROR(H975*((AA975*0.25)+(AC975*0.25)+(AD975*0.225)+(AE975*0.225)+(AF975*0.05)),"")</f>
        <v>0</v>
      </c>
      <c r="S975" s="18">
        <f>IFERROR(H975*AG975,"")</f>
        <v>0</v>
      </c>
      <c r="T975" s="19">
        <f>IFERROR(S975-H975,"")</f>
        <v>-3.2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>U975-C975</f>
        <v>-2</v>
      </c>
      <c r="Z975" s="20">
        <f>Tabela1[[#This Row],[PESO TOTAL]]-Tabela1[[#This Row],[Peso Expedido]]</f>
        <v>3.2</v>
      </c>
      <c r="AA975" s="17"/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5234</v>
      </c>
      <c r="B976" s="21" t="s">
        <v>5235</v>
      </c>
      <c r="C976" s="1">
        <v>4</v>
      </c>
      <c r="D976" s="1" t="s">
        <v>5240</v>
      </c>
      <c r="E976" s="7">
        <v>4631</v>
      </c>
      <c r="F976" s="7">
        <v>61</v>
      </c>
      <c r="G976" s="1">
        <v>0.3</v>
      </c>
      <c r="H976" s="34">
        <f>Tabela1[[#This Row],[PESO UNI]]*Tabela1[[#This Row],[QTE]]</f>
        <v>1.2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5119</v>
      </c>
      <c r="O976" s="12"/>
      <c r="P976" s="13"/>
      <c r="Q976" s="14">
        <f>Tabela1[[#This Row],[QTDE/ Fabricação]]-Tabela1[[#This Row],[QTE]]</f>
        <v>-4</v>
      </c>
      <c r="R976" s="18">
        <f>IFERROR(H976*((AA976*0.25)+(AC976*0.25)+(AD976*0.225)+(AE976*0.225)+(AF976*0.05)),"")</f>
        <v>0</v>
      </c>
      <c r="S976" s="18">
        <f>IFERROR(H976*AG976,"")</f>
        <v>0</v>
      </c>
      <c r="T976" s="19">
        <f>IFERROR(S976-H976,"")</f>
        <v>-1.2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>U976-C976</f>
        <v>-4</v>
      </c>
      <c r="Z976" s="20">
        <f>Tabela1[[#This Row],[PESO TOTAL]]-Tabela1[[#This Row],[Peso Expedido]]</f>
        <v>1.2</v>
      </c>
      <c r="AA976" s="17"/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5234</v>
      </c>
      <c r="B977" s="21" t="s">
        <v>5235</v>
      </c>
      <c r="C977" s="1">
        <v>2</v>
      </c>
      <c r="D977" s="1" t="s">
        <v>5241</v>
      </c>
      <c r="E977" s="7">
        <v>4632</v>
      </c>
      <c r="F977" s="7">
        <v>61</v>
      </c>
      <c r="G977" s="1">
        <v>14.4</v>
      </c>
      <c r="H977" s="34">
        <f>Tabela1[[#This Row],[PESO UNI]]*Tabela1[[#This Row],[QTE]]</f>
        <v>28.8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5119</v>
      </c>
      <c r="O977" s="12"/>
      <c r="P977" s="13"/>
      <c r="Q977" s="14">
        <f>Tabela1[[#This Row],[QTDE/ Fabricação]]-Tabela1[[#This Row],[QTE]]</f>
        <v>-2</v>
      </c>
      <c r="R977" s="18">
        <f>IFERROR(H977*((AA977*0.25)+(AC977*0.25)+(AD977*0.225)+(AE977*0.225)+(AF977*0.05)),"")</f>
        <v>0</v>
      </c>
      <c r="S977" s="18">
        <f>IFERROR(H977*AG977,"")</f>
        <v>0</v>
      </c>
      <c r="T977" s="19">
        <f>IFERROR(S977-H977,"")</f>
        <v>-28.8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>U977-C977</f>
        <v>-2</v>
      </c>
      <c r="Z977" s="20">
        <f>Tabela1[[#This Row],[PESO TOTAL]]-Tabela1[[#This Row],[Peso Expedido]]</f>
        <v>28.8</v>
      </c>
      <c r="AA977" s="17"/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5242</v>
      </c>
      <c r="B978" s="21" t="s">
        <v>5243</v>
      </c>
      <c r="C978" s="1">
        <v>1</v>
      </c>
      <c r="D978" s="1" t="s">
        <v>5244</v>
      </c>
      <c r="E978" s="7">
        <v>4633</v>
      </c>
      <c r="F978" s="7">
        <v>61</v>
      </c>
      <c r="G978" s="1">
        <v>408.6</v>
      </c>
      <c r="H978" s="34">
        <f>Tabela1[[#This Row],[PESO UNI]]*Tabela1[[#This Row],[QTE]]</f>
        <v>408.6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5119</v>
      </c>
      <c r="O978" s="12"/>
      <c r="P978" s="13"/>
      <c r="Q978" s="14">
        <f>Tabela1[[#This Row],[QTDE/ Fabricação]]-Tabela1[[#This Row],[QTE]]</f>
        <v>-1</v>
      </c>
      <c r="R978" s="18">
        <f>IFERROR(H978*((AA978*0.25)+(AC978*0.25)+(AD978*0.225)+(AE978*0.225)+(AF978*0.05)),"")</f>
        <v>0</v>
      </c>
      <c r="S978" s="18">
        <f>IFERROR(H978*AG978,"")</f>
        <v>0</v>
      </c>
      <c r="T978" s="19">
        <f>IFERROR(S978-H978,"")</f>
        <v>-408.6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>U978-C978</f>
        <v>-1</v>
      </c>
      <c r="Z978" s="20">
        <f>Tabela1[[#This Row],[PESO TOTAL]]-Tabela1[[#This Row],[Peso Expedido]]</f>
        <v>408.6</v>
      </c>
      <c r="AA978" s="17"/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5245</v>
      </c>
      <c r="B979" s="21" t="s">
        <v>5246</v>
      </c>
      <c r="C979" s="1">
        <v>2</v>
      </c>
      <c r="D979" s="1" t="s">
        <v>5247</v>
      </c>
      <c r="E979" s="7">
        <v>4634</v>
      </c>
      <c r="F979" s="7">
        <v>61</v>
      </c>
      <c r="G979" s="1">
        <v>31.3</v>
      </c>
      <c r="H979" s="34">
        <f>Tabela1[[#This Row],[PESO UNI]]*Tabela1[[#This Row],[QTE]]</f>
        <v>62.6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5119</v>
      </c>
      <c r="O979" s="12"/>
      <c r="P979" s="13"/>
      <c r="Q979" s="14">
        <f>Tabela1[[#This Row],[QTDE/ Fabricação]]-Tabela1[[#This Row],[QTE]]</f>
        <v>-2</v>
      </c>
      <c r="R979" s="18">
        <f>IFERROR(H979*((AA979*0.25)+(AC979*0.25)+(AD979*0.225)+(AE979*0.225)+(AF979*0.05)),"")</f>
        <v>0</v>
      </c>
      <c r="S979" s="18">
        <f>IFERROR(H979*AG979,"")</f>
        <v>0</v>
      </c>
      <c r="T979" s="19">
        <f>IFERROR(S979-H979,"")</f>
        <v>-62.6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>U979-C979</f>
        <v>-2</v>
      </c>
      <c r="Z979" s="20">
        <f>Tabela1[[#This Row],[PESO TOTAL]]-Tabela1[[#This Row],[Peso Expedido]]</f>
        <v>62.6</v>
      </c>
      <c r="AA979" s="17"/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5245</v>
      </c>
      <c r="B980" s="21" t="s">
        <v>5246</v>
      </c>
      <c r="C980" s="1">
        <v>1</v>
      </c>
      <c r="D980" s="1" t="s">
        <v>5248</v>
      </c>
      <c r="E980" s="7">
        <v>4635</v>
      </c>
      <c r="F980" s="7">
        <v>61</v>
      </c>
      <c r="G980" s="1">
        <v>37.200000000000003</v>
      </c>
      <c r="H980" s="34">
        <f>Tabela1[[#This Row],[PESO UNI]]*Tabela1[[#This Row],[QTE]]</f>
        <v>37.200000000000003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5119</v>
      </c>
      <c r="O980" s="12"/>
      <c r="P980" s="13"/>
      <c r="Q980" s="14">
        <f>Tabela1[[#This Row],[QTDE/ Fabricação]]-Tabela1[[#This Row],[QTE]]</f>
        <v>-1</v>
      </c>
      <c r="R980" s="18">
        <f>IFERROR(H980*((AA980*0.25)+(AC980*0.25)+(AD980*0.225)+(AE980*0.225)+(AF980*0.05)),"")</f>
        <v>0</v>
      </c>
      <c r="S980" s="18">
        <f>IFERROR(H980*AG980,"")</f>
        <v>0</v>
      </c>
      <c r="T980" s="19">
        <f>IFERROR(S980-H980,"")</f>
        <v>-37.200000000000003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>U980-C980</f>
        <v>-1</v>
      </c>
      <c r="Z980" s="20">
        <f>Tabela1[[#This Row],[PESO TOTAL]]-Tabela1[[#This Row],[Peso Expedido]]</f>
        <v>37.200000000000003</v>
      </c>
      <c r="AA980" s="17"/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5245</v>
      </c>
      <c r="B981" s="21" t="s">
        <v>5246</v>
      </c>
      <c r="C981" s="1">
        <v>2</v>
      </c>
      <c r="D981" s="1" t="s">
        <v>5249</v>
      </c>
      <c r="E981" s="7">
        <v>4636</v>
      </c>
      <c r="F981" s="7">
        <v>61</v>
      </c>
      <c r="G981" s="1">
        <v>230.4</v>
      </c>
      <c r="H981" s="34">
        <f>Tabela1[[#This Row],[PESO UNI]]*Tabela1[[#This Row],[QTE]]</f>
        <v>460.8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5119</v>
      </c>
      <c r="O981" s="12"/>
      <c r="P981" s="13"/>
      <c r="Q981" s="14">
        <f>Tabela1[[#This Row],[QTDE/ Fabricação]]-Tabela1[[#This Row],[QTE]]</f>
        <v>-2</v>
      </c>
      <c r="R981" s="18">
        <f>IFERROR(H981*((AA981*0.25)+(AC981*0.25)+(AD981*0.225)+(AE981*0.225)+(AF981*0.05)),"")</f>
        <v>0</v>
      </c>
      <c r="S981" s="18">
        <f>IFERROR(H981*AG981,"")</f>
        <v>0</v>
      </c>
      <c r="T981" s="19">
        <f>IFERROR(S981-H981,"")</f>
        <v>-460.8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>U981-C981</f>
        <v>-2</v>
      </c>
      <c r="Z981" s="20">
        <f>Tabela1[[#This Row],[PESO TOTAL]]-Tabela1[[#This Row],[Peso Expedido]]</f>
        <v>460.8</v>
      </c>
      <c r="AA981" s="17"/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5245</v>
      </c>
      <c r="B982" s="21" t="s">
        <v>5246</v>
      </c>
      <c r="C982" s="1">
        <v>2</v>
      </c>
      <c r="D982" s="1" t="s">
        <v>5250</v>
      </c>
      <c r="E982" s="7">
        <v>4637</v>
      </c>
      <c r="F982" s="7">
        <v>61</v>
      </c>
      <c r="G982" s="1">
        <v>8.9</v>
      </c>
      <c r="H982" s="34">
        <f>Tabela1[[#This Row],[PESO UNI]]*Tabela1[[#This Row],[QTE]]</f>
        <v>17.8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5119</v>
      </c>
      <c r="O982" s="12"/>
      <c r="P982" s="13"/>
      <c r="Q982" s="14">
        <f>Tabela1[[#This Row],[QTDE/ Fabricação]]-Tabela1[[#This Row],[QTE]]</f>
        <v>-2</v>
      </c>
      <c r="R982" s="18">
        <f>IFERROR(H982*((AA982*0.25)+(AC982*0.25)+(AD982*0.225)+(AE982*0.225)+(AF982*0.05)),"")</f>
        <v>0</v>
      </c>
      <c r="S982" s="18">
        <f>IFERROR(H982*AG982,"")</f>
        <v>0</v>
      </c>
      <c r="T982" s="19">
        <f>IFERROR(S982-H982,"")</f>
        <v>-17.8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>U982-C982</f>
        <v>-2</v>
      </c>
      <c r="Z982" s="20">
        <f>Tabela1[[#This Row],[PESO TOTAL]]-Tabela1[[#This Row],[Peso Expedido]]</f>
        <v>17.8</v>
      </c>
      <c r="AA982" s="17"/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5245</v>
      </c>
      <c r="B983" s="21" t="s">
        <v>5246</v>
      </c>
      <c r="C983" s="1">
        <v>2</v>
      </c>
      <c r="D983" s="1" t="s">
        <v>5251</v>
      </c>
      <c r="E983" s="7">
        <v>4638</v>
      </c>
      <c r="F983" s="7">
        <v>61</v>
      </c>
      <c r="G983" s="1">
        <v>1.6</v>
      </c>
      <c r="H983" s="34">
        <f>Tabela1[[#This Row],[PESO UNI]]*Tabela1[[#This Row],[QTE]]</f>
        <v>3.2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5119</v>
      </c>
      <c r="O983" s="12"/>
      <c r="P983" s="13"/>
      <c r="Q983" s="14">
        <f>Tabela1[[#This Row],[QTDE/ Fabricação]]-Tabela1[[#This Row],[QTE]]</f>
        <v>-2</v>
      </c>
      <c r="R983" s="18">
        <f>IFERROR(H983*((AA983*0.25)+(AC983*0.25)+(AD983*0.225)+(AE983*0.225)+(AF983*0.05)),"")</f>
        <v>0</v>
      </c>
      <c r="S983" s="18">
        <f>IFERROR(H983*AG983,"")</f>
        <v>0</v>
      </c>
      <c r="T983" s="19">
        <f>IFERROR(S983-H983,"")</f>
        <v>-3.2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>U983-C983</f>
        <v>-2</v>
      </c>
      <c r="Z983" s="20">
        <f>Tabela1[[#This Row],[PESO TOTAL]]-Tabela1[[#This Row],[Peso Expedido]]</f>
        <v>3.2</v>
      </c>
      <c r="AA983" s="17"/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5245</v>
      </c>
      <c r="B984" s="21" t="s">
        <v>5246</v>
      </c>
      <c r="C984" s="1">
        <v>4</v>
      </c>
      <c r="D984" s="1" t="s">
        <v>5252</v>
      </c>
      <c r="E984" s="7">
        <v>4639</v>
      </c>
      <c r="F984" s="7">
        <v>61</v>
      </c>
      <c r="G984" s="1">
        <v>0.3</v>
      </c>
      <c r="H984" s="34">
        <f>Tabela1[[#This Row],[PESO UNI]]*Tabela1[[#This Row],[QTE]]</f>
        <v>1.2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5119</v>
      </c>
      <c r="O984" s="12"/>
      <c r="P984" s="13"/>
      <c r="Q984" s="14">
        <f>Tabela1[[#This Row],[QTDE/ Fabricação]]-Tabela1[[#This Row],[QTE]]</f>
        <v>-4</v>
      </c>
      <c r="R984" s="18">
        <f>IFERROR(H984*((AA984*0.25)+(AC984*0.25)+(AD984*0.225)+(AE984*0.225)+(AF984*0.05)),"")</f>
        <v>0</v>
      </c>
      <c r="S984" s="18">
        <f>IFERROR(H984*AG984,"")</f>
        <v>0</v>
      </c>
      <c r="T984" s="19">
        <f>IFERROR(S984-H984,"")</f>
        <v>-1.2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>U984-C984</f>
        <v>-4</v>
      </c>
      <c r="Z984" s="20">
        <f>Tabela1[[#This Row],[PESO TOTAL]]-Tabela1[[#This Row],[Peso Expedido]]</f>
        <v>1.2</v>
      </c>
      <c r="AA984" s="17"/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5234</v>
      </c>
      <c r="B985" s="21" t="s">
        <v>5253</v>
      </c>
      <c r="C985" s="1">
        <v>1</v>
      </c>
      <c r="D985" s="1" t="s">
        <v>5254</v>
      </c>
      <c r="E985" s="7">
        <v>4640</v>
      </c>
      <c r="F985" s="7">
        <v>61</v>
      </c>
      <c r="G985" s="1">
        <v>200</v>
      </c>
      <c r="H985" s="34">
        <f>Tabela1[[#This Row],[PESO UNI]]*Tabela1[[#This Row],[QTE]]</f>
        <v>200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5119</v>
      </c>
      <c r="O985" s="12"/>
      <c r="P985" s="13"/>
      <c r="Q985" s="14">
        <f>Tabela1[[#This Row],[QTDE/ Fabricação]]-Tabela1[[#This Row],[QTE]]</f>
        <v>-1</v>
      </c>
      <c r="R985" s="18">
        <f>IFERROR(H985*((AA985*0.25)+(AC985*0.25)+(AD985*0.225)+(AE985*0.225)+(AF985*0.05)),"")</f>
        <v>0</v>
      </c>
      <c r="S985" s="18">
        <f>IFERROR(H985*AG985,"")</f>
        <v>0</v>
      </c>
      <c r="T985" s="19">
        <f>IFERROR(S985-H985,"")</f>
        <v>-200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>U985-C985</f>
        <v>-1</v>
      </c>
      <c r="Z985" s="20">
        <f>Tabela1[[#This Row],[PESO TOTAL]]-Tabela1[[#This Row],[Peso Expedido]]</f>
        <v>200</v>
      </c>
      <c r="AA985" s="17"/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5234</v>
      </c>
      <c r="B986" s="21" t="s">
        <v>5253</v>
      </c>
      <c r="C986" s="1">
        <v>1</v>
      </c>
      <c r="D986" s="1" t="s">
        <v>5255</v>
      </c>
      <c r="E986" s="7">
        <v>4661</v>
      </c>
      <c r="F986" s="7">
        <v>61</v>
      </c>
      <c r="G986" s="1">
        <v>164.6</v>
      </c>
      <c r="H986" s="34">
        <f>Tabela1[[#This Row],[PESO UNI]]*Tabela1[[#This Row],[QTE]]</f>
        <v>164.6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5119</v>
      </c>
      <c r="O986" s="12"/>
      <c r="P986" s="13"/>
      <c r="Q986" s="14">
        <f>Tabela1[[#This Row],[QTDE/ Fabricação]]-Tabela1[[#This Row],[QTE]]</f>
        <v>-1</v>
      </c>
      <c r="R986" s="18">
        <f>IFERROR(H986*((AA986*0.25)+(AC986*0.25)+(AD986*0.225)+(AE986*0.225)+(AF986*0.05)),"")</f>
        <v>0</v>
      </c>
      <c r="S986" s="18">
        <f>IFERROR(H986*AG986,"")</f>
        <v>0</v>
      </c>
      <c r="T986" s="19">
        <f>IFERROR(S986-H986,"")</f>
        <v>-164.6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>U986-C986</f>
        <v>-1</v>
      </c>
      <c r="Z986" s="20">
        <f>Tabela1[[#This Row],[PESO TOTAL]]-Tabela1[[#This Row],[Peso Expedido]]</f>
        <v>164.6</v>
      </c>
      <c r="AA986" s="17"/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5242</v>
      </c>
      <c r="B987" s="21" t="s">
        <v>5256</v>
      </c>
      <c r="C987" s="1">
        <v>4</v>
      </c>
      <c r="D987" s="1" t="s">
        <v>5257</v>
      </c>
      <c r="E987" s="7">
        <v>4662</v>
      </c>
      <c r="F987" s="7">
        <v>62</v>
      </c>
      <c r="G987" s="1">
        <v>28.1</v>
      </c>
      <c r="H987" s="34">
        <f>Tabela1[[#This Row],[PESO UNI]]*Tabela1[[#This Row],[QTE]]</f>
        <v>112.4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5119</v>
      </c>
      <c r="O987" s="12"/>
      <c r="P987" s="13"/>
      <c r="Q987" s="14">
        <f>Tabela1[[#This Row],[QTDE/ Fabricação]]-Tabela1[[#This Row],[QTE]]</f>
        <v>-4</v>
      </c>
      <c r="R987" s="18">
        <f>IFERROR(H987*((AA987*0.25)+(AC987*0.25)+(AD987*0.225)+(AE987*0.225)+(AF987*0.05)),"")</f>
        <v>0</v>
      </c>
      <c r="S987" s="18">
        <f>IFERROR(H987*AG987,"")</f>
        <v>0</v>
      </c>
      <c r="T987" s="19">
        <f>IFERROR(S987-H987,"")</f>
        <v>-112.4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>U987-C987</f>
        <v>-4</v>
      </c>
      <c r="Z987" s="20">
        <f>Tabela1[[#This Row],[PESO TOTAL]]-Tabela1[[#This Row],[Peso Expedido]]</f>
        <v>112.4</v>
      </c>
      <c r="AA987" s="17"/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5242</v>
      </c>
      <c r="B988" s="21" t="s">
        <v>5256</v>
      </c>
      <c r="C988" s="1">
        <v>4</v>
      </c>
      <c r="D988" s="1" t="s">
        <v>5258</v>
      </c>
      <c r="E988" s="7">
        <v>4663</v>
      </c>
      <c r="F988" s="7">
        <v>62</v>
      </c>
      <c r="G988" s="1">
        <v>38.299999999999997</v>
      </c>
      <c r="H988" s="34">
        <f>Tabela1[[#This Row],[PESO UNI]]*Tabela1[[#This Row],[QTE]]</f>
        <v>153.19999999999999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5119</v>
      </c>
      <c r="O988" s="12"/>
      <c r="P988" s="13"/>
      <c r="Q988" s="14">
        <f>Tabela1[[#This Row],[QTDE/ Fabricação]]-Tabela1[[#This Row],[QTE]]</f>
        <v>-4</v>
      </c>
      <c r="R988" s="18">
        <f>IFERROR(H988*((AA988*0.25)+(AC988*0.25)+(AD988*0.225)+(AE988*0.225)+(AF988*0.05)),"")</f>
        <v>0</v>
      </c>
      <c r="S988" s="18">
        <f>IFERROR(H988*AG988,"")</f>
        <v>0</v>
      </c>
      <c r="T988" s="19">
        <f>IFERROR(S988-H988,"")</f>
        <v>-153.19999999999999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>U988-C988</f>
        <v>-4</v>
      </c>
      <c r="Z988" s="20">
        <f>Tabela1[[#This Row],[PESO TOTAL]]-Tabela1[[#This Row],[Peso Expedido]]</f>
        <v>153.19999999999999</v>
      </c>
      <c r="AA988" s="17"/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5242</v>
      </c>
      <c r="B989" s="21" t="s">
        <v>5256</v>
      </c>
      <c r="C989" s="1">
        <v>2</v>
      </c>
      <c r="D989" s="1" t="s">
        <v>5259</v>
      </c>
      <c r="E989" s="7">
        <v>4664</v>
      </c>
      <c r="F989" s="7">
        <v>62</v>
      </c>
      <c r="G989" s="1">
        <v>15.8</v>
      </c>
      <c r="H989" s="34">
        <f>Tabela1[[#This Row],[PESO UNI]]*Tabela1[[#This Row],[QTE]]</f>
        <v>31.6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5119</v>
      </c>
      <c r="O989" s="12"/>
      <c r="P989" s="13"/>
      <c r="Q989" s="14">
        <f>Tabela1[[#This Row],[QTDE/ Fabricação]]-Tabela1[[#This Row],[QTE]]</f>
        <v>-2</v>
      </c>
      <c r="R989" s="18">
        <f>IFERROR(H989*((AA989*0.25)+(AC989*0.25)+(AD989*0.225)+(AE989*0.225)+(AF989*0.05)),"")</f>
        <v>0</v>
      </c>
      <c r="S989" s="18">
        <f>IFERROR(H989*AG989,"")</f>
        <v>0</v>
      </c>
      <c r="T989" s="19">
        <f>IFERROR(S989-H989,"")</f>
        <v>-31.6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>U989-C989</f>
        <v>-2</v>
      </c>
      <c r="Z989" s="20">
        <f>Tabela1[[#This Row],[PESO TOTAL]]-Tabela1[[#This Row],[Peso Expedido]]</f>
        <v>31.6</v>
      </c>
      <c r="AA989" s="17"/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5242</v>
      </c>
      <c r="B990" s="21" t="s">
        <v>5256</v>
      </c>
      <c r="C990" s="1">
        <v>4</v>
      </c>
      <c r="D990" s="1" t="s">
        <v>5260</v>
      </c>
      <c r="E990" s="7">
        <v>4665</v>
      </c>
      <c r="F990" s="7">
        <v>62</v>
      </c>
      <c r="G990" s="1">
        <v>28.4</v>
      </c>
      <c r="H990" s="34">
        <f>Tabela1[[#This Row],[PESO UNI]]*Tabela1[[#This Row],[QTE]]</f>
        <v>113.6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5119</v>
      </c>
      <c r="O990" s="12"/>
      <c r="P990" s="13"/>
      <c r="Q990" s="14">
        <f>Tabela1[[#This Row],[QTDE/ Fabricação]]-Tabela1[[#This Row],[QTE]]</f>
        <v>-4</v>
      </c>
      <c r="R990" s="18">
        <f>IFERROR(H990*((AA990*0.25)+(AC990*0.25)+(AD990*0.225)+(AE990*0.225)+(AF990*0.05)),"")</f>
        <v>0</v>
      </c>
      <c r="S990" s="18">
        <f>IFERROR(H990*AG990,"")</f>
        <v>0</v>
      </c>
      <c r="T990" s="19">
        <f>IFERROR(S990-H990,"")</f>
        <v>-113.6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>U990-C990</f>
        <v>-4</v>
      </c>
      <c r="Z990" s="20">
        <f>Tabela1[[#This Row],[PESO TOTAL]]-Tabela1[[#This Row],[Peso Expedido]]</f>
        <v>113.6</v>
      </c>
      <c r="AA990" s="17"/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5242</v>
      </c>
      <c r="B991" s="21" t="s">
        <v>5256</v>
      </c>
      <c r="C991" s="1">
        <v>4</v>
      </c>
      <c r="D991" s="1" t="s">
        <v>5261</v>
      </c>
      <c r="E991" s="7">
        <v>4666</v>
      </c>
      <c r="F991" s="7">
        <v>62</v>
      </c>
      <c r="G991" s="1">
        <v>29.4</v>
      </c>
      <c r="H991" s="34">
        <f>Tabela1[[#This Row],[PESO UNI]]*Tabela1[[#This Row],[QTE]]</f>
        <v>117.6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5119</v>
      </c>
      <c r="O991" s="12"/>
      <c r="P991" s="13"/>
      <c r="Q991" s="14">
        <f>Tabela1[[#This Row],[QTDE/ Fabricação]]-Tabela1[[#This Row],[QTE]]</f>
        <v>-4</v>
      </c>
      <c r="R991" s="18">
        <f>IFERROR(H991*((AA991*0.25)+(AC991*0.25)+(AD991*0.225)+(AE991*0.225)+(AF991*0.05)),"")</f>
        <v>0</v>
      </c>
      <c r="S991" s="18">
        <f>IFERROR(H991*AG991,"")</f>
        <v>0</v>
      </c>
      <c r="T991" s="19">
        <f>IFERROR(S991-H991,"")</f>
        <v>-117.6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>U991-C991</f>
        <v>-4</v>
      </c>
      <c r="Z991" s="20">
        <f>Tabela1[[#This Row],[PESO TOTAL]]-Tabela1[[#This Row],[Peso Expedido]]</f>
        <v>117.6</v>
      </c>
      <c r="AA991" s="17"/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5242</v>
      </c>
      <c r="B992" s="21" t="s">
        <v>5256</v>
      </c>
      <c r="C992" s="1">
        <v>5</v>
      </c>
      <c r="D992" s="1" t="s">
        <v>5262</v>
      </c>
      <c r="E992" s="7">
        <v>4667</v>
      </c>
      <c r="F992" s="7">
        <v>62</v>
      </c>
      <c r="G992" s="1">
        <v>28.9</v>
      </c>
      <c r="H992" s="34">
        <f>Tabela1[[#This Row],[PESO UNI]]*Tabela1[[#This Row],[QTE]]</f>
        <v>144.5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5119</v>
      </c>
      <c r="O992" s="12"/>
      <c r="P992" s="13"/>
      <c r="Q992" s="14">
        <f>Tabela1[[#This Row],[QTDE/ Fabricação]]-Tabela1[[#This Row],[QTE]]</f>
        <v>-5</v>
      </c>
      <c r="R992" s="18">
        <f>IFERROR(H992*((AA992*0.25)+(AC992*0.25)+(AD992*0.225)+(AE992*0.225)+(AF992*0.05)),"")</f>
        <v>0</v>
      </c>
      <c r="S992" s="18">
        <f>IFERROR(H992*AG992,"")</f>
        <v>0</v>
      </c>
      <c r="T992" s="19">
        <f>IFERROR(S992-H992,"")</f>
        <v>-144.5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>U992-C992</f>
        <v>-5</v>
      </c>
      <c r="Z992" s="20">
        <f>Tabela1[[#This Row],[PESO TOTAL]]-Tabela1[[#This Row],[Peso Expedido]]</f>
        <v>144.5</v>
      </c>
      <c r="AA992" s="17"/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5242</v>
      </c>
      <c r="B993" s="21" t="s">
        <v>5256</v>
      </c>
      <c r="C993" s="1">
        <v>8</v>
      </c>
      <c r="D993" s="1" t="s">
        <v>5263</v>
      </c>
      <c r="E993" s="7">
        <v>4668</v>
      </c>
      <c r="F993" s="7">
        <v>62</v>
      </c>
      <c r="G993" s="1">
        <v>0.2</v>
      </c>
      <c r="H993" s="34">
        <f>Tabela1[[#This Row],[PESO UNI]]*Tabela1[[#This Row],[QTE]]</f>
        <v>1.6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5119</v>
      </c>
      <c r="O993" s="12"/>
      <c r="P993" s="13"/>
      <c r="Q993" s="14">
        <f>Tabela1[[#This Row],[QTDE/ Fabricação]]-Tabela1[[#This Row],[QTE]]</f>
        <v>-8</v>
      </c>
      <c r="R993" s="18">
        <f>IFERROR(H993*((AA993*0.25)+(AC993*0.25)+(AD993*0.225)+(AE993*0.225)+(AF993*0.05)),"")</f>
        <v>0</v>
      </c>
      <c r="S993" s="18">
        <f>IFERROR(H993*AG993,"")</f>
        <v>0</v>
      </c>
      <c r="T993" s="19">
        <f>IFERROR(S993-H993,"")</f>
        <v>-1.6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>U993-C993</f>
        <v>-8</v>
      </c>
      <c r="Z993" s="20">
        <f>Tabela1[[#This Row],[PESO TOTAL]]-Tabela1[[#This Row],[Peso Expedido]]</f>
        <v>1.6</v>
      </c>
      <c r="AA993" s="17"/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76</v>
      </c>
      <c r="B994" s="21"/>
      <c r="C994" s="1">
        <v>40</v>
      </c>
      <c r="D994" s="1" t="s">
        <v>5264</v>
      </c>
      <c r="E994" s="7">
        <v>4669</v>
      </c>
      <c r="F994" s="7">
        <v>1</v>
      </c>
      <c r="G994" s="1">
        <v>6</v>
      </c>
      <c r="H994" s="34">
        <f>Tabela1[[#This Row],[PESO UNI]]*Tabela1[[#This Row],[QTE]]</f>
        <v>240</v>
      </c>
      <c r="I994" s="7" t="s">
        <v>5265</v>
      </c>
      <c r="J994" s="8" t="s">
        <v>5266</v>
      </c>
      <c r="K994" s="8" t="s">
        <v>23</v>
      </c>
      <c r="L994" s="9" t="s">
        <v>5267</v>
      </c>
      <c r="M994" s="10">
        <v>46252</v>
      </c>
      <c r="N994" s="8" t="s">
        <v>38</v>
      </c>
      <c r="O994" s="12"/>
      <c r="P994" s="13"/>
      <c r="Q994" s="14">
        <f>Tabela1[[#This Row],[QTDE/ Fabricação]]-Tabela1[[#This Row],[QTE]]</f>
        <v>-40</v>
      </c>
      <c r="R994" s="18">
        <f>IFERROR(H994*((AA994*0.25)+(AC994*0.25)+(AD994*0.225)+(AE994*0.225)+(AF994*0.05)),"")</f>
        <v>0</v>
      </c>
      <c r="S994" s="18">
        <f>IFERROR(H994*AG994,"")</f>
        <v>0</v>
      </c>
      <c r="T994" s="19">
        <f>IFERROR(S994-H994,"")</f>
        <v>-240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>U994-C994</f>
        <v>-40</v>
      </c>
      <c r="Z994" s="20">
        <f>Tabela1[[#This Row],[PESO TOTAL]]-Tabela1[[#This Row],[Peso Expedido]]</f>
        <v>240</v>
      </c>
      <c r="AA994" s="17"/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5268</v>
      </c>
      <c r="B995" s="21"/>
      <c r="C995" s="1">
        <v>126</v>
      </c>
      <c r="D995" s="1" t="s">
        <v>5269</v>
      </c>
      <c r="E995" s="7">
        <v>4670</v>
      </c>
      <c r="F995" s="7">
        <v>3</v>
      </c>
      <c r="G995" s="1">
        <v>97.6</v>
      </c>
      <c r="H995" s="34">
        <f>Tabela1[[#This Row],[PESO UNI]]*Tabela1[[#This Row],[QTE]]</f>
        <v>12297.599999999999</v>
      </c>
      <c r="I995" s="7">
        <v>0</v>
      </c>
      <c r="J995" s="8" t="s">
        <v>5270</v>
      </c>
      <c r="K995" s="8" t="s">
        <v>4320</v>
      </c>
      <c r="L995" s="9" t="s">
        <v>5271</v>
      </c>
      <c r="M995" s="10">
        <v>46254</v>
      </c>
      <c r="N995" s="8" t="s">
        <v>38</v>
      </c>
      <c r="O995" s="12"/>
      <c r="P995" s="13"/>
      <c r="Q995" s="14">
        <f>Tabela1[[#This Row],[QTDE/ Fabricação]]-Tabela1[[#This Row],[QTE]]</f>
        <v>-126</v>
      </c>
      <c r="R995" s="18">
        <f>IFERROR(H995*((AA995*0.25)+(AC995*0.25)+(AD995*0.225)+(AE995*0.225)+(AF995*0.05)),"")</f>
        <v>0</v>
      </c>
      <c r="S995" s="18">
        <f>IFERROR(H995*AG995,"")</f>
        <v>0</v>
      </c>
      <c r="T995" s="19">
        <f>IFERROR(S995-H995,"")</f>
        <v>-12297.599999999999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>U995-C995</f>
        <v>-126</v>
      </c>
      <c r="Z995" s="20">
        <f>Tabela1[[#This Row],[PESO TOTAL]]-Tabela1[[#This Row],[Peso Expedido]]</f>
        <v>12297.599999999999</v>
      </c>
      <c r="AA995" s="17"/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5272</v>
      </c>
      <c r="B996" s="21"/>
      <c r="C996" s="1">
        <v>6</v>
      </c>
      <c r="D996" s="1" t="s">
        <v>5273</v>
      </c>
      <c r="E996" s="7">
        <v>4671</v>
      </c>
      <c r="F996" s="7">
        <v>3</v>
      </c>
      <c r="G996" s="1">
        <v>289.7</v>
      </c>
      <c r="H996" s="34">
        <f>Tabela1[[#This Row],[PESO UNI]]*Tabela1[[#This Row],[QTE]]</f>
        <v>1738.1999999999998</v>
      </c>
      <c r="I996" s="7">
        <v>0</v>
      </c>
      <c r="J996" s="8" t="s">
        <v>5270</v>
      </c>
      <c r="K996" s="8" t="s">
        <v>4320</v>
      </c>
      <c r="L996" s="9" t="s">
        <v>5271</v>
      </c>
      <c r="M996" s="10">
        <v>46254</v>
      </c>
      <c r="N996" s="8" t="s">
        <v>38</v>
      </c>
      <c r="O996" s="12"/>
      <c r="P996" s="13"/>
      <c r="Q996" s="14">
        <f>Tabela1[[#This Row],[QTDE/ Fabricação]]-Tabela1[[#This Row],[QTE]]</f>
        <v>-6</v>
      </c>
      <c r="R996" s="18">
        <f>IFERROR(H996*((AA996*0.25)+(AC996*0.25)+(AD996*0.225)+(AE996*0.225)+(AF996*0.05)),"")</f>
        <v>0</v>
      </c>
      <c r="S996" s="18">
        <f>IFERROR(H996*AG996,"")</f>
        <v>0</v>
      </c>
      <c r="T996" s="19">
        <f>IFERROR(S996-H996,"")</f>
        <v>-1738.1999999999998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>U996-C996</f>
        <v>-6</v>
      </c>
      <c r="Z996" s="20">
        <f>Tabela1[[#This Row],[PESO TOTAL]]-Tabela1[[#This Row],[Peso Expedido]]</f>
        <v>1738.1999999999998</v>
      </c>
      <c r="AA996" s="17"/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5274</v>
      </c>
      <c r="B997" s="21"/>
      <c r="C997" s="1">
        <v>2</v>
      </c>
      <c r="D997" s="1" t="s">
        <v>5275</v>
      </c>
      <c r="E997" s="7">
        <v>4672</v>
      </c>
      <c r="F997" s="7">
        <v>3</v>
      </c>
      <c r="G997" s="1">
        <v>289.7</v>
      </c>
      <c r="H997" s="34">
        <f>Tabela1[[#This Row],[PESO UNI]]*Tabela1[[#This Row],[QTE]]</f>
        <v>579.4</v>
      </c>
      <c r="I997" s="7">
        <v>0</v>
      </c>
      <c r="J997" s="8" t="s">
        <v>5270</v>
      </c>
      <c r="K997" s="8" t="s">
        <v>4320</v>
      </c>
      <c r="L997" s="9" t="s">
        <v>5271</v>
      </c>
      <c r="M997" s="10">
        <v>46254</v>
      </c>
      <c r="N997" s="8" t="s">
        <v>38</v>
      </c>
      <c r="O997" s="12"/>
      <c r="P997" s="13"/>
      <c r="Q997" s="14">
        <f>Tabela1[[#This Row],[QTDE/ Fabricação]]-Tabela1[[#This Row],[QTE]]</f>
        <v>-2</v>
      </c>
      <c r="R997" s="18">
        <f>IFERROR(H997*((AA997*0.25)+(AC997*0.25)+(AD997*0.225)+(AE997*0.225)+(AF997*0.05)),"")</f>
        <v>0</v>
      </c>
      <c r="S997" s="18">
        <f>IFERROR(H997*AG997,"")</f>
        <v>0</v>
      </c>
      <c r="T997" s="19">
        <f>IFERROR(S997-H997,"")</f>
        <v>-579.4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>U997-C997</f>
        <v>-2</v>
      </c>
      <c r="Z997" s="20">
        <f>Tabela1[[#This Row],[PESO TOTAL]]-Tabela1[[#This Row],[Peso Expedido]]</f>
        <v>579.4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5276</v>
      </c>
      <c r="B998" s="21"/>
      <c r="C998" s="1">
        <v>1</v>
      </c>
      <c r="D998" s="1" t="s">
        <v>5277</v>
      </c>
      <c r="E998" s="7">
        <v>4673</v>
      </c>
      <c r="F998" s="7">
        <v>3</v>
      </c>
      <c r="G998" s="1">
        <v>588</v>
      </c>
      <c r="H998" s="34">
        <f>Tabela1[[#This Row],[PESO UNI]]*Tabela1[[#This Row],[QTE]]</f>
        <v>588</v>
      </c>
      <c r="I998" s="7">
        <v>0</v>
      </c>
      <c r="J998" s="8" t="s">
        <v>5270</v>
      </c>
      <c r="K998" s="8" t="s">
        <v>4320</v>
      </c>
      <c r="L998" s="9" t="s">
        <v>5271</v>
      </c>
      <c r="M998" s="10">
        <v>46254</v>
      </c>
      <c r="N998" s="8" t="s">
        <v>38</v>
      </c>
      <c r="O998" s="12"/>
      <c r="P998" s="13"/>
      <c r="Q998" s="14">
        <f>Tabela1[[#This Row],[QTDE/ Fabricação]]-Tabela1[[#This Row],[QTE]]</f>
        <v>-1</v>
      </c>
      <c r="R998" s="18">
        <f>IFERROR(H998*((AA998*0.25)+(AC998*0.25)+(AD998*0.225)+(AE998*0.225)+(AF998*0.05)),"")</f>
        <v>0</v>
      </c>
      <c r="S998" s="18">
        <f>IFERROR(H998*AG998,"")</f>
        <v>0</v>
      </c>
      <c r="T998" s="19">
        <f>IFERROR(S998-H998,"")</f>
        <v>-588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>U998-C998</f>
        <v>-1</v>
      </c>
      <c r="Z998" s="20">
        <f>Tabela1[[#This Row],[PESO TOTAL]]-Tabela1[[#This Row],[Peso Expedido]]</f>
        <v>588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5278</v>
      </c>
      <c r="B999" s="21"/>
      <c r="C999" s="1">
        <v>1</v>
      </c>
      <c r="D999" s="1" t="s">
        <v>5280</v>
      </c>
      <c r="E999" s="7">
        <v>4674</v>
      </c>
      <c r="F999" s="7">
        <v>3</v>
      </c>
      <c r="G999" s="1">
        <v>743</v>
      </c>
      <c r="H999" s="34">
        <f>Tabela1[[#This Row],[PESO UNI]]*Tabela1[[#This Row],[QTE]]</f>
        <v>743</v>
      </c>
      <c r="I999" s="7">
        <v>2</v>
      </c>
      <c r="J999" s="8" t="s">
        <v>5270</v>
      </c>
      <c r="K999" s="8" t="s">
        <v>4320</v>
      </c>
      <c r="L999" s="9" t="s">
        <v>5271</v>
      </c>
      <c r="M999" s="10">
        <v>46254</v>
      </c>
      <c r="N999" s="8" t="s">
        <v>38</v>
      </c>
      <c r="O999" s="12"/>
      <c r="P999" s="13"/>
      <c r="Q999" s="14">
        <f>Tabela1[[#This Row],[QTDE/ Fabricação]]-Tabela1[[#This Row],[QTE]]</f>
        <v>-1</v>
      </c>
      <c r="R999" s="18">
        <f>IFERROR(H999*((AA999*0.25)+(AC999*0.25)+(AD999*0.225)+(AE999*0.225)+(AF999*0.05)),"")</f>
        <v>0</v>
      </c>
      <c r="S999" s="18">
        <f>IFERROR(H999*AG999,"")</f>
        <v>0</v>
      </c>
      <c r="T999" s="19">
        <f>IFERROR(S999-H999,"")</f>
        <v>-743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>U999-C999</f>
        <v>-1</v>
      </c>
      <c r="Z999" s="20">
        <f>Tabela1[[#This Row],[PESO TOTAL]]-Tabela1[[#This Row],[Peso Expedido]]</f>
        <v>743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5279</v>
      </c>
      <c r="B1000" s="21"/>
      <c r="C1000" s="1">
        <v>6</v>
      </c>
      <c r="D1000" s="1" t="s">
        <v>5281</v>
      </c>
      <c r="E1000" s="7">
        <v>4675</v>
      </c>
      <c r="F1000" s="7">
        <v>3</v>
      </c>
      <c r="G1000" s="1">
        <v>503.8</v>
      </c>
      <c r="H1000" s="34">
        <f>Tabela1[[#This Row],[PESO UNI]]*Tabela1[[#This Row],[QTE]]</f>
        <v>3022.8</v>
      </c>
      <c r="I1000" s="7">
        <v>0</v>
      </c>
      <c r="J1000" s="8" t="s">
        <v>5270</v>
      </c>
      <c r="K1000" s="8" t="s">
        <v>4320</v>
      </c>
      <c r="L1000" s="9" t="s">
        <v>5271</v>
      </c>
      <c r="M1000" s="10">
        <v>46254</v>
      </c>
      <c r="N1000" s="8" t="s">
        <v>38</v>
      </c>
      <c r="O1000" s="12"/>
      <c r="P1000" s="13"/>
      <c r="Q1000" s="14">
        <f>Tabela1[[#This Row],[QTDE/ Fabricação]]-Tabela1[[#This Row],[QTE]]</f>
        <v>-6</v>
      </c>
      <c r="R1000" s="18">
        <f>IFERROR(H1000*((AA1000*0.25)+(AC1000*0.25)+(AD1000*0.225)+(AE1000*0.225)+(AF1000*0.05)),"")</f>
        <v>0</v>
      </c>
      <c r="S1000" s="18">
        <f>IFERROR(H1000*AG1000,"")</f>
        <v>0</v>
      </c>
      <c r="T1000" s="19">
        <f>IFERROR(S1000-H1000,"")</f>
        <v>-3022.8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>U1000-C1000</f>
        <v>-6</v>
      </c>
      <c r="Z1000" s="20">
        <f>Tabela1[[#This Row],[PESO TOTAL]]-Tabela1[[#This Row],[Peso Expedido]]</f>
        <v>3022.8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5282</v>
      </c>
      <c r="B1001" s="21"/>
      <c r="C1001" s="1">
        <v>64</v>
      </c>
      <c r="D1001" s="1" t="s">
        <v>5284</v>
      </c>
      <c r="E1001" s="7">
        <v>4676</v>
      </c>
      <c r="F1001" s="7">
        <v>3</v>
      </c>
      <c r="G1001" s="1">
        <v>8.6</v>
      </c>
      <c r="H1001" s="34">
        <f>Tabela1[[#This Row],[PESO UNI]]*Tabela1[[#This Row],[QTE]]</f>
        <v>550.4</v>
      </c>
      <c r="I1001" s="7">
        <v>0</v>
      </c>
      <c r="J1001" s="8" t="s">
        <v>5270</v>
      </c>
      <c r="K1001" s="8" t="s">
        <v>4320</v>
      </c>
      <c r="L1001" s="9" t="s">
        <v>5271</v>
      </c>
      <c r="M1001" s="10">
        <v>46254</v>
      </c>
      <c r="N1001" s="8" t="s">
        <v>38</v>
      </c>
      <c r="O1001" s="12"/>
      <c r="P1001" s="13"/>
      <c r="Q1001" s="14">
        <f>Tabela1[[#This Row],[QTDE/ Fabricação]]-Tabela1[[#This Row],[QTE]]</f>
        <v>-64</v>
      </c>
      <c r="R1001" s="18">
        <f>IFERROR(H1001*((AA1001*0.25)+(AC1001*0.25)+(AD1001*0.225)+(AE1001*0.225)+(AF1001*0.05)),"")</f>
        <v>0</v>
      </c>
      <c r="S1001" s="18">
        <f>IFERROR(H1001*AG1001,"")</f>
        <v>0</v>
      </c>
      <c r="T1001" s="19">
        <f>IFERROR(S1001-H1001,"")</f>
        <v>-550.4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>U1001-C1001</f>
        <v>-64</v>
      </c>
      <c r="Z1001" s="20">
        <f>Tabela1[[#This Row],[PESO TOTAL]]-Tabela1[[#This Row],[Peso Expedido]]</f>
        <v>550.4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5283</v>
      </c>
      <c r="B1002" s="21"/>
      <c r="C1002" s="1">
        <v>1</v>
      </c>
      <c r="D1002" s="1" t="s">
        <v>5285</v>
      </c>
      <c r="E1002" s="7">
        <v>4677</v>
      </c>
      <c r="F1002" s="7">
        <v>3</v>
      </c>
      <c r="G1002" s="1">
        <v>503.8</v>
      </c>
      <c r="H1002" s="34">
        <f>Tabela1[[#This Row],[PESO UNI]]*Tabela1[[#This Row],[QTE]]</f>
        <v>503.8</v>
      </c>
      <c r="I1002" s="7">
        <v>0</v>
      </c>
      <c r="J1002" s="8" t="s">
        <v>5270</v>
      </c>
      <c r="K1002" s="8" t="s">
        <v>4320</v>
      </c>
      <c r="L1002" s="9" t="s">
        <v>5271</v>
      </c>
      <c r="M1002" s="10">
        <v>46254</v>
      </c>
      <c r="N1002" s="8" t="s">
        <v>38</v>
      </c>
      <c r="O1002" s="12"/>
      <c r="P1002" s="13"/>
      <c r="Q1002" s="14">
        <f>Tabela1[[#This Row],[QTDE/ Fabricação]]-Tabela1[[#This Row],[QTE]]</f>
        <v>-1</v>
      </c>
      <c r="R1002" s="18">
        <f>IFERROR(H1002*((AA1002*0.25)+(AC1002*0.25)+(AD1002*0.225)+(AE1002*0.225)+(AF1002*0.05)),"")</f>
        <v>0</v>
      </c>
      <c r="S1002" s="18">
        <f>IFERROR(H1002*AG1002,"")</f>
        <v>0</v>
      </c>
      <c r="T1002" s="19">
        <f>IFERROR(S1002-H1002,"")</f>
        <v>-503.8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>U1002-C1002</f>
        <v>-1</v>
      </c>
      <c r="Z1002" s="20">
        <f>Tabela1[[#This Row],[PESO TOTAL]]-Tabela1[[#This Row],[Peso Expedido]]</f>
        <v>503.8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5286</v>
      </c>
      <c r="B1003" s="21"/>
      <c r="C1003" s="1">
        <v>3</v>
      </c>
      <c r="D1003" s="1" t="s">
        <v>5287</v>
      </c>
      <c r="E1003" s="7">
        <v>4678</v>
      </c>
      <c r="F1003" s="7">
        <v>3</v>
      </c>
      <c r="G1003" s="1">
        <v>406.1</v>
      </c>
      <c r="H1003" s="34">
        <f>Tabela1[[#This Row],[PESO UNI]]*Tabela1[[#This Row],[QTE]]</f>
        <v>1218.3000000000002</v>
      </c>
      <c r="I1003" s="7">
        <v>0</v>
      </c>
      <c r="J1003" s="8" t="s">
        <v>5270</v>
      </c>
      <c r="K1003" s="8" t="s">
        <v>4320</v>
      </c>
      <c r="L1003" s="9" t="s">
        <v>5271</v>
      </c>
      <c r="M1003" s="10">
        <v>46254</v>
      </c>
      <c r="N1003" s="8" t="s">
        <v>38</v>
      </c>
      <c r="O1003" s="12"/>
      <c r="P1003" s="13"/>
      <c r="Q1003" s="14">
        <f>Tabela1[[#This Row],[QTDE/ Fabricação]]-Tabela1[[#This Row],[QTE]]</f>
        <v>-3</v>
      </c>
      <c r="R1003" s="18">
        <f>IFERROR(H1003*((AA1003*0.25)+(AC1003*0.25)+(AD1003*0.225)+(AE1003*0.225)+(AF1003*0.05)),"")</f>
        <v>0</v>
      </c>
      <c r="S1003" s="18">
        <f>IFERROR(H1003*AG1003,"")</f>
        <v>0</v>
      </c>
      <c r="T1003" s="19">
        <f>IFERROR(S1003-H1003,"")</f>
        <v>-1218.3000000000002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>U1003-C1003</f>
        <v>-3</v>
      </c>
      <c r="Z1003" s="20">
        <f>Tabela1[[#This Row],[PESO TOTAL]]-Tabela1[[#This Row],[Peso Expedido]]</f>
        <v>1218.3000000000002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5288</v>
      </c>
      <c r="B1004" s="21"/>
      <c r="C1004" s="1">
        <v>252</v>
      </c>
      <c r="D1004" s="1" t="s">
        <v>5289</v>
      </c>
      <c r="E1004" s="7">
        <v>4679</v>
      </c>
      <c r="F1004" s="7">
        <v>3</v>
      </c>
      <c r="G1004" s="1">
        <v>11.8</v>
      </c>
      <c r="H1004" s="34">
        <f>Tabela1[[#This Row],[PESO UNI]]*Tabela1[[#This Row],[QTE]]</f>
        <v>2973.6000000000004</v>
      </c>
      <c r="I1004" s="7">
        <v>0</v>
      </c>
      <c r="J1004" s="8" t="s">
        <v>5270</v>
      </c>
      <c r="K1004" s="8" t="s">
        <v>4320</v>
      </c>
      <c r="L1004" s="9" t="s">
        <v>5271</v>
      </c>
      <c r="M1004" s="10">
        <v>46254</v>
      </c>
      <c r="N1004" s="8" t="s">
        <v>38</v>
      </c>
      <c r="O1004" s="12"/>
      <c r="P1004" s="13"/>
      <c r="Q1004" s="14">
        <f>Tabela1[[#This Row],[QTDE/ Fabricação]]-Tabela1[[#This Row],[QTE]]</f>
        <v>-252</v>
      </c>
      <c r="R1004" s="18">
        <f>IFERROR(H1004*((AA1004*0.25)+(AC1004*0.25)+(AD1004*0.225)+(AE1004*0.225)+(AF1004*0.05)),"")</f>
        <v>0</v>
      </c>
      <c r="S1004" s="18">
        <f>IFERROR(H1004*AG1004,"")</f>
        <v>0</v>
      </c>
      <c r="T1004" s="19">
        <f>IFERROR(S1004-H1004,"")</f>
        <v>-2973.6000000000004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>U1004-C1004</f>
        <v>-252</v>
      </c>
      <c r="Z1004" s="20">
        <f>Tabela1[[#This Row],[PESO TOTAL]]-Tabela1[[#This Row],[Peso Expedido]]</f>
        <v>2973.6000000000004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</sheetData>
  <phoneticPr fontId="6" type="noConversion"/>
  <conditionalFormatting sqref="E2:E458 AA29:AH449 AI29:AI459 AA452:AD453 AA454:AB458 AD454:AD458 AA486:AH604 E556:E604 L605 AA762:AJ762 AC762:AE763 E606:E1004 J605:J1004 AA763:AI1004">
    <cfRule type="expression" dxfId="58" priority="415">
      <formula>$AI2="OK"</formula>
    </cfRule>
  </conditionalFormatting>
  <conditionalFormatting sqref="F564:F1004 B606:B1004 K764:O1004 H606:I1004">
    <cfRule type="expression" dxfId="57" priority="299">
      <formula>#REF!="OK"</formula>
    </cfRule>
  </conditionalFormatting>
  <conditionalFormatting sqref="H419">
    <cfRule type="expression" dxfId="56" priority="27208">
      <formula>$AI449="OK"</formula>
    </cfRule>
  </conditionalFormatting>
  <conditionalFormatting sqref="H420:H438">
    <cfRule type="expression" dxfId="55" priority="27198">
      <formula>$AI459="OK"</formula>
    </cfRule>
  </conditionalFormatting>
  <conditionalFormatting sqref="H576">
    <cfRule type="expression" dxfId="54" priority="27175">
      <formula>$AI604="OK"</formula>
    </cfRule>
  </conditionalFormatting>
  <conditionalFormatting sqref="K153:K438 K445:K458 L448:L449 L762:O763">
    <cfRule type="expression" dxfId="53" priority="424">
      <formula>#REF!="OK"</formula>
    </cfRule>
  </conditionalFormatting>
  <conditionalFormatting sqref="K762:K763">
    <cfRule type="expression" dxfId="52" priority="307">
      <formula>$AI1024="OK"</formula>
    </cfRule>
  </conditionalFormatting>
  <conditionalFormatting sqref="L2:L27 H415:H417">
    <cfRule type="expression" dxfId="51" priority="26951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0" priority="421">
      <formula>$AI72="OK"</formula>
    </cfRule>
  </conditionalFormatting>
  <conditionalFormatting sqref="L408">
    <cfRule type="expression" dxfId="49" priority="27200">
      <formula>$AI449="OK"</formula>
    </cfRule>
  </conditionalFormatting>
  <conditionalFormatting sqref="L409:L438">
    <cfRule type="expression" dxfId="48" priority="27053">
      <formula>$AI459="OK"</formula>
    </cfRule>
  </conditionalFormatting>
  <conditionalFormatting sqref="N2:N458">
    <cfRule type="expression" dxfId="47" priority="305">
      <formula>#REF!="OK"</formula>
    </cfRule>
  </conditionalFormatting>
  <conditionalFormatting sqref="O450:O458 T2:T1004 Y2:Z1004 Q459:Q1004">
    <cfRule type="cellIs" dxfId="46" priority="371" operator="greaterThanOrEqual">
      <formula>0</formula>
    </cfRule>
  </conditionalFormatting>
  <conditionalFormatting sqref="O450:P452 H449 R449 A450:D452 F450:F452 M450:M452 H450:J458 P457:P458">
    <cfRule type="expression" dxfId="45" priority="27009">
      <formula>$AI503="OK"</formula>
    </cfRule>
  </conditionalFormatting>
  <conditionalFormatting sqref="O453:P453">
    <cfRule type="expression" dxfId="44" priority="381">
      <formula>#REF!="OK"</formula>
    </cfRule>
  </conditionalFormatting>
  <conditionalFormatting sqref="O2:Z27 A2:D27 F2:F27 H2:K27 M2:M27 H153:H413 H459:H571">
    <cfRule type="expression" dxfId="43" priority="26984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2" priority="26682">
      <formula>$AI73="OK"</formula>
    </cfRule>
  </conditionalFormatting>
  <conditionalFormatting sqref="O108:Z108 A108:D108 F108 H108:K108 M108 L109">
    <cfRule type="expression" dxfId="41" priority="27317">
      <formula>#REF!="OK"</formula>
    </cfRule>
  </conditionalFormatting>
  <conditionalFormatting sqref="O402:Z402 O406:Z406 A402:D402 F402 I402:J402 M402 L403 A406:D406 F406 I406:J406 M406 L407 H414 H418">
    <cfRule type="expression" dxfId="40" priority="27201">
      <formula>#REF!="OK"</formula>
    </cfRule>
  </conditionalFormatting>
  <conditionalFormatting sqref="O403:Z405 L110:L152 L214:L256 L396:L402 A403:D405 F403:F405 I403:J405 M403:M405">
    <cfRule type="expression" dxfId="39" priority="26888">
      <formula>$AI153="OK"</formula>
    </cfRule>
  </conditionalFormatting>
  <conditionalFormatting sqref="O407:Z407 L404:L406 A407:D407 F407 I407:J407 M407">
    <cfRule type="expression" dxfId="38" priority="27210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37" priority="27023">
      <formula>$AI499="OK"</formula>
    </cfRule>
  </conditionalFormatting>
  <conditionalFormatting sqref="O559:Z562 Z560:Z563 B559:B562 F559:F562 I559:I562 M559:M562 H572:H575">
    <cfRule type="expression" dxfId="36" priority="27138">
      <formula>#REF!="OK"</formula>
    </cfRule>
  </conditionalFormatting>
  <conditionalFormatting sqref="O563:Z563 B563 F563 I563 M563">
    <cfRule type="expression" dxfId="35" priority="27052">
      <formula>$AI604="OK"</formula>
    </cfRule>
  </conditionalFormatting>
  <conditionalFormatting sqref="P762:Z834">
    <cfRule type="expression" dxfId="34" priority="27337">
      <formula>$AI1034="OK"</formula>
    </cfRule>
  </conditionalFormatting>
  <conditionalFormatting sqref="P835:Z1004">
    <cfRule type="expression" dxfId="33" priority="27392">
      <formula>$AI1105="OK"</formula>
    </cfRule>
  </conditionalFormatting>
  <conditionalFormatting sqref="P837:Z1004">
    <cfRule type="expression" dxfId="32" priority="27394">
      <formula>$AI1106="OK"</formula>
    </cfRule>
  </conditionalFormatting>
  <conditionalFormatting sqref="Q2:Q456">
    <cfRule type="cellIs" dxfId="31" priority="26651" operator="greaterThanOrEqual">
      <formula>0</formula>
    </cfRule>
  </conditionalFormatting>
  <conditionalFormatting sqref="Q2:Q456 Q459:Q1004">
    <cfRule type="cellIs" dxfId="30" priority="26650" operator="lessThan">
      <formula>0</formula>
    </cfRule>
  </conditionalFormatting>
  <conditionalFormatting sqref="O450:O458">
    <cfRule type="cellIs" dxfId="29" priority="370" operator="lessThan">
      <formula>0</formula>
    </cfRule>
  </conditionalFormatting>
  <conditionalFormatting sqref="S211">
    <cfRule type="expression" dxfId="28" priority="422">
      <formula>#REF!="OK"</formula>
    </cfRule>
  </conditionalFormatting>
  <conditionalFormatting sqref="S393">
    <cfRule type="expression" dxfId="27" priority="423">
      <formula>#REF!="OK"</formula>
    </cfRule>
  </conditionalFormatting>
  <conditionalFormatting sqref="S447:Z447 O447:Q447 A447:D447 F447 J447 M447 A453:D453 F453 M453 L454:L458">
    <cfRule type="expression" dxfId="26" priority="27008">
      <formula>#REF!="OK"</formula>
    </cfRule>
  </conditionalFormatting>
  <conditionalFormatting sqref="T2:T1004 Y2:Z1004">
    <cfRule type="cellIs" dxfId="25" priority="26652" operator="lessThan">
      <formula>0</formula>
    </cfRule>
  </conditionalFormatting>
  <conditionalFormatting sqref="T212:Z212 O212:R212 A212:D212 F212 I212:J212 M212">
    <cfRule type="expression" dxfId="24" priority="26862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3" priority="26750">
      <formula>$AI257="OK"</formula>
    </cfRule>
  </conditionalFormatting>
  <conditionalFormatting sqref="T394:Z394 O394:R394 A394:D394 F394 I394:J394 M394 L395">
    <cfRule type="expression" dxfId="22" priority="26913">
      <formula>#REF!="OK"</formula>
    </cfRule>
  </conditionalFormatting>
  <conditionalFormatting sqref="T408:Z438 O408:R438 S408:S437 A408:D438 F408:F438 I408:J438 M408:M438 L439:L445">
    <cfRule type="expression" dxfId="21" priority="27294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0" priority="27203">
      <formula>$AI490="OK"</formula>
    </cfRule>
  </conditionalFormatting>
  <conditionalFormatting sqref="T605:Z605 Q605:R605 H605">
    <cfRule type="expression" dxfId="19" priority="27190">
      <formula>$AI669="OK"</formula>
    </cfRule>
  </conditionalFormatting>
  <conditionalFormatting sqref="V450:Y451 R450:T458 V452:Z458">
    <cfRule type="expression" dxfId="18" priority="27108">
      <formula>$AI487="OK"</formula>
    </cfRule>
  </conditionalFormatting>
  <conditionalFormatting sqref="Z450:Z451 O564:Z622 K623:Z761 K556:K622 B564:B603 I564:I603 M564:M603 H577:H603 A604:D605 H604:J605 L604:N622">
    <cfRule type="expression" dxfId="17" priority="27177">
      <formula>#REF!="OK"</formula>
    </cfRule>
  </conditionalFormatting>
  <conditionalFormatting sqref="Z450:Z451">
    <cfRule type="expression" dxfId="16" priority="354">
      <formula>$AI494="OK"</formula>
    </cfRule>
  </conditionalFormatting>
  <conditionalFormatting sqref="Z564">
    <cfRule type="expression" dxfId="15" priority="27168">
      <formula>$AI604="OK"</formula>
    </cfRule>
  </conditionalFormatting>
  <conditionalFormatting sqref="Z605">
    <cfRule type="expression" dxfId="14" priority="27193">
      <formula>$AI668="OK"</formula>
    </cfRule>
  </conditionalFormatting>
  <conditionalFormatting sqref="AA606:AH761">
    <cfRule type="cellIs" dxfId="13" priority="338" operator="greaterThanOrEqual">
      <formula>1</formula>
    </cfRule>
    <cfRule type="expression" dxfId="12" priority="339">
      <formula>$AI606="OK"</formula>
    </cfRule>
  </conditionalFormatting>
  <conditionalFormatting sqref="AA2:AI28 AA450:AE451 AE452:AG452 AF453:AG458 AA459:AH459 A459:G555 I459:N555 AA460:AI603 J556:J603 L556:L603">
    <cfRule type="expression" dxfId="11" priority="26648">
      <formula>$AI2="OK"</formula>
    </cfRule>
  </conditionalFormatting>
  <conditionalFormatting sqref="AA2:AI28 AA29:AH451 AI29:AI459 AJ153:AW153 AE452:AG452 AA452:AD453 AE453 AF453:AG458 AA454:AB458 AD454:AG458 AA459:AH459 AI606:AI761 AA762:AJ1004">
    <cfRule type="cellIs" dxfId="10" priority="26649" operator="greaterThanOrEqual">
      <formula>1</formula>
    </cfRule>
  </conditionalFormatting>
  <conditionalFormatting sqref="AA460:AI605">
    <cfRule type="cellIs" dxfId="9" priority="348" operator="greaterThanOrEqual">
      <formula>1</formula>
    </cfRule>
  </conditionalFormatting>
  <conditionalFormatting sqref="AA605:AI605">
    <cfRule type="expression" dxfId="8" priority="349">
      <formula>$AI605="OK"</formula>
    </cfRule>
  </conditionalFormatting>
  <conditionalFormatting sqref="AC454:AC458">
    <cfRule type="expression" dxfId="7" priority="288">
      <formula>$AI454="OK"</formula>
    </cfRule>
    <cfRule type="cellIs" dxfId="6" priority="289" operator="greaterThanOrEqual">
      <formula>1</formula>
    </cfRule>
  </conditionalFormatting>
  <conditionalFormatting sqref="AE453:AE458">
    <cfRule type="expression" dxfId="5" priority="287">
      <formula>$AI453="OK"</formula>
    </cfRule>
  </conditionalFormatting>
  <conditionalFormatting sqref="AF454:AF458">
    <cfRule type="expression" dxfId="4" priority="286">
      <formula>$AI454="OK"</formula>
    </cfRule>
  </conditionalFormatting>
  <conditionalFormatting sqref="AF450:AH451">
    <cfRule type="expression" dxfId="3" priority="237">
      <formula>$AI450="OK"</formula>
    </cfRule>
  </conditionalFormatting>
  <conditionalFormatting sqref="AG454:AG458">
    <cfRule type="expression" dxfId="2" priority="285">
      <formula>$AI454="OK"</formula>
    </cfRule>
  </conditionalFormatting>
  <conditionalFormatting sqref="AI486:AI761 N556:N603">
    <cfRule type="expression" dxfId="1" priority="355">
      <formula>$AI486="OK"</formula>
    </cfRule>
  </conditionalFormatting>
  <conditionalFormatting sqref="AJ153:AW153">
    <cfRule type="expression" dxfId="0" priority="426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3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  <row r="23" spans="1:6" ht="240" x14ac:dyDescent="0.25">
      <c r="A23" s="294">
        <v>206</v>
      </c>
      <c r="B23" s="191" t="s">
        <v>5290</v>
      </c>
      <c r="C23" s="293"/>
      <c r="D23" s="293"/>
      <c r="E23" s="295" t="s">
        <v>4972</v>
      </c>
      <c r="F23" s="296" t="s">
        <v>5291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2" t="e" vm="1">
        <v>#VALUE!</v>
      </c>
      <c r="D2" s="273"/>
      <c r="E2" s="276" t="s">
        <v>320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7"/>
      <c r="U2" s="280" t="s">
        <v>246</v>
      </c>
      <c r="V2" s="27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4"/>
      <c r="D3" s="275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9"/>
      <c r="U3" s="281"/>
      <c r="V3" s="27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0" t="s">
        <v>2070</v>
      </c>
      <c r="D6" s="243" t="s">
        <v>2069</v>
      </c>
      <c r="E6" s="246" t="s">
        <v>2071</v>
      </c>
      <c r="F6" s="249">
        <v>46183</v>
      </c>
      <c r="G6" s="261">
        <v>46220</v>
      </c>
      <c r="H6" s="26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8">
        <f>T9/T6</f>
        <v>0.88949747289203585</v>
      </c>
      <c r="V6" s="23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1"/>
      <c r="D7" s="244"/>
      <c r="E7" s="247"/>
      <c r="F7" s="250"/>
      <c r="G7" s="262"/>
      <c r="H7" s="26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9"/>
      <c r="V7" s="23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1"/>
      <c r="D8" s="244"/>
      <c r="E8" s="247"/>
      <c r="F8" s="250"/>
      <c r="G8" s="262"/>
      <c r="H8" s="26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9"/>
      <c r="V8" s="23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1"/>
      <c r="D9" s="244"/>
      <c r="E9" s="247"/>
      <c r="F9" s="250"/>
      <c r="G9" s="262"/>
      <c r="H9" s="26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9"/>
      <c r="V9" s="23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2"/>
      <c r="D10" s="245"/>
      <c r="E10" s="248"/>
      <c r="F10" s="251"/>
      <c r="G10" s="263"/>
      <c r="H10" s="26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0"/>
      <c r="V10" s="23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0" t="s">
        <v>2987</v>
      </c>
      <c r="D12" s="243" t="s">
        <v>2551</v>
      </c>
      <c r="E12" s="246" t="s">
        <v>2986</v>
      </c>
      <c r="F12" s="249">
        <v>46205</v>
      </c>
      <c r="G12" s="261"/>
      <c r="H12" s="26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8">
        <f>T15/T12</f>
        <v>0.76586952907929418</v>
      </c>
      <c r="V12" s="23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1"/>
      <c r="D13" s="244"/>
      <c r="E13" s="247"/>
      <c r="F13" s="250"/>
      <c r="G13" s="262"/>
      <c r="H13" s="26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9"/>
      <c r="V13" s="23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1"/>
      <c r="D14" s="244"/>
      <c r="E14" s="247"/>
      <c r="F14" s="250"/>
      <c r="G14" s="262"/>
      <c r="H14" s="26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9"/>
      <c r="V14" s="23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1"/>
      <c r="D15" s="244"/>
      <c r="E15" s="247"/>
      <c r="F15" s="250"/>
      <c r="G15" s="262"/>
      <c r="H15" s="26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9"/>
      <c r="V15" s="23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2"/>
      <c r="D16" s="245"/>
      <c r="E16" s="248"/>
      <c r="F16" s="251"/>
      <c r="G16" s="263"/>
      <c r="H16" s="26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0"/>
      <c r="V16" s="23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0" t="s">
        <v>2983</v>
      </c>
      <c r="D18" s="243" t="s">
        <v>2984</v>
      </c>
      <c r="E18" s="246" t="s">
        <v>2985</v>
      </c>
      <c r="F18" s="249">
        <v>46289</v>
      </c>
      <c r="G18" s="261"/>
      <c r="H18" s="25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58">
        <f>T21/T18</f>
        <v>0.66276680266907229</v>
      </c>
      <c r="V18" s="23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1"/>
      <c r="D19" s="244"/>
      <c r="E19" s="247"/>
      <c r="F19" s="250"/>
      <c r="G19" s="262"/>
      <c r="H19" s="256"/>
      <c r="I19" s="129" t="s">
        <v>3028</v>
      </c>
      <c r="J19" s="130">
        <f t="shared" ref="J19" si="17">J18-J20</f>
        <v>6.931899999999998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9.9084000000000003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31.631799999999998</v>
      </c>
      <c r="U19" s="259"/>
      <c r="V19" s="23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1"/>
      <c r="D20" s="244"/>
      <c r="E20" s="247"/>
      <c r="F20" s="250"/>
      <c r="G20" s="262"/>
      <c r="H20" s="256"/>
      <c r="I20" s="129" t="s">
        <v>3030</v>
      </c>
      <c r="J20" s="131">
        <f>SUMIF(PERFORMANCE!$N:$N,W18,PERFORMANCE!$Q:$Q)/1000</f>
        <v>1.1772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1.8479999999999999</v>
      </c>
      <c r="U20" s="259"/>
      <c r="V20" s="23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1"/>
      <c r="D21" s="244"/>
      <c r="E21" s="247"/>
      <c r="F21" s="250"/>
      <c r="G21" s="262"/>
      <c r="H21" s="256"/>
      <c r="I21" s="132" t="s">
        <v>315</v>
      </c>
      <c r="J21" s="131">
        <f>SUMIF(PERFORMANCE!$N:$N,MACRO!W18,PERFORMANCE!$R:$R)/1000</f>
        <v>3.0653000000000001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9.9084000000000003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22.189300000000003</v>
      </c>
      <c r="U21" s="259"/>
      <c r="V21" s="23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2"/>
      <c r="D22" s="245"/>
      <c r="E22" s="248"/>
      <c r="F22" s="251"/>
      <c r="G22" s="263"/>
      <c r="H22" s="257"/>
      <c r="I22" s="133" t="s">
        <v>3029</v>
      </c>
      <c r="J22" s="134">
        <f t="shared" ref="J22:R22" si="28">J18-J21</f>
        <v>5.0437999999999974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11.290499999999994</v>
      </c>
      <c r="U22" s="260"/>
      <c r="V22" s="23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0" t="s">
        <v>3292</v>
      </c>
      <c r="D24" s="243" t="s">
        <v>3291</v>
      </c>
      <c r="E24" s="246" t="s">
        <v>3293</v>
      </c>
      <c r="F24" s="249">
        <v>46336</v>
      </c>
      <c r="G24" s="252"/>
      <c r="H24" s="25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8">
        <v>0</v>
      </c>
      <c r="V24" s="23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1"/>
      <c r="D25" s="244"/>
      <c r="E25" s="247"/>
      <c r="F25" s="250"/>
      <c r="G25" s="253"/>
      <c r="H25" s="25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9"/>
      <c r="V25" s="23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1"/>
      <c r="D26" s="244"/>
      <c r="E26" s="247"/>
      <c r="F26" s="250"/>
      <c r="G26" s="253"/>
      <c r="H26" s="25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9"/>
      <c r="V26" s="23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1"/>
      <c r="D27" s="244"/>
      <c r="E27" s="247"/>
      <c r="F27" s="250"/>
      <c r="G27" s="253"/>
      <c r="H27" s="25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9"/>
      <c r="V27" s="23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2"/>
      <c r="D28" s="245"/>
      <c r="E28" s="248"/>
      <c r="F28" s="251"/>
      <c r="G28" s="254"/>
      <c r="H28" s="25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0"/>
      <c r="V28" s="23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0" t="s">
        <v>2993</v>
      </c>
      <c r="D30" s="243" t="s">
        <v>2989</v>
      </c>
      <c r="E30" s="246" t="s">
        <v>2994</v>
      </c>
      <c r="F30" s="249">
        <v>46219</v>
      </c>
      <c r="G30" s="252"/>
      <c r="H30" s="26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8">
        <v>0</v>
      </c>
      <c r="V30" s="23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1"/>
      <c r="D31" s="244"/>
      <c r="E31" s="247"/>
      <c r="F31" s="250"/>
      <c r="G31" s="253"/>
      <c r="H31" s="26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9"/>
      <c r="V31" s="23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1"/>
      <c r="D32" s="244"/>
      <c r="E32" s="247"/>
      <c r="F32" s="250"/>
      <c r="G32" s="253"/>
      <c r="H32" s="26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9"/>
      <c r="V32" s="23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1"/>
      <c r="D33" s="244"/>
      <c r="E33" s="247"/>
      <c r="F33" s="250"/>
      <c r="G33" s="253"/>
      <c r="H33" s="26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9"/>
      <c r="V33" s="23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2"/>
      <c r="D34" s="245"/>
      <c r="E34" s="248"/>
      <c r="F34" s="251"/>
      <c r="G34" s="254"/>
      <c r="H34" s="26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0"/>
      <c r="V34" s="23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0" t="s">
        <v>2995</v>
      </c>
      <c r="D36" s="243" t="s">
        <v>2990</v>
      </c>
      <c r="E36" s="246" t="s">
        <v>2992</v>
      </c>
      <c r="F36" s="249">
        <v>46198</v>
      </c>
      <c r="G36" s="282"/>
      <c r="H36" s="26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8">
        <v>0</v>
      </c>
      <c r="V36" s="23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1"/>
      <c r="D37" s="244"/>
      <c r="E37" s="247"/>
      <c r="F37" s="250"/>
      <c r="G37" s="283"/>
      <c r="H37" s="26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9"/>
      <c r="V37" s="23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1"/>
      <c r="D38" s="244"/>
      <c r="E38" s="247"/>
      <c r="F38" s="250"/>
      <c r="G38" s="283"/>
      <c r="H38" s="26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9"/>
      <c r="V38" s="23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1"/>
      <c r="D39" s="244"/>
      <c r="E39" s="247"/>
      <c r="F39" s="250"/>
      <c r="G39" s="283"/>
      <c r="H39" s="26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9"/>
      <c r="V39" s="23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2"/>
      <c r="D40" s="245"/>
      <c r="E40" s="248"/>
      <c r="F40" s="251"/>
      <c r="G40" s="284"/>
      <c r="H40" s="26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0"/>
      <c r="V40" s="23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0" t="s">
        <v>3006</v>
      </c>
      <c r="D42" s="243" t="s">
        <v>3004</v>
      </c>
      <c r="E42" s="246" t="s">
        <v>3007</v>
      </c>
      <c r="F42" s="249">
        <v>46188</v>
      </c>
      <c r="G42" s="282">
        <v>46220</v>
      </c>
      <c r="H42" s="264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8">
        <v>0</v>
      </c>
      <c r="V42" s="23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1"/>
      <c r="D43" s="244"/>
      <c r="E43" s="247"/>
      <c r="F43" s="250"/>
      <c r="G43" s="283"/>
      <c r="H43" s="26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9"/>
      <c r="V43" s="23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1"/>
      <c r="D44" s="244"/>
      <c r="E44" s="247"/>
      <c r="F44" s="250"/>
      <c r="G44" s="283"/>
      <c r="H44" s="26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9"/>
      <c r="V44" s="23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1"/>
      <c r="D45" s="244"/>
      <c r="E45" s="247"/>
      <c r="F45" s="250"/>
      <c r="G45" s="283"/>
      <c r="H45" s="26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9"/>
      <c r="V45" s="23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2"/>
      <c r="D46" s="245"/>
      <c r="E46" s="248"/>
      <c r="F46" s="251"/>
      <c r="G46" s="284"/>
      <c r="H46" s="26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0"/>
      <c r="V46" s="23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0" t="s">
        <v>3009</v>
      </c>
      <c r="D48" s="243" t="s">
        <v>3005</v>
      </c>
      <c r="E48" s="246" t="s">
        <v>3008</v>
      </c>
      <c r="F48" s="249">
        <v>46202</v>
      </c>
      <c r="G48" s="282">
        <v>46233</v>
      </c>
      <c r="H48" s="264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8">
        <v>0</v>
      </c>
      <c r="V48" s="23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1"/>
      <c r="D49" s="244"/>
      <c r="E49" s="247"/>
      <c r="F49" s="250"/>
      <c r="G49" s="283"/>
      <c r="H49" s="26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9"/>
      <c r="V49" s="23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1"/>
      <c r="D50" s="244"/>
      <c r="E50" s="247"/>
      <c r="F50" s="250"/>
      <c r="G50" s="283"/>
      <c r="H50" s="26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9"/>
      <c r="V50" s="23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1"/>
      <c r="D51" s="244"/>
      <c r="E51" s="247"/>
      <c r="F51" s="250"/>
      <c r="G51" s="283"/>
      <c r="H51" s="26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9"/>
      <c r="V51" s="23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2"/>
      <c r="D52" s="245"/>
      <c r="E52" s="248"/>
      <c r="F52" s="251"/>
      <c r="G52" s="284"/>
      <c r="H52" s="26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60"/>
      <c r="V52" s="23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0" t="s">
        <v>3009</v>
      </c>
      <c r="D54" s="243" t="s">
        <v>3111</v>
      </c>
      <c r="E54" s="246" t="s">
        <v>3164</v>
      </c>
      <c r="F54" s="249">
        <v>46226</v>
      </c>
      <c r="G54" s="252"/>
      <c r="H54" s="26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8">
        <v>0</v>
      </c>
      <c r="V54" s="23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1"/>
      <c r="D55" s="244"/>
      <c r="E55" s="247"/>
      <c r="F55" s="250"/>
      <c r="G55" s="253"/>
      <c r="H55" s="26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9"/>
      <c r="V55" s="23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1"/>
      <c r="D56" s="244"/>
      <c r="E56" s="247"/>
      <c r="F56" s="250"/>
      <c r="G56" s="253"/>
      <c r="H56" s="26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9"/>
      <c r="V56" s="23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1"/>
      <c r="D57" s="244"/>
      <c r="E57" s="247"/>
      <c r="F57" s="250"/>
      <c r="G57" s="253"/>
      <c r="H57" s="26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9"/>
      <c r="V57" s="23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2"/>
      <c r="D58" s="245"/>
      <c r="E58" s="248"/>
      <c r="F58" s="251"/>
      <c r="G58" s="254"/>
      <c r="H58" s="26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60"/>
      <c r="V58" s="23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0" t="s">
        <v>3165</v>
      </c>
      <c r="D60" s="243" t="s">
        <v>3163</v>
      </c>
      <c r="E60" s="246" t="s">
        <v>3166</v>
      </c>
      <c r="F60" s="249">
        <v>46235</v>
      </c>
      <c r="G60" s="252"/>
      <c r="H60" s="25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8">
        <v>0</v>
      </c>
      <c r="V60" s="23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1"/>
      <c r="D61" s="244"/>
      <c r="E61" s="247"/>
      <c r="F61" s="250"/>
      <c r="G61" s="253"/>
      <c r="H61" s="25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9"/>
      <c r="V61" s="23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1"/>
      <c r="D62" s="244"/>
      <c r="E62" s="247"/>
      <c r="F62" s="250"/>
      <c r="G62" s="253"/>
      <c r="H62" s="25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9"/>
      <c r="V62" s="23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1"/>
      <c r="D63" s="244"/>
      <c r="E63" s="247"/>
      <c r="F63" s="250"/>
      <c r="G63" s="253"/>
      <c r="H63" s="25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9"/>
      <c r="V63" s="23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2"/>
      <c r="D64" s="245"/>
      <c r="E64" s="248"/>
      <c r="F64" s="251"/>
      <c r="G64" s="254"/>
      <c r="H64" s="25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0"/>
      <c r="V64" s="23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0" t="s">
        <v>4307</v>
      </c>
      <c r="D66" s="243" t="s">
        <v>4299</v>
      </c>
      <c r="E66" s="246" t="s">
        <v>4308</v>
      </c>
      <c r="F66" s="249">
        <v>46233</v>
      </c>
      <c r="G66" s="252"/>
      <c r="H66" s="25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8">
        <v>0</v>
      </c>
      <c r="V66" s="23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1"/>
      <c r="D67" s="244"/>
      <c r="E67" s="247"/>
      <c r="F67" s="250"/>
      <c r="G67" s="253"/>
      <c r="H67" s="25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9"/>
      <c r="V67" s="23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1"/>
      <c r="D68" s="244"/>
      <c r="E68" s="247"/>
      <c r="F68" s="250"/>
      <c r="G68" s="253"/>
      <c r="H68" s="25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9"/>
      <c r="V68" s="23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1"/>
      <c r="D69" s="244"/>
      <c r="E69" s="247"/>
      <c r="F69" s="250"/>
      <c r="G69" s="253"/>
      <c r="H69" s="25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9"/>
      <c r="V69" s="23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2"/>
      <c r="D70" s="245"/>
      <c r="E70" s="248"/>
      <c r="F70" s="251"/>
      <c r="G70" s="254"/>
      <c r="H70" s="25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0"/>
      <c r="V70" s="23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0" t="s">
        <v>3165</v>
      </c>
      <c r="D72" s="243" t="s">
        <v>4306</v>
      </c>
      <c r="E72" s="246" t="s">
        <v>4309</v>
      </c>
      <c r="F72" s="249">
        <v>46280</v>
      </c>
      <c r="G72" s="252"/>
      <c r="H72" s="25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8">
        <v>0</v>
      </c>
      <c r="V72" s="23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1"/>
      <c r="D73" s="244"/>
      <c r="E73" s="247"/>
      <c r="F73" s="250"/>
      <c r="G73" s="253"/>
      <c r="H73" s="25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9"/>
      <c r="V73" s="23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1"/>
      <c r="D74" s="244"/>
      <c r="E74" s="247"/>
      <c r="F74" s="250"/>
      <c r="G74" s="253"/>
      <c r="H74" s="25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9"/>
      <c r="V74" s="23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1"/>
      <c r="D75" s="244"/>
      <c r="E75" s="247"/>
      <c r="F75" s="250"/>
      <c r="G75" s="253"/>
      <c r="H75" s="25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9"/>
      <c r="V75" s="23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2"/>
      <c r="D76" s="245"/>
      <c r="E76" s="248"/>
      <c r="F76" s="251"/>
      <c r="G76" s="254"/>
      <c r="H76" s="25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0"/>
      <c r="V76" s="23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5" t="s">
        <v>326</v>
      </c>
      <c r="E79" s="287" t="s">
        <v>891</v>
      </c>
      <c r="F79" s="288"/>
      <c r="G79" s="288"/>
      <c r="H79" s="288"/>
      <c r="I79" s="288"/>
      <c r="J79" s="289"/>
      <c r="K79" s="290" t="s">
        <v>331</v>
      </c>
      <c r="L79" s="291"/>
      <c r="M79" s="291"/>
      <c r="N79" s="29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7.9078999999999979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10.046400000000002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34.033299999999997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17.277200000000001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63.565199999999997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16.941300000000002</v>
      </c>
      <c r="F86" s="98">
        <f t="shared" si="235"/>
        <v>0</v>
      </c>
      <c r="G86" s="98">
        <f t="shared" si="235"/>
        <v>3.3136999999999999</v>
      </c>
      <c r="H86" s="98">
        <f t="shared" si="235"/>
        <v>12.960799999999999</v>
      </c>
      <c r="I86" s="98">
        <f t="shared" si="235"/>
        <v>11.9184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77.304200000000009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7.8437999999999972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6.5799999999999415E-2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19.787699999999994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38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63" priority="5">
      <formula>$AH764="OK"</formula>
    </cfRule>
  </conditionalFormatting>
  <conditionalFormatting sqref="B4407:B4408 B4749:B5138">
    <cfRule type="expression" dxfId="62" priority="4">
      <formula>$AI4407="OK"</formula>
    </cfRule>
  </conditionalFormatting>
  <conditionalFormatting sqref="B4409:B4748">
    <cfRule type="expression" dxfId="61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4646.3919999999998</v>
      </c>
      <c r="I357" s="113">
        <f>SUMIF(MICRO!AP:AP,O:O,MICRO!T:T)</f>
        <v>-2426.3000000000002</v>
      </c>
      <c r="J357" s="114">
        <f t="shared" si="130"/>
        <v>0.7227913633252443</v>
      </c>
      <c r="K357" s="113">
        <f>SUMIF(MICRO!AP:AP,O:O,MICRO!X:X)</f>
        <v>2819.3</v>
      </c>
      <c r="L357" s="114">
        <f t="shared" si="131"/>
        <v>0.43856947296372362</v>
      </c>
      <c r="M357" s="113">
        <f t="shared" si="132"/>
        <v>3609.0999999999985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1177.2</v>
      </c>
      <c r="R357">
        <f>SUMIF(MICRO!AP:AP,O:O,MICRO!AU:AU)</f>
        <v>2824.9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1212.6692499999999</v>
      </c>
      <c r="I359" s="113">
        <f>SUMIF(MICRO!AP:AP,O:O,MICRO!T:T)</f>
        <v>-1440.3000000000002</v>
      </c>
      <c r="J359" s="114">
        <f t="shared" si="130"/>
        <v>0.72152629856607364</v>
      </c>
      <c r="K359" s="113">
        <f>SUMIF(MICRO!AP:AP,O:O,MICRO!X:X)</f>
        <v>240.4</v>
      </c>
      <c r="L359" s="114">
        <f t="shared" si="131"/>
        <v>0.14303563991194146</v>
      </c>
      <c r="M359" s="113">
        <f t="shared" si="132"/>
        <v>1440.3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240.4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60" priority="1">
      <formula>$AI366="OK"</formula>
    </cfRule>
  </conditionalFormatting>
  <conditionalFormatting sqref="F192">
    <cfRule type="expression" dxfId="59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Fernando Silva</cp:lastModifiedBy>
  <cp:lastPrinted>2026-07-28T12:55:56Z</cp:lastPrinted>
  <dcterms:created xsi:type="dcterms:W3CDTF">2022-04-15T01:30:45Z</dcterms:created>
  <dcterms:modified xsi:type="dcterms:W3CDTF">2026-08-20T19:51:34Z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