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719" documentId="8_{FDD42E6F-94E1-48F3-8613-54A91AB43A68}" xr6:coauthVersionLast="47" xr6:coauthVersionMax="47" xr10:uidLastSave="{DAD2097E-95EC-4381-9904-41BB210D0108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EMBARQUE'!$A$1:$O$4966</definedName>
    <definedName name="_xlnm._FilterDatabase" localSheetId="1" hidden="1">MICRO!$A$1:$AN$1</definedName>
    <definedName name="_xlnm.Print_Area" localSheetId="1">MICRO!$A$1:$AI$626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70" i="6" l="1"/>
  <c r="U763" i="1"/>
  <c r="U764" i="1"/>
  <c r="Q630" i="1"/>
  <c r="R630" i="1"/>
  <c r="S630" i="1"/>
  <c r="T630" i="1" s="1"/>
  <c r="U630" i="1"/>
  <c r="V630" i="1"/>
  <c r="W630" i="1"/>
  <c r="Q631" i="1"/>
  <c r="R631" i="1"/>
  <c r="S631" i="1"/>
  <c r="T631" i="1" s="1"/>
  <c r="U631" i="1"/>
  <c r="V631" i="1"/>
  <c r="W631" i="1"/>
  <c r="Q632" i="1"/>
  <c r="R632" i="1"/>
  <c r="S632" i="1"/>
  <c r="T632" i="1"/>
  <c r="U632" i="1"/>
  <c r="V632" i="1"/>
  <c r="W632" i="1"/>
  <c r="Q633" i="1"/>
  <c r="R633" i="1"/>
  <c r="S633" i="1"/>
  <c r="T633" i="1"/>
  <c r="U633" i="1"/>
  <c r="V633" i="1"/>
  <c r="W633" i="1"/>
  <c r="Q634" i="1"/>
  <c r="R634" i="1"/>
  <c r="S634" i="1"/>
  <c r="T634" i="1"/>
  <c r="U634" i="1"/>
  <c r="V634" i="1"/>
  <c r="W634" i="1"/>
  <c r="Q635" i="1"/>
  <c r="R635" i="1"/>
  <c r="S635" i="1"/>
  <c r="T635" i="1"/>
  <c r="U635" i="1"/>
  <c r="V635" i="1"/>
  <c r="W635" i="1"/>
  <c r="Q636" i="1"/>
  <c r="R636" i="1"/>
  <c r="S636" i="1"/>
  <c r="T636" i="1"/>
  <c r="U636" i="1"/>
  <c r="V636" i="1"/>
  <c r="W636" i="1"/>
  <c r="Q637" i="1"/>
  <c r="R637" i="1"/>
  <c r="S637" i="1"/>
  <c r="T637" i="1"/>
  <c r="U637" i="1"/>
  <c r="V637" i="1"/>
  <c r="W637" i="1"/>
  <c r="Q638" i="1"/>
  <c r="R638" i="1"/>
  <c r="S638" i="1"/>
  <c r="T638" i="1"/>
  <c r="U638" i="1"/>
  <c r="V638" i="1"/>
  <c r="W638" i="1"/>
  <c r="Q639" i="1"/>
  <c r="R639" i="1"/>
  <c r="S639" i="1"/>
  <c r="T639" i="1" s="1"/>
  <c r="U639" i="1"/>
  <c r="V639" i="1"/>
  <c r="W639" i="1"/>
  <c r="Q640" i="1"/>
  <c r="R640" i="1"/>
  <c r="S640" i="1"/>
  <c r="T640" i="1"/>
  <c r="U640" i="1"/>
  <c r="V640" i="1"/>
  <c r="W640" i="1"/>
  <c r="Q641" i="1"/>
  <c r="R641" i="1"/>
  <c r="S641" i="1"/>
  <c r="T641" i="1" s="1"/>
  <c r="U641" i="1"/>
  <c r="V641" i="1"/>
  <c r="W641" i="1"/>
  <c r="Q642" i="1"/>
  <c r="R642" i="1"/>
  <c r="S642" i="1"/>
  <c r="T642" i="1"/>
  <c r="U642" i="1"/>
  <c r="V642" i="1"/>
  <c r="W642" i="1"/>
  <c r="Q643" i="1"/>
  <c r="R643" i="1"/>
  <c r="S643" i="1"/>
  <c r="T643" i="1"/>
  <c r="U643" i="1"/>
  <c r="V643" i="1"/>
  <c r="W643" i="1"/>
  <c r="Q644" i="1"/>
  <c r="R644" i="1"/>
  <c r="S644" i="1"/>
  <c r="T644" i="1"/>
  <c r="U644" i="1"/>
  <c r="V644" i="1"/>
  <c r="W644" i="1"/>
  <c r="Q645" i="1"/>
  <c r="R645" i="1"/>
  <c r="S645" i="1"/>
  <c r="T645" i="1"/>
  <c r="U645" i="1"/>
  <c r="V645" i="1"/>
  <c r="W645" i="1"/>
  <c r="Q646" i="1"/>
  <c r="R646" i="1"/>
  <c r="S646" i="1"/>
  <c r="T646" i="1" s="1"/>
  <c r="U646" i="1"/>
  <c r="V646" i="1"/>
  <c r="W646" i="1"/>
  <c r="Q647" i="1"/>
  <c r="R647" i="1"/>
  <c r="S647" i="1"/>
  <c r="T647" i="1"/>
  <c r="U647" i="1"/>
  <c r="V647" i="1"/>
  <c r="W647" i="1"/>
  <c r="Q648" i="1"/>
  <c r="R648" i="1"/>
  <c r="S648" i="1"/>
  <c r="T648" i="1" s="1"/>
  <c r="U648" i="1"/>
  <c r="V648" i="1"/>
  <c r="W648" i="1"/>
  <c r="Q649" i="1"/>
  <c r="R649" i="1"/>
  <c r="S649" i="1"/>
  <c r="T649" i="1"/>
  <c r="U649" i="1"/>
  <c r="V649" i="1"/>
  <c r="W649" i="1"/>
  <c r="Q650" i="1"/>
  <c r="R650" i="1"/>
  <c r="S650" i="1"/>
  <c r="T650" i="1" s="1"/>
  <c r="U650" i="1"/>
  <c r="V650" i="1"/>
  <c r="W650" i="1"/>
  <c r="Q651" i="1"/>
  <c r="R651" i="1"/>
  <c r="S651" i="1"/>
  <c r="T651" i="1"/>
  <c r="U651" i="1"/>
  <c r="V651" i="1"/>
  <c r="W651" i="1"/>
  <c r="Q652" i="1"/>
  <c r="R652" i="1"/>
  <c r="S652" i="1"/>
  <c r="T652" i="1" s="1"/>
  <c r="U652" i="1"/>
  <c r="V652" i="1"/>
  <c r="W652" i="1"/>
  <c r="Q653" i="1"/>
  <c r="R653" i="1"/>
  <c r="S653" i="1"/>
  <c r="T653" i="1" s="1"/>
  <c r="U653" i="1"/>
  <c r="V653" i="1"/>
  <c r="W653" i="1"/>
  <c r="Q654" i="1"/>
  <c r="R654" i="1"/>
  <c r="S654" i="1"/>
  <c r="T654" i="1" s="1"/>
  <c r="U654" i="1"/>
  <c r="V654" i="1"/>
  <c r="W654" i="1"/>
  <c r="Q655" i="1"/>
  <c r="R655" i="1"/>
  <c r="S655" i="1"/>
  <c r="T655" i="1"/>
  <c r="U655" i="1"/>
  <c r="V655" i="1"/>
  <c r="W655" i="1"/>
  <c r="Q656" i="1"/>
  <c r="R656" i="1"/>
  <c r="S656" i="1"/>
  <c r="T656" i="1" s="1"/>
  <c r="U656" i="1"/>
  <c r="V656" i="1"/>
  <c r="W656" i="1"/>
  <c r="Q657" i="1"/>
  <c r="R657" i="1"/>
  <c r="S657" i="1"/>
  <c r="T657" i="1"/>
  <c r="U657" i="1"/>
  <c r="V657" i="1"/>
  <c r="W657" i="1"/>
  <c r="Q658" i="1"/>
  <c r="R658" i="1"/>
  <c r="S658" i="1"/>
  <c r="T658" i="1" s="1"/>
  <c r="U658" i="1"/>
  <c r="V658" i="1"/>
  <c r="W658" i="1"/>
  <c r="Q659" i="1"/>
  <c r="R659" i="1"/>
  <c r="S659" i="1"/>
  <c r="T659" i="1"/>
  <c r="U659" i="1"/>
  <c r="V659" i="1"/>
  <c r="W659" i="1"/>
  <c r="Q660" i="1"/>
  <c r="R660" i="1"/>
  <c r="S660" i="1"/>
  <c r="T660" i="1"/>
  <c r="U660" i="1"/>
  <c r="V660" i="1"/>
  <c r="W660" i="1"/>
  <c r="Q661" i="1"/>
  <c r="R661" i="1"/>
  <c r="S661" i="1"/>
  <c r="T661" i="1"/>
  <c r="U661" i="1"/>
  <c r="V661" i="1"/>
  <c r="W661" i="1"/>
  <c r="Q662" i="1"/>
  <c r="R662" i="1"/>
  <c r="S662" i="1"/>
  <c r="T662" i="1"/>
  <c r="U662" i="1"/>
  <c r="V662" i="1"/>
  <c r="W662" i="1"/>
  <c r="Q663" i="1"/>
  <c r="R663" i="1"/>
  <c r="S663" i="1"/>
  <c r="T663" i="1"/>
  <c r="U663" i="1"/>
  <c r="V663" i="1"/>
  <c r="W663" i="1"/>
  <c r="Q664" i="1"/>
  <c r="R664" i="1"/>
  <c r="S664" i="1"/>
  <c r="T664" i="1"/>
  <c r="U664" i="1"/>
  <c r="V664" i="1"/>
  <c r="W664" i="1"/>
  <c r="Q665" i="1"/>
  <c r="R665" i="1"/>
  <c r="S665" i="1"/>
  <c r="T665" i="1"/>
  <c r="U665" i="1"/>
  <c r="V665" i="1"/>
  <c r="W665" i="1"/>
  <c r="Q666" i="1"/>
  <c r="R666" i="1"/>
  <c r="S666" i="1"/>
  <c r="T666" i="1"/>
  <c r="U666" i="1"/>
  <c r="V666" i="1"/>
  <c r="W666" i="1"/>
  <c r="Q667" i="1"/>
  <c r="R667" i="1"/>
  <c r="S667" i="1"/>
  <c r="T667" i="1"/>
  <c r="U667" i="1"/>
  <c r="V667" i="1"/>
  <c r="W667" i="1"/>
  <c r="Q668" i="1"/>
  <c r="R668" i="1"/>
  <c r="S668" i="1"/>
  <c r="T668" i="1"/>
  <c r="U668" i="1"/>
  <c r="V668" i="1"/>
  <c r="W668" i="1"/>
  <c r="Q669" i="1"/>
  <c r="R669" i="1"/>
  <c r="S669" i="1"/>
  <c r="T669" i="1" s="1"/>
  <c r="U669" i="1"/>
  <c r="V669" i="1"/>
  <c r="W669" i="1"/>
  <c r="Q670" i="1"/>
  <c r="R670" i="1"/>
  <c r="S670" i="1"/>
  <c r="T670" i="1"/>
  <c r="U670" i="1"/>
  <c r="V670" i="1"/>
  <c r="W670" i="1"/>
  <c r="Q671" i="1"/>
  <c r="R671" i="1"/>
  <c r="S671" i="1"/>
  <c r="T671" i="1" s="1"/>
  <c r="U671" i="1"/>
  <c r="V671" i="1"/>
  <c r="W671" i="1"/>
  <c r="Q672" i="1"/>
  <c r="R672" i="1"/>
  <c r="S672" i="1"/>
  <c r="T672" i="1"/>
  <c r="U672" i="1"/>
  <c r="V672" i="1"/>
  <c r="W672" i="1"/>
  <c r="Q673" i="1"/>
  <c r="R673" i="1"/>
  <c r="S673" i="1"/>
  <c r="T673" i="1"/>
  <c r="U673" i="1"/>
  <c r="V673" i="1"/>
  <c r="W673" i="1"/>
  <c r="Q674" i="1"/>
  <c r="R674" i="1"/>
  <c r="S674" i="1"/>
  <c r="T674" i="1"/>
  <c r="U674" i="1"/>
  <c r="V674" i="1"/>
  <c r="W674" i="1"/>
  <c r="Q675" i="1"/>
  <c r="R675" i="1"/>
  <c r="S675" i="1"/>
  <c r="T675" i="1"/>
  <c r="U675" i="1"/>
  <c r="V675" i="1"/>
  <c r="W675" i="1"/>
  <c r="Q676" i="1"/>
  <c r="R676" i="1"/>
  <c r="S676" i="1"/>
  <c r="T676" i="1"/>
  <c r="U676" i="1"/>
  <c r="V676" i="1"/>
  <c r="W676" i="1"/>
  <c r="Q677" i="1"/>
  <c r="R677" i="1"/>
  <c r="S677" i="1"/>
  <c r="T677" i="1"/>
  <c r="U677" i="1"/>
  <c r="V677" i="1"/>
  <c r="W677" i="1"/>
  <c r="Q678" i="1"/>
  <c r="R678" i="1"/>
  <c r="S678" i="1"/>
  <c r="T678" i="1"/>
  <c r="U678" i="1"/>
  <c r="V678" i="1"/>
  <c r="W678" i="1"/>
  <c r="Q679" i="1"/>
  <c r="R679" i="1"/>
  <c r="S679" i="1"/>
  <c r="T679" i="1"/>
  <c r="U679" i="1"/>
  <c r="V679" i="1"/>
  <c r="W679" i="1"/>
  <c r="Q680" i="1"/>
  <c r="R680" i="1"/>
  <c r="S680" i="1"/>
  <c r="T680" i="1" s="1"/>
  <c r="U680" i="1"/>
  <c r="V680" i="1"/>
  <c r="W680" i="1"/>
  <c r="Q681" i="1"/>
  <c r="R681" i="1"/>
  <c r="S681" i="1"/>
  <c r="T681" i="1" s="1"/>
  <c r="U681" i="1"/>
  <c r="V681" i="1"/>
  <c r="W681" i="1"/>
  <c r="Q682" i="1"/>
  <c r="R682" i="1"/>
  <c r="S682" i="1"/>
  <c r="T682" i="1"/>
  <c r="U682" i="1"/>
  <c r="V682" i="1"/>
  <c r="W682" i="1"/>
  <c r="Q683" i="1"/>
  <c r="R683" i="1"/>
  <c r="S683" i="1"/>
  <c r="T683" i="1"/>
  <c r="U683" i="1"/>
  <c r="V683" i="1"/>
  <c r="W683" i="1"/>
  <c r="Q684" i="1"/>
  <c r="R684" i="1"/>
  <c r="S684" i="1"/>
  <c r="T684" i="1" s="1"/>
  <c r="U684" i="1"/>
  <c r="V684" i="1"/>
  <c r="W684" i="1"/>
  <c r="Q685" i="1"/>
  <c r="R685" i="1"/>
  <c r="S685" i="1"/>
  <c r="T685" i="1"/>
  <c r="U685" i="1"/>
  <c r="V685" i="1"/>
  <c r="W685" i="1"/>
  <c r="Q686" i="1"/>
  <c r="R686" i="1"/>
  <c r="S686" i="1"/>
  <c r="T686" i="1"/>
  <c r="U686" i="1"/>
  <c r="V686" i="1"/>
  <c r="W686" i="1"/>
  <c r="Q687" i="1"/>
  <c r="R687" i="1"/>
  <c r="S687" i="1"/>
  <c r="T687" i="1"/>
  <c r="U687" i="1"/>
  <c r="V687" i="1"/>
  <c r="W687" i="1"/>
  <c r="Q688" i="1"/>
  <c r="R688" i="1"/>
  <c r="S688" i="1"/>
  <c r="T688" i="1"/>
  <c r="U688" i="1"/>
  <c r="V688" i="1"/>
  <c r="W688" i="1"/>
  <c r="Q689" i="1"/>
  <c r="R689" i="1"/>
  <c r="S689" i="1"/>
  <c r="T689" i="1"/>
  <c r="U689" i="1"/>
  <c r="V689" i="1"/>
  <c r="W689" i="1"/>
  <c r="Q690" i="1"/>
  <c r="R690" i="1"/>
  <c r="S690" i="1"/>
  <c r="T690" i="1"/>
  <c r="U690" i="1"/>
  <c r="V690" i="1"/>
  <c r="W690" i="1"/>
  <c r="Q691" i="1"/>
  <c r="R691" i="1"/>
  <c r="S691" i="1"/>
  <c r="T691" i="1"/>
  <c r="U691" i="1"/>
  <c r="V691" i="1"/>
  <c r="W691" i="1"/>
  <c r="Q692" i="1"/>
  <c r="R692" i="1"/>
  <c r="S692" i="1"/>
  <c r="T692" i="1"/>
  <c r="U692" i="1"/>
  <c r="V692" i="1"/>
  <c r="W692" i="1"/>
  <c r="Q693" i="1"/>
  <c r="R693" i="1"/>
  <c r="S693" i="1"/>
  <c r="T693" i="1"/>
  <c r="U693" i="1"/>
  <c r="V693" i="1"/>
  <c r="W693" i="1"/>
  <c r="Q694" i="1"/>
  <c r="R694" i="1"/>
  <c r="S694" i="1"/>
  <c r="T694" i="1"/>
  <c r="U694" i="1"/>
  <c r="V694" i="1"/>
  <c r="W694" i="1"/>
  <c r="Q695" i="1"/>
  <c r="R695" i="1"/>
  <c r="S695" i="1"/>
  <c r="T695" i="1"/>
  <c r="U695" i="1"/>
  <c r="V695" i="1"/>
  <c r="W695" i="1"/>
  <c r="Q696" i="1"/>
  <c r="R696" i="1"/>
  <c r="S696" i="1"/>
  <c r="T696" i="1"/>
  <c r="U696" i="1"/>
  <c r="V696" i="1"/>
  <c r="W696" i="1"/>
  <c r="Q697" i="1"/>
  <c r="R697" i="1"/>
  <c r="S697" i="1"/>
  <c r="T697" i="1" s="1"/>
  <c r="U697" i="1"/>
  <c r="V697" i="1"/>
  <c r="W697" i="1"/>
  <c r="Q698" i="1"/>
  <c r="R698" i="1"/>
  <c r="S698" i="1"/>
  <c r="T698" i="1"/>
  <c r="U698" i="1"/>
  <c r="V698" i="1"/>
  <c r="W698" i="1"/>
  <c r="Q699" i="1"/>
  <c r="R699" i="1"/>
  <c r="S699" i="1"/>
  <c r="T699" i="1"/>
  <c r="U699" i="1"/>
  <c r="V699" i="1"/>
  <c r="W699" i="1"/>
  <c r="Q700" i="1"/>
  <c r="R700" i="1"/>
  <c r="S700" i="1"/>
  <c r="T700" i="1" s="1"/>
  <c r="U700" i="1"/>
  <c r="V700" i="1"/>
  <c r="W700" i="1"/>
  <c r="Q701" i="1"/>
  <c r="R701" i="1"/>
  <c r="S701" i="1"/>
  <c r="T701" i="1" s="1"/>
  <c r="U701" i="1"/>
  <c r="V701" i="1"/>
  <c r="W701" i="1"/>
  <c r="Q702" i="1"/>
  <c r="R702" i="1"/>
  <c r="S702" i="1"/>
  <c r="T702" i="1"/>
  <c r="U702" i="1"/>
  <c r="V702" i="1"/>
  <c r="W702" i="1"/>
  <c r="Q703" i="1"/>
  <c r="R703" i="1"/>
  <c r="S703" i="1"/>
  <c r="T703" i="1" s="1"/>
  <c r="U703" i="1"/>
  <c r="V703" i="1"/>
  <c r="W703" i="1"/>
  <c r="Q704" i="1"/>
  <c r="R704" i="1"/>
  <c r="S704" i="1"/>
  <c r="T704" i="1" s="1"/>
  <c r="U704" i="1"/>
  <c r="V704" i="1"/>
  <c r="W704" i="1"/>
  <c r="Q705" i="1"/>
  <c r="R705" i="1"/>
  <c r="S705" i="1"/>
  <c r="T705" i="1"/>
  <c r="U705" i="1"/>
  <c r="V705" i="1"/>
  <c r="W705" i="1"/>
  <c r="Q706" i="1"/>
  <c r="R706" i="1"/>
  <c r="S706" i="1"/>
  <c r="T706" i="1"/>
  <c r="U706" i="1"/>
  <c r="V706" i="1"/>
  <c r="W706" i="1"/>
  <c r="Q707" i="1"/>
  <c r="R707" i="1"/>
  <c r="S707" i="1"/>
  <c r="T707" i="1"/>
  <c r="U707" i="1"/>
  <c r="V707" i="1"/>
  <c r="W707" i="1"/>
  <c r="Q708" i="1"/>
  <c r="R708" i="1"/>
  <c r="S708" i="1"/>
  <c r="T708" i="1" s="1"/>
  <c r="U708" i="1"/>
  <c r="V708" i="1"/>
  <c r="W708" i="1"/>
  <c r="Q709" i="1"/>
  <c r="R709" i="1"/>
  <c r="S709" i="1"/>
  <c r="T709" i="1"/>
  <c r="U709" i="1"/>
  <c r="V709" i="1"/>
  <c r="W709" i="1"/>
  <c r="Q710" i="1"/>
  <c r="R710" i="1"/>
  <c r="S710" i="1"/>
  <c r="T710" i="1"/>
  <c r="U710" i="1"/>
  <c r="V710" i="1"/>
  <c r="W710" i="1"/>
  <c r="Q711" i="1"/>
  <c r="R711" i="1"/>
  <c r="S711" i="1"/>
  <c r="T711" i="1"/>
  <c r="U711" i="1"/>
  <c r="V711" i="1"/>
  <c r="W711" i="1"/>
  <c r="Q712" i="1"/>
  <c r="R712" i="1"/>
  <c r="S712" i="1"/>
  <c r="T712" i="1"/>
  <c r="U712" i="1"/>
  <c r="V712" i="1"/>
  <c r="W712" i="1"/>
  <c r="Q713" i="1"/>
  <c r="R713" i="1"/>
  <c r="S713" i="1"/>
  <c r="T713" i="1"/>
  <c r="U713" i="1"/>
  <c r="V713" i="1"/>
  <c r="W713" i="1"/>
  <c r="Q714" i="1"/>
  <c r="R714" i="1"/>
  <c r="S714" i="1"/>
  <c r="T714" i="1"/>
  <c r="U714" i="1"/>
  <c r="V714" i="1"/>
  <c r="W714" i="1"/>
  <c r="Q715" i="1"/>
  <c r="R715" i="1"/>
  <c r="S715" i="1"/>
  <c r="T715" i="1"/>
  <c r="U715" i="1"/>
  <c r="V715" i="1"/>
  <c r="W715" i="1"/>
  <c r="Q716" i="1"/>
  <c r="R716" i="1"/>
  <c r="S716" i="1"/>
  <c r="T716" i="1"/>
  <c r="U716" i="1"/>
  <c r="V716" i="1"/>
  <c r="W716" i="1"/>
  <c r="Q717" i="1"/>
  <c r="R717" i="1"/>
  <c r="S717" i="1"/>
  <c r="T717" i="1"/>
  <c r="U717" i="1"/>
  <c r="V717" i="1"/>
  <c r="W717" i="1"/>
  <c r="Q718" i="1"/>
  <c r="R718" i="1"/>
  <c r="S718" i="1"/>
  <c r="T718" i="1"/>
  <c r="U718" i="1"/>
  <c r="V718" i="1"/>
  <c r="W718" i="1"/>
  <c r="Q719" i="1"/>
  <c r="R719" i="1"/>
  <c r="S719" i="1"/>
  <c r="T719" i="1"/>
  <c r="U719" i="1"/>
  <c r="V719" i="1"/>
  <c r="W719" i="1"/>
  <c r="Q720" i="1"/>
  <c r="R720" i="1"/>
  <c r="S720" i="1"/>
  <c r="T720" i="1"/>
  <c r="U720" i="1"/>
  <c r="V720" i="1"/>
  <c r="W720" i="1"/>
  <c r="Q721" i="1"/>
  <c r="R721" i="1"/>
  <c r="S721" i="1"/>
  <c r="T721" i="1" s="1"/>
  <c r="U721" i="1"/>
  <c r="V721" i="1"/>
  <c r="W721" i="1"/>
  <c r="Q722" i="1"/>
  <c r="R722" i="1"/>
  <c r="S722" i="1"/>
  <c r="T722" i="1"/>
  <c r="U722" i="1"/>
  <c r="V722" i="1"/>
  <c r="W722" i="1"/>
  <c r="Q723" i="1"/>
  <c r="R723" i="1"/>
  <c r="S723" i="1"/>
  <c r="T723" i="1"/>
  <c r="U723" i="1"/>
  <c r="V723" i="1"/>
  <c r="W723" i="1"/>
  <c r="Q724" i="1"/>
  <c r="R724" i="1"/>
  <c r="S724" i="1"/>
  <c r="T724" i="1"/>
  <c r="U724" i="1"/>
  <c r="V724" i="1"/>
  <c r="W724" i="1"/>
  <c r="Q725" i="1"/>
  <c r="R725" i="1"/>
  <c r="S725" i="1"/>
  <c r="T725" i="1"/>
  <c r="U725" i="1"/>
  <c r="V725" i="1"/>
  <c r="W725" i="1"/>
  <c r="Q726" i="1"/>
  <c r="R726" i="1"/>
  <c r="S726" i="1"/>
  <c r="T726" i="1" s="1"/>
  <c r="U726" i="1"/>
  <c r="V726" i="1"/>
  <c r="W726" i="1"/>
  <c r="Q727" i="1"/>
  <c r="R727" i="1"/>
  <c r="S727" i="1"/>
  <c r="T727" i="1"/>
  <c r="U727" i="1"/>
  <c r="V727" i="1"/>
  <c r="W727" i="1"/>
  <c r="Q728" i="1"/>
  <c r="R728" i="1"/>
  <c r="S728" i="1"/>
  <c r="T728" i="1"/>
  <c r="U728" i="1"/>
  <c r="V728" i="1"/>
  <c r="W728" i="1"/>
  <c r="Q729" i="1"/>
  <c r="R729" i="1"/>
  <c r="S729" i="1"/>
  <c r="T729" i="1" s="1"/>
  <c r="U729" i="1"/>
  <c r="V729" i="1"/>
  <c r="W729" i="1"/>
  <c r="Q730" i="1"/>
  <c r="R730" i="1"/>
  <c r="S730" i="1"/>
  <c r="T730" i="1"/>
  <c r="U730" i="1"/>
  <c r="V730" i="1"/>
  <c r="W730" i="1"/>
  <c r="Q731" i="1"/>
  <c r="R731" i="1"/>
  <c r="S731" i="1"/>
  <c r="T731" i="1"/>
  <c r="U731" i="1"/>
  <c r="V731" i="1"/>
  <c r="W731" i="1"/>
  <c r="Q732" i="1"/>
  <c r="R732" i="1"/>
  <c r="S732" i="1"/>
  <c r="T732" i="1"/>
  <c r="U732" i="1"/>
  <c r="V732" i="1"/>
  <c r="W732" i="1"/>
  <c r="Q733" i="1"/>
  <c r="R733" i="1"/>
  <c r="S733" i="1"/>
  <c r="T733" i="1"/>
  <c r="U733" i="1"/>
  <c r="V733" i="1"/>
  <c r="W733" i="1"/>
  <c r="Q734" i="1"/>
  <c r="R734" i="1"/>
  <c r="S734" i="1"/>
  <c r="T734" i="1"/>
  <c r="U734" i="1"/>
  <c r="V734" i="1"/>
  <c r="W734" i="1"/>
  <c r="Q735" i="1"/>
  <c r="R735" i="1"/>
  <c r="S735" i="1"/>
  <c r="T735" i="1" s="1"/>
  <c r="U735" i="1"/>
  <c r="V735" i="1"/>
  <c r="W735" i="1"/>
  <c r="Q736" i="1"/>
  <c r="R736" i="1"/>
  <c r="S736" i="1"/>
  <c r="T736" i="1"/>
  <c r="U736" i="1"/>
  <c r="V736" i="1"/>
  <c r="W736" i="1"/>
  <c r="Q737" i="1"/>
  <c r="R737" i="1"/>
  <c r="S737" i="1"/>
  <c r="T737" i="1"/>
  <c r="U737" i="1"/>
  <c r="V737" i="1"/>
  <c r="W737" i="1"/>
  <c r="Q738" i="1"/>
  <c r="R738" i="1"/>
  <c r="S738" i="1"/>
  <c r="T738" i="1"/>
  <c r="U738" i="1"/>
  <c r="V738" i="1"/>
  <c r="W738" i="1"/>
  <c r="Q739" i="1"/>
  <c r="R739" i="1"/>
  <c r="S739" i="1"/>
  <c r="T739" i="1"/>
  <c r="U739" i="1"/>
  <c r="V739" i="1"/>
  <c r="W739" i="1"/>
  <c r="Q740" i="1"/>
  <c r="R740" i="1"/>
  <c r="S740" i="1"/>
  <c r="T740" i="1"/>
  <c r="U740" i="1"/>
  <c r="V740" i="1"/>
  <c r="W740" i="1"/>
  <c r="Q741" i="1"/>
  <c r="R741" i="1"/>
  <c r="S741" i="1"/>
  <c r="T741" i="1" s="1"/>
  <c r="U741" i="1"/>
  <c r="V741" i="1"/>
  <c r="W741" i="1"/>
  <c r="Q742" i="1"/>
  <c r="R742" i="1"/>
  <c r="S742" i="1"/>
  <c r="T742" i="1"/>
  <c r="U742" i="1"/>
  <c r="V742" i="1"/>
  <c r="W742" i="1"/>
  <c r="Q743" i="1"/>
  <c r="R743" i="1"/>
  <c r="S743" i="1"/>
  <c r="T743" i="1"/>
  <c r="U743" i="1"/>
  <c r="V743" i="1"/>
  <c r="W743" i="1"/>
  <c r="Q744" i="1"/>
  <c r="R744" i="1"/>
  <c r="S744" i="1"/>
  <c r="T744" i="1"/>
  <c r="U744" i="1"/>
  <c r="V744" i="1"/>
  <c r="W744" i="1"/>
  <c r="Q745" i="1"/>
  <c r="R745" i="1"/>
  <c r="S745" i="1"/>
  <c r="T745" i="1"/>
  <c r="U745" i="1"/>
  <c r="V745" i="1"/>
  <c r="W745" i="1"/>
  <c r="Q746" i="1"/>
  <c r="R746" i="1"/>
  <c r="S746" i="1"/>
  <c r="T746" i="1"/>
  <c r="U746" i="1"/>
  <c r="V746" i="1"/>
  <c r="W746" i="1"/>
  <c r="Q747" i="1"/>
  <c r="R747" i="1"/>
  <c r="S747" i="1"/>
  <c r="T747" i="1"/>
  <c r="U747" i="1"/>
  <c r="V747" i="1"/>
  <c r="W747" i="1"/>
  <c r="Q748" i="1"/>
  <c r="R748" i="1"/>
  <c r="S748" i="1"/>
  <c r="T748" i="1"/>
  <c r="U748" i="1"/>
  <c r="V748" i="1"/>
  <c r="W748" i="1"/>
  <c r="Q749" i="1"/>
  <c r="R749" i="1"/>
  <c r="S749" i="1"/>
  <c r="T749" i="1"/>
  <c r="U749" i="1"/>
  <c r="V749" i="1"/>
  <c r="W749" i="1"/>
  <c r="Q750" i="1"/>
  <c r="R750" i="1"/>
  <c r="S750" i="1"/>
  <c r="T750" i="1"/>
  <c r="U750" i="1"/>
  <c r="V750" i="1"/>
  <c r="W750" i="1"/>
  <c r="Q751" i="1"/>
  <c r="R751" i="1"/>
  <c r="S751" i="1"/>
  <c r="T751" i="1"/>
  <c r="U751" i="1"/>
  <c r="V751" i="1"/>
  <c r="W751" i="1"/>
  <c r="Q752" i="1"/>
  <c r="R752" i="1"/>
  <c r="S752" i="1"/>
  <c r="T752" i="1"/>
  <c r="U752" i="1"/>
  <c r="V752" i="1"/>
  <c r="W752" i="1"/>
  <c r="Q753" i="1"/>
  <c r="R753" i="1"/>
  <c r="S753" i="1"/>
  <c r="T753" i="1" s="1"/>
  <c r="U753" i="1"/>
  <c r="V753" i="1"/>
  <c r="W753" i="1"/>
  <c r="Q754" i="1"/>
  <c r="R754" i="1"/>
  <c r="S754" i="1"/>
  <c r="T754" i="1"/>
  <c r="U754" i="1"/>
  <c r="V754" i="1"/>
  <c r="W754" i="1"/>
  <c r="Q755" i="1"/>
  <c r="R755" i="1"/>
  <c r="S755" i="1"/>
  <c r="T755" i="1"/>
  <c r="U755" i="1"/>
  <c r="V755" i="1"/>
  <c r="W755" i="1"/>
  <c r="Q756" i="1"/>
  <c r="R756" i="1"/>
  <c r="S756" i="1"/>
  <c r="T756" i="1" s="1"/>
  <c r="U756" i="1"/>
  <c r="V756" i="1"/>
  <c r="W756" i="1"/>
  <c r="Q757" i="1"/>
  <c r="R757" i="1"/>
  <c r="S757" i="1"/>
  <c r="T757" i="1"/>
  <c r="U757" i="1"/>
  <c r="V757" i="1"/>
  <c r="W757" i="1"/>
  <c r="Q758" i="1"/>
  <c r="R758" i="1"/>
  <c r="S758" i="1"/>
  <c r="T758" i="1" s="1"/>
  <c r="U758" i="1"/>
  <c r="V758" i="1"/>
  <c r="W758" i="1"/>
  <c r="Q759" i="1"/>
  <c r="R759" i="1"/>
  <c r="S759" i="1"/>
  <c r="T759" i="1"/>
  <c r="U759" i="1"/>
  <c r="V759" i="1"/>
  <c r="W759" i="1"/>
  <c r="Q760" i="1"/>
  <c r="R760" i="1"/>
  <c r="S760" i="1"/>
  <c r="T760" i="1"/>
  <c r="U760" i="1"/>
  <c r="V760" i="1"/>
  <c r="W760" i="1"/>
  <c r="Q761" i="1"/>
  <c r="R761" i="1"/>
  <c r="S761" i="1"/>
  <c r="T761" i="1" s="1"/>
  <c r="U761" i="1"/>
  <c r="V761" i="1"/>
  <c r="W761" i="1"/>
  <c r="Q762" i="1"/>
  <c r="R762" i="1"/>
  <c r="S762" i="1"/>
  <c r="T762" i="1" s="1"/>
  <c r="U762" i="1"/>
  <c r="V762" i="1"/>
  <c r="W762" i="1"/>
  <c r="Q763" i="1"/>
  <c r="R763" i="1"/>
  <c r="S763" i="1"/>
  <c r="T763" i="1"/>
  <c r="V763" i="1"/>
  <c r="W763" i="1"/>
  <c r="Q764" i="1"/>
  <c r="R764" i="1"/>
  <c r="S764" i="1"/>
  <c r="T764" i="1"/>
  <c r="V764" i="1"/>
  <c r="W764" i="1"/>
  <c r="Q628" i="1"/>
  <c r="U628" i="1"/>
  <c r="V628" i="1"/>
  <c r="W628" i="1"/>
  <c r="Q629" i="1"/>
  <c r="U629" i="1"/>
  <c r="V629" i="1"/>
  <c r="W629" i="1"/>
  <c r="H628" i="1"/>
  <c r="H629" i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7" i="1"/>
  <c r="U627" i="1"/>
  <c r="V627" i="1"/>
  <c r="W627" i="1"/>
  <c r="H627" i="1"/>
  <c r="Q626" i="1"/>
  <c r="U626" i="1"/>
  <c r="V626" i="1"/>
  <c r="W626" i="1"/>
  <c r="H626" i="1"/>
  <c r="V153" i="1"/>
  <c r="U153" i="1"/>
  <c r="Q153" i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5" i="1"/>
  <c r="V625" i="1"/>
  <c r="U625" i="1"/>
  <c r="Q625" i="1"/>
  <c r="W624" i="1"/>
  <c r="V624" i="1"/>
  <c r="U624" i="1"/>
  <c r="Q624" i="1"/>
  <c r="W623" i="1"/>
  <c r="V623" i="1"/>
  <c r="U623" i="1"/>
  <c r="Q623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H625" i="1"/>
  <c r="H620" i="1"/>
  <c r="H621" i="1"/>
  <c r="H622" i="1"/>
  <c r="H623" i="1"/>
  <c r="H624" i="1"/>
  <c r="X677" i="1" l="1"/>
  <c r="Z677" i="1" s="1"/>
  <c r="Y677" i="1"/>
  <c r="X676" i="1"/>
  <c r="Z676" i="1" s="1"/>
  <c r="Y676" i="1"/>
  <c r="X678" i="1"/>
  <c r="Z678" i="1" s="1"/>
  <c r="Y678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747" i="1"/>
  <c r="Z747" i="1" s="1"/>
  <c r="Y747" i="1"/>
  <c r="X748" i="1"/>
  <c r="Z748" i="1" s="1"/>
  <c r="Y748" i="1"/>
  <c r="X679" i="1"/>
  <c r="Z679" i="1" s="1"/>
  <c r="Y679" i="1"/>
  <c r="X673" i="1"/>
  <c r="Z673" i="1" s="1"/>
  <c r="Y673" i="1"/>
  <c r="X674" i="1"/>
  <c r="Z674" i="1" s="1"/>
  <c r="Y674" i="1"/>
  <c r="X675" i="1"/>
  <c r="Z675" i="1" s="1"/>
  <c r="Y675" i="1"/>
  <c r="X697" i="1"/>
  <c r="Z697" i="1" s="1"/>
  <c r="Y697" i="1"/>
  <c r="X704" i="1"/>
  <c r="Z704" i="1" s="1"/>
  <c r="Y704" i="1"/>
  <c r="X716" i="1"/>
  <c r="Z716" i="1" s="1"/>
  <c r="Y716" i="1"/>
  <c r="X717" i="1"/>
  <c r="Z717" i="1" s="1"/>
  <c r="Y717" i="1"/>
  <c r="X718" i="1"/>
  <c r="Z718" i="1" s="1"/>
  <c r="Y718" i="1"/>
  <c r="X720" i="1"/>
  <c r="Z720" i="1" s="1"/>
  <c r="Y720" i="1"/>
  <c r="X654" i="1"/>
  <c r="Z654" i="1" s="1"/>
  <c r="Y654" i="1"/>
  <c r="X695" i="1"/>
  <c r="Z695" i="1" s="1"/>
  <c r="Y695" i="1"/>
  <c r="X696" i="1"/>
  <c r="Z696" i="1" s="1"/>
  <c r="Y696" i="1"/>
  <c r="X698" i="1"/>
  <c r="Z698" i="1" s="1"/>
  <c r="Y698" i="1"/>
  <c r="X699" i="1"/>
  <c r="Z699" i="1" s="1"/>
  <c r="Y699" i="1"/>
  <c r="X700" i="1"/>
  <c r="Z700" i="1" s="1"/>
  <c r="Y700" i="1"/>
  <c r="X701" i="1"/>
  <c r="Z701" i="1" s="1"/>
  <c r="Y701" i="1"/>
  <c r="X702" i="1"/>
  <c r="Z702" i="1" s="1"/>
  <c r="Y702" i="1"/>
  <c r="X653" i="1"/>
  <c r="Z653" i="1" s="1"/>
  <c r="Y653" i="1"/>
  <c r="X680" i="1"/>
  <c r="Z680" i="1" s="1"/>
  <c r="Y680" i="1"/>
  <c r="X719" i="1"/>
  <c r="Z719" i="1" s="1"/>
  <c r="Y719" i="1"/>
  <c r="X721" i="1"/>
  <c r="Z721" i="1" s="1"/>
  <c r="Y721" i="1"/>
  <c r="X722" i="1"/>
  <c r="Z722" i="1" s="1"/>
  <c r="Y722" i="1"/>
  <c r="X723" i="1"/>
  <c r="Z723" i="1" s="1"/>
  <c r="Y723" i="1"/>
  <c r="X724" i="1"/>
  <c r="Z724" i="1" s="1"/>
  <c r="Y724" i="1"/>
  <c r="X652" i="1"/>
  <c r="Z652" i="1" s="1"/>
  <c r="Y652" i="1"/>
  <c r="X655" i="1"/>
  <c r="Z655" i="1" s="1"/>
  <c r="Y655" i="1"/>
  <c r="X703" i="1"/>
  <c r="Z703" i="1" s="1"/>
  <c r="Y703" i="1"/>
  <c r="X749" i="1"/>
  <c r="Z749" i="1" s="1"/>
  <c r="Y749" i="1"/>
  <c r="Y760" i="1"/>
  <c r="X760" i="1"/>
  <c r="Z760" i="1" s="1"/>
  <c r="Y630" i="1"/>
  <c r="X630" i="1"/>
  <c r="Z630" i="1" s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X635" i="1"/>
  <c r="Z635" i="1" s="1"/>
  <c r="Y635" i="1"/>
  <c r="X636" i="1"/>
  <c r="Z636" i="1" s="1"/>
  <c r="Y636" i="1"/>
  <c r="Y637" i="1"/>
  <c r="X637" i="1"/>
  <c r="Z637" i="1" s="1"/>
  <c r="Y638" i="1"/>
  <c r="X638" i="1"/>
  <c r="Z638" i="1" s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Y647" i="1"/>
  <c r="X647" i="1"/>
  <c r="Z647" i="1" s="1"/>
  <c r="X648" i="1"/>
  <c r="Z648" i="1" s="1"/>
  <c r="Y648" i="1"/>
  <c r="X649" i="1"/>
  <c r="Z649" i="1" s="1"/>
  <c r="Y649" i="1"/>
  <c r="X650" i="1"/>
  <c r="Z650" i="1" s="1"/>
  <c r="Y650" i="1"/>
  <c r="X651" i="1"/>
  <c r="Z651" i="1" s="1"/>
  <c r="Y651" i="1"/>
  <c r="X656" i="1"/>
  <c r="Z656" i="1" s="1"/>
  <c r="Y656" i="1"/>
  <c r="Y657" i="1"/>
  <c r="X657" i="1"/>
  <c r="Z657" i="1" s="1"/>
  <c r="X658" i="1"/>
  <c r="Z658" i="1" s="1"/>
  <c r="Y658" i="1"/>
  <c r="X659" i="1"/>
  <c r="Z659" i="1" s="1"/>
  <c r="Y659" i="1"/>
  <c r="X660" i="1"/>
  <c r="Z660" i="1" s="1"/>
  <c r="Y660" i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X665" i="1"/>
  <c r="Z665" i="1" s="1"/>
  <c r="Y665" i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X670" i="1"/>
  <c r="Z670" i="1" s="1"/>
  <c r="Y670" i="1"/>
  <c r="Y671" i="1"/>
  <c r="X671" i="1"/>
  <c r="Z671" i="1" s="1"/>
  <c r="Y672" i="1"/>
  <c r="X672" i="1"/>
  <c r="Z672" i="1" s="1"/>
  <c r="Y681" i="1"/>
  <c r="X681" i="1"/>
  <c r="Z681" i="1" s="1"/>
  <c r="X682" i="1"/>
  <c r="Z682" i="1" s="1"/>
  <c r="Y682" i="1"/>
  <c r="Y683" i="1"/>
  <c r="X683" i="1"/>
  <c r="Z683" i="1" s="1"/>
  <c r="Y684" i="1"/>
  <c r="X684" i="1"/>
  <c r="Z684" i="1" s="1"/>
  <c r="X685" i="1"/>
  <c r="Z685" i="1" s="1"/>
  <c r="Y685" i="1"/>
  <c r="X686" i="1"/>
  <c r="Z686" i="1" s="1"/>
  <c r="Y686" i="1"/>
  <c r="X687" i="1"/>
  <c r="Z687" i="1" s="1"/>
  <c r="Y687" i="1"/>
  <c r="X688" i="1"/>
  <c r="Z688" i="1" s="1"/>
  <c r="Y688" i="1"/>
  <c r="Y689" i="1"/>
  <c r="X689" i="1"/>
  <c r="Z689" i="1" s="1"/>
  <c r="X690" i="1"/>
  <c r="Z690" i="1" s="1"/>
  <c r="Y690" i="1"/>
  <c r="X691" i="1"/>
  <c r="Z691" i="1" s="1"/>
  <c r="Y691" i="1"/>
  <c r="X692" i="1"/>
  <c r="Z692" i="1" s="1"/>
  <c r="Y692" i="1"/>
  <c r="X693" i="1"/>
  <c r="Z693" i="1" s="1"/>
  <c r="Y693" i="1"/>
  <c r="X694" i="1"/>
  <c r="Z694" i="1" s="1"/>
  <c r="Y694" i="1"/>
  <c r="Y705" i="1"/>
  <c r="X705" i="1"/>
  <c r="Z705" i="1" s="1"/>
  <c r="Y706" i="1"/>
  <c r="X706" i="1"/>
  <c r="Z706" i="1" s="1"/>
  <c r="X707" i="1"/>
  <c r="Z707" i="1" s="1"/>
  <c r="Y707" i="1"/>
  <c r="Y708" i="1"/>
  <c r="X708" i="1"/>
  <c r="Z708" i="1" s="1"/>
  <c r="Y709" i="1"/>
  <c r="X709" i="1"/>
  <c r="Z709" i="1" s="1"/>
  <c r="X710" i="1"/>
  <c r="Z710" i="1" s="1"/>
  <c r="Y710" i="1"/>
  <c r="X711" i="1"/>
  <c r="Z711" i="1" s="1"/>
  <c r="Y711" i="1"/>
  <c r="X712" i="1"/>
  <c r="Z712" i="1" s="1"/>
  <c r="Y712" i="1"/>
  <c r="Y713" i="1"/>
  <c r="X713" i="1"/>
  <c r="Z713" i="1" s="1"/>
  <c r="Y714" i="1"/>
  <c r="X714" i="1"/>
  <c r="Z714" i="1" s="1"/>
  <c r="Y715" i="1"/>
  <c r="X715" i="1"/>
  <c r="Z715" i="1" s="1"/>
  <c r="Y725" i="1"/>
  <c r="X725" i="1"/>
  <c r="Z725" i="1" s="1"/>
  <c r="Y726" i="1"/>
  <c r="X726" i="1"/>
  <c r="Z726" i="1" s="1"/>
  <c r="X727" i="1"/>
  <c r="Z727" i="1" s="1"/>
  <c r="Y727" i="1"/>
  <c r="Y728" i="1"/>
  <c r="X728" i="1"/>
  <c r="Z728" i="1" s="1"/>
  <c r="X729" i="1"/>
  <c r="Z729" i="1" s="1"/>
  <c r="Y729" i="1"/>
  <c r="X730" i="1"/>
  <c r="Z730" i="1" s="1"/>
  <c r="Y730" i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36" i="1"/>
  <c r="X736" i="1"/>
  <c r="Z736" i="1" s="1"/>
  <c r="X737" i="1"/>
  <c r="Z737" i="1" s="1"/>
  <c r="Y737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7" i="1"/>
  <c r="Z757" i="1" s="1"/>
  <c r="Y757" i="1"/>
  <c r="X758" i="1"/>
  <c r="Z758" i="1" s="1"/>
  <c r="Y758" i="1"/>
  <c r="Y759" i="1"/>
  <c r="X759" i="1"/>
  <c r="Z759" i="1" s="1"/>
  <c r="X761" i="1"/>
  <c r="Z761" i="1" s="1"/>
  <c r="Y761" i="1"/>
  <c r="X762" i="1"/>
  <c r="Z762" i="1" s="1"/>
  <c r="Y762" i="1"/>
  <c r="Y763" i="1"/>
  <c r="X763" i="1"/>
  <c r="Z763" i="1" s="1"/>
  <c r="Y764" i="1"/>
  <c r="X764" i="1"/>
  <c r="Z764" i="1" s="1"/>
  <c r="S628" i="1"/>
  <c r="T628" i="1" s="1"/>
  <c r="R628" i="1"/>
  <c r="R629" i="1"/>
  <c r="S629" i="1"/>
  <c r="T629" i="1" s="1"/>
  <c r="X628" i="1"/>
  <c r="Z628" i="1" s="1"/>
  <c r="Y628" i="1"/>
  <c r="X629" i="1"/>
  <c r="Z629" i="1" s="1"/>
  <c r="Y629" i="1"/>
  <c r="R627" i="1"/>
  <c r="S627" i="1"/>
  <c r="T627" i="1" s="1"/>
  <c r="X627" i="1"/>
  <c r="Z627" i="1" s="1"/>
  <c r="Y627" i="1"/>
  <c r="Y626" i="1"/>
  <c r="X626" i="1"/>
  <c r="Z626" i="1" s="1"/>
  <c r="R626" i="1"/>
  <c r="S626" i="1"/>
  <c r="T626" i="1" s="1"/>
  <c r="X98" i="1"/>
  <c r="Y98" i="1"/>
  <c r="S624" i="1"/>
  <c r="T624" i="1" s="1"/>
  <c r="R624" i="1"/>
  <c r="Y122" i="1"/>
  <c r="X122" i="1"/>
  <c r="Y90" i="1"/>
  <c r="X90" i="1"/>
  <c r="Y82" i="1"/>
  <c r="X82" i="1"/>
  <c r="Y67" i="1"/>
  <c r="X67" i="1"/>
  <c r="Y48" i="1"/>
  <c r="X48" i="1"/>
  <c r="Y153" i="1"/>
  <c r="X153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11" i="1"/>
  <c r="X611" i="1"/>
  <c r="S625" i="1"/>
  <c r="T625" i="1" s="1"/>
  <c r="R625" i="1"/>
  <c r="S620" i="1"/>
  <c r="T620" i="1" s="1"/>
  <c r="R620" i="1"/>
  <c r="S621" i="1"/>
  <c r="T621" i="1" s="1"/>
  <c r="R621" i="1"/>
  <c r="S622" i="1"/>
  <c r="T622" i="1" s="1"/>
  <c r="R622" i="1"/>
  <c r="S623" i="1"/>
  <c r="T623" i="1" s="1"/>
  <c r="R623" i="1"/>
  <c r="X625" i="1"/>
  <c r="Z625" i="1" s="1"/>
  <c r="Y625" i="1"/>
  <c r="X624" i="1"/>
  <c r="Z624" i="1" s="1"/>
  <c r="Y624" i="1"/>
  <c r="X623" i="1"/>
  <c r="Z623" i="1" s="1"/>
  <c r="Y623" i="1"/>
  <c r="X622" i="1"/>
  <c r="Z622" i="1" s="1"/>
  <c r="Y622" i="1"/>
  <c r="X621" i="1"/>
  <c r="Z621" i="1" s="1"/>
  <c r="Y621" i="1"/>
  <c r="Y620" i="1"/>
  <c r="X620" i="1"/>
  <c r="Z620" i="1" s="1"/>
  <c r="Y619" i="1"/>
  <c r="X619" i="1"/>
  <c r="X618" i="1"/>
  <c r="Y618" i="1"/>
  <c r="Y617" i="1"/>
  <c r="X617" i="1"/>
  <c r="Y616" i="1"/>
  <c r="X616" i="1"/>
  <c r="Y615" i="1"/>
  <c r="X615" i="1"/>
  <c r="X614" i="1"/>
  <c r="Y614" i="1"/>
  <c r="X613" i="1"/>
  <c r="Y613" i="1"/>
  <c r="X612" i="1"/>
  <c r="Y612" i="1"/>
  <c r="Y610" i="1"/>
  <c r="X610" i="1"/>
  <c r="Y609" i="1"/>
  <c r="X609" i="1"/>
  <c r="H618" i="1" l="1"/>
  <c r="H614" i="1"/>
  <c r="H615" i="1"/>
  <c r="H616" i="1"/>
  <c r="H617" i="1"/>
  <c r="H619" i="1"/>
  <c r="H613" i="1"/>
  <c r="H609" i="1"/>
  <c r="H610" i="1"/>
  <c r="H611" i="1"/>
  <c r="H612" i="1"/>
  <c r="U455" i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8" i="1" l="1"/>
  <c r="S618" i="1"/>
  <c r="T618" i="1" s="1"/>
  <c r="R618" i="1"/>
  <c r="Z614" i="1"/>
  <c r="R614" i="1"/>
  <c r="S614" i="1"/>
  <c r="T614" i="1" s="1"/>
  <c r="S615" i="1"/>
  <c r="T615" i="1" s="1"/>
  <c r="R615" i="1"/>
  <c r="Z615" i="1"/>
  <c r="S616" i="1"/>
  <c r="T616" i="1" s="1"/>
  <c r="R616" i="1"/>
  <c r="Z616" i="1"/>
  <c r="R617" i="1"/>
  <c r="Z617" i="1"/>
  <c r="S617" i="1"/>
  <c r="T617" i="1" s="1"/>
  <c r="R619" i="1"/>
  <c r="S619" i="1"/>
  <c r="T619" i="1" s="1"/>
  <c r="Z619" i="1"/>
  <c r="R613" i="1"/>
  <c r="Z613" i="1"/>
  <c r="S613" i="1"/>
  <c r="T613" i="1" s="1"/>
  <c r="S609" i="1"/>
  <c r="T609" i="1" s="1"/>
  <c r="R609" i="1"/>
  <c r="Z609" i="1"/>
  <c r="R610" i="1"/>
  <c r="S610" i="1"/>
  <c r="T610" i="1" s="1"/>
  <c r="Z610" i="1"/>
  <c r="Z611" i="1"/>
  <c r="R611" i="1"/>
  <c r="S611" i="1"/>
  <c r="T611" i="1" s="1"/>
  <c r="S612" i="1"/>
  <c r="T612" i="1" s="1"/>
  <c r="R612" i="1"/>
  <c r="Z612" i="1"/>
  <c r="Y456" i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Z454" i="1" s="1"/>
  <c r="AI454" i="1" s="1"/>
  <c r="H455" i="1"/>
  <c r="Z455" i="1" s="1"/>
  <c r="AI455" i="1" s="1"/>
  <c r="H456" i="1"/>
  <c r="H457" i="1"/>
  <c r="H458" i="1"/>
  <c r="H459" i="1"/>
  <c r="H460" i="1"/>
  <c r="H461" i="1"/>
  <c r="Q458" i="1"/>
  <c r="Q459" i="1"/>
  <c r="Q460" i="1"/>
  <c r="Q461" i="1"/>
  <c r="Q453" i="1"/>
  <c r="Q454" i="1"/>
  <c r="Q455" i="1"/>
  <c r="Q456" i="1"/>
  <c r="Q457" i="1"/>
  <c r="H558" i="1"/>
  <c r="R558" i="1" s="1"/>
  <c r="H557" i="1"/>
  <c r="H556" i="1"/>
  <c r="S556" i="1" s="1"/>
  <c r="H555" i="1"/>
  <c r="H554" i="1"/>
  <c r="R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AV549" i="1" s="1"/>
  <c r="AS549" i="1" s="1"/>
  <c r="H548" i="1"/>
  <c r="AU548" i="1" s="1"/>
  <c r="H547" i="1"/>
  <c r="AV547" i="1" s="1"/>
  <c r="AS547" i="1" s="1"/>
  <c r="H546" i="1"/>
  <c r="AV546" i="1" s="1"/>
  <c r="AS546" i="1" s="1"/>
  <c r="H545" i="1"/>
  <c r="H544" i="1"/>
  <c r="R544" i="1" s="1"/>
  <c r="H543" i="1"/>
  <c r="H542" i="1"/>
  <c r="H541" i="1"/>
  <c r="S541" i="1" s="1"/>
  <c r="T541" i="1" s="1"/>
  <c r="H540" i="1"/>
  <c r="H539" i="1"/>
  <c r="R539" i="1" s="1"/>
  <c r="H538" i="1"/>
  <c r="H537" i="1"/>
  <c r="R537" i="1" s="1"/>
  <c r="H536" i="1"/>
  <c r="R536" i="1" s="1"/>
  <c r="H535" i="1"/>
  <c r="S535" i="1" s="1"/>
  <c r="H534" i="1"/>
  <c r="S534" i="1" s="1"/>
  <c r="T534" i="1" s="1"/>
  <c r="H533" i="1"/>
  <c r="H532" i="1"/>
  <c r="H531" i="1"/>
  <c r="R531" i="1" s="1"/>
  <c r="H530" i="1"/>
  <c r="H529" i="1"/>
  <c r="H528" i="1"/>
  <c r="R528" i="1" s="1"/>
  <c r="H527" i="1"/>
  <c r="H526" i="1"/>
  <c r="H525" i="1"/>
  <c r="H524" i="1"/>
  <c r="H523" i="1"/>
  <c r="R523" i="1" s="1"/>
  <c r="H522" i="1"/>
  <c r="R522" i="1" s="1"/>
  <c r="H521" i="1"/>
  <c r="AU521" i="1" s="1"/>
  <c r="H520" i="1"/>
  <c r="AU520" i="1" s="1"/>
  <c r="H519" i="1"/>
  <c r="H518" i="1"/>
  <c r="AU518" i="1" s="1"/>
  <c r="H517" i="1"/>
  <c r="AU517" i="1" s="1"/>
  <c r="H516" i="1"/>
  <c r="AU516" i="1" s="1"/>
  <c r="H515" i="1"/>
  <c r="AU515" i="1" s="1"/>
  <c r="H514" i="1"/>
  <c r="AU514" i="1" s="1"/>
  <c r="H513" i="1"/>
  <c r="AU513" i="1" s="1"/>
  <c r="H512" i="1"/>
  <c r="AU512" i="1" s="1"/>
  <c r="H511" i="1"/>
  <c r="AU511" i="1" s="1"/>
  <c r="H510" i="1"/>
  <c r="S510" i="1" s="1"/>
  <c r="T510" i="1" s="1"/>
  <c r="H509" i="1"/>
  <c r="AU509" i="1" s="1"/>
  <c r="H508" i="1"/>
  <c r="H507" i="1"/>
  <c r="H506" i="1"/>
  <c r="H505" i="1"/>
  <c r="H504" i="1"/>
  <c r="AU504" i="1" s="1"/>
  <c r="H503" i="1"/>
  <c r="AU503" i="1" s="1"/>
  <c r="H502" i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AU481" i="1" s="1"/>
  <c r="H480" i="1"/>
  <c r="AU480" i="1" s="1"/>
  <c r="H479" i="1"/>
  <c r="AU479" i="1" s="1"/>
  <c r="H478" i="1"/>
  <c r="AU478" i="1" s="1"/>
  <c r="H477" i="1"/>
  <c r="AU477" i="1" s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AU472" i="1" s="1"/>
  <c r="H471" i="1"/>
  <c r="AU471" i="1" s="1"/>
  <c r="H470" i="1"/>
  <c r="AU470" i="1" s="1"/>
  <c r="H469" i="1"/>
  <c r="AU469" i="1" s="1"/>
  <c r="H468" i="1"/>
  <c r="AU468" i="1" s="1"/>
  <c r="H467" i="1"/>
  <c r="H466" i="1"/>
  <c r="AU466" i="1" s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Q608" i="1"/>
  <c r="Q558" i="1"/>
  <c r="H60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V462" i="1"/>
  <c r="U463" i="1"/>
  <c r="V463" i="1"/>
  <c r="U464" i="1"/>
  <c r="V464" i="1"/>
  <c r="V465" i="1"/>
  <c r="V466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V474" i="1"/>
  <c r="V475" i="1"/>
  <c r="X476" i="1"/>
  <c r="V476" i="1"/>
  <c r="U477" i="1"/>
  <c r="X477" i="1" s="1"/>
  <c r="V477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X485" i="1"/>
  <c r="V485" i="1"/>
  <c r="V486" i="1"/>
  <c r="V487" i="1"/>
  <c r="V488" i="1"/>
  <c r="V489" i="1"/>
  <c r="V490" i="1"/>
  <c r="V491" i="1"/>
  <c r="X492" i="1"/>
  <c r="V492" i="1"/>
  <c r="X493" i="1"/>
  <c r="V493" i="1"/>
  <c r="V494" i="1"/>
  <c r="V495" i="1"/>
  <c r="V496" i="1"/>
  <c r="V497" i="1"/>
  <c r="V498" i="1"/>
  <c r="V499" i="1"/>
  <c r="X500" i="1"/>
  <c r="V500" i="1"/>
  <c r="X501" i="1"/>
  <c r="V501" i="1"/>
  <c r="V502" i="1"/>
  <c r="U503" i="1"/>
  <c r="V503" i="1"/>
  <c r="U504" i="1"/>
  <c r="V504" i="1"/>
  <c r="V505" i="1"/>
  <c r="V506" i="1"/>
  <c r="X507" i="1"/>
  <c r="V507" i="1"/>
  <c r="X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V519" i="1"/>
  <c r="U520" i="1"/>
  <c r="V520" i="1"/>
  <c r="U521" i="1"/>
  <c r="V521" i="1"/>
  <c r="V522" i="1"/>
  <c r="X523" i="1"/>
  <c r="V523" i="1"/>
  <c r="X524" i="1"/>
  <c r="V524" i="1"/>
  <c r="V525" i="1"/>
  <c r="V526" i="1"/>
  <c r="V527" i="1"/>
  <c r="V528" i="1"/>
  <c r="V529" i="1"/>
  <c r="U530" i="1"/>
  <c r="V530" i="1"/>
  <c r="X531" i="1"/>
  <c r="V531" i="1"/>
  <c r="X532" i="1"/>
  <c r="V532" i="1"/>
  <c r="V533" i="1"/>
  <c r="V534" i="1"/>
  <c r="V535" i="1"/>
  <c r="V536" i="1"/>
  <c r="V537" i="1"/>
  <c r="V538" i="1"/>
  <c r="X539" i="1"/>
  <c r="V539" i="1"/>
  <c r="X540" i="1"/>
  <c r="V540" i="1"/>
  <c r="V541" i="1"/>
  <c r="U542" i="1"/>
  <c r="V542" i="1"/>
  <c r="U543" i="1"/>
  <c r="V543" i="1"/>
  <c r="V544" i="1"/>
  <c r="V545" i="1"/>
  <c r="V546" i="1"/>
  <c r="X547" i="1"/>
  <c r="V547" i="1"/>
  <c r="U548" i="1"/>
  <c r="X548" i="1" s="1"/>
  <c r="V548" i="1"/>
  <c r="V549" i="1"/>
  <c r="V550" i="1"/>
  <c r="V551" i="1"/>
  <c r="U552" i="1"/>
  <c r="V552" i="1"/>
  <c r="V553" i="1"/>
  <c r="V554" i="1"/>
  <c r="X555" i="1"/>
  <c r="V555" i="1"/>
  <c r="X556" i="1"/>
  <c r="V556" i="1"/>
  <c r="V557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AV440" i="1" s="1"/>
  <c r="AS440" i="1" s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Z531" i="1" l="1"/>
  <c r="Z555" i="1"/>
  <c r="S557" i="1"/>
  <c r="T557" i="1" s="1"/>
  <c r="R557" i="1"/>
  <c r="S555" i="1"/>
  <c r="T555" i="1" s="1"/>
  <c r="R555" i="1"/>
  <c r="AU552" i="1"/>
  <c r="R552" i="1"/>
  <c r="S545" i="1"/>
  <c r="T545" i="1" s="1"/>
  <c r="R545" i="1"/>
  <c r="AU543" i="1"/>
  <c r="R543" i="1"/>
  <c r="AU542" i="1"/>
  <c r="R542" i="1"/>
  <c r="S533" i="1"/>
  <c r="T533" i="1" s="1"/>
  <c r="R533" i="1"/>
  <c r="AT441" i="1"/>
  <c r="S441" i="1"/>
  <c r="T441" i="1" s="1"/>
  <c r="AV441" i="1"/>
  <c r="AS441" i="1" s="1"/>
  <c r="AT440" i="1"/>
  <c r="Z453" i="1"/>
  <c r="AI453" i="1" s="1"/>
  <c r="AU530" i="1"/>
  <c r="AT530" i="1" s="1"/>
  <c r="R530" i="1"/>
  <c r="R534" i="1"/>
  <c r="R546" i="1"/>
  <c r="S558" i="1"/>
  <c r="T558" i="1" s="1"/>
  <c r="AU558" i="1"/>
  <c r="AT558" i="1" s="1"/>
  <c r="AU556" i="1"/>
  <c r="AT556" i="1" s="1"/>
  <c r="AV556" i="1"/>
  <c r="AS556" i="1" s="1"/>
  <c r="S554" i="1"/>
  <c r="T554" i="1" s="1"/>
  <c r="AU554" i="1"/>
  <c r="AT554" i="1" s="1"/>
  <c r="S544" i="1"/>
  <c r="T544" i="1" s="1"/>
  <c r="AU544" i="1"/>
  <c r="AT544" i="1" s="1"/>
  <c r="S519" i="1"/>
  <c r="T519" i="1" s="1"/>
  <c r="AU519" i="1"/>
  <c r="AT519" i="1" s="1"/>
  <c r="Z458" i="1"/>
  <c r="AI458" i="1" s="1"/>
  <c r="R550" i="1"/>
  <c r="Z457" i="1"/>
  <c r="AI457" i="1" s="1"/>
  <c r="AU541" i="1"/>
  <c r="AT541" i="1" s="1"/>
  <c r="Z456" i="1"/>
  <c r="AI456" i="1" s="1"/>
  <c r="R553" i="1"/>
  <c r="R541" i="1"/>
  <c r="AU553" i="1"/>
  <c r="AT553" i="1" s="1"/>
  <c r="AU555" i="1"/>
  <c r="AT555" i="1" s="1"/>
  <c r="AU550" i="1"/>
  <c r="AT550" i="1" s="1"/>
  <c r="Z539" i="1"/>
  <c r="AU551" i="1"/>
  <c r="AT551" i="1" s="1"/>
  <c r="AU549" i="1"/>
  <c r="AT549" i="1" s="1"/>
  <c r="AU547" i="1"/>
  <c r="AT547" i="1" s="1"/>
  <c r="AU476" i="1"/>
  <c r="AT476" i="1" s="1"/>
  <c r="Z547" i="1"/>
  <c r="R547" i="1"/>
  <c r="Z460" i="1"/>
  <c r="AI460" i="1" s="1"/>
  <c r="Z459" i="1"/>
  <c r="AI459" i="1" s="1"/>
  <c r="S540" i="1"/>
  <c r="T540" i="1" s="1"/>
  <c r="AU540" i="1"/>
  <c r="AT540" i="1" s="1"/>
  <c r="S508" i="1"/>
  <c r="T508" i="1" s="1"/>
  <c r="AU508" i="1"/>
  <c r="AT508" i="1" s="1"/>
  <c r="AV508" i="1"/>
  <c r="AS508" i="1" s="1"/>
  <c r="R507" i="1"/>
  <c r="AU507" i="1"/>
  <c r="AT507" i="1" s="1"/>
  <c r="R506" i="1"/>
  <c r="AU506" i="1"/>
  <c r="AT506" i="1" s="1"/>
  <c r="R505" i="1"/>
  <c r="AU505" i="1"/>
  <c r="AT505" i="1" s="1"/>
  <c r="AV467" i="1"/>
  <c r="AS467" i="1" s="1"/>
  <c r="AU467" i="1"/>
  <c r="AT467" i="1" s="1"/>
  <c r="R502" i="1"/>
  <c r="AU502" i="1"/>
  <c r="AT502" i="1" s="1"/>
  <c r="S539" i="1"/>
  <c r="T539" i="1" s="1"/>
  <c r="AU539" i="1"/>
  <c r="AT539" i="1" s="1"/>
  <c r="S538" i="1"/>
  <c r="T538" i="1" s="1"/>
  <c r="AU538" i="1"/>
  <c r="AT538" i="1" s="1"/>
  <c r="AV537" i="1"/>
  <c r="AS537" i="1" s="1"/>
  <c r="AU537" i="1"/>
  <c r="AT537" i="1" s="1"/>
  <c r="S536" i="1"/>
  <c r="T536" i="1" s="1"/>
  <c r="AU536" i="1"/>
  <c r="AT536" i="1" s="1"/>
  <c r="S532" i="1"/>
  <c r="T532" i="1" s="1"/>
  <c r="AU532" i="1"/>
  <c r="AT532" i="1" s="1"/>
  <c r="S531" i="1"/>
  <c r="T531" i="1" s="1"/>
  <c r="AU531" i="1"/>
  <c r="AT531" i="1" s="1"/>
  <c r="AV529" i="1"/>
  <c r="AS529" i="1" s="1"/>
  <c r="AU529" i="1"/>
  <c r="AT529" i="1" s="1"/>
  <c r="S528" i="1"/>
  <c r="T528" i="1" s="1"/>
  <c r="AU528" i="1"/>
  <c r="AT528" i="1" s="1"/>
  <c r="S527" i="1"/>
  <c r="T527" i="1" s="1"/>
  <c r="AU527" i="1"/>
  <c r="AT527" i="1" s="1"/>
  <c r="AV526" i="1"/>
  <c r="AS526" i="1" s="1"/>
  <c r="AU526" i="1"/>
  <c r="AT526" i="1" s="1"/>
  <c r="R525" i="1"/>
  <c r="AU525" i="1"/>
  <c r="AT525" i="1" s="1"/>
  <c r="AV524" i="1"/>
  <c r="AS524" i="1" s="1"/>
  <c r="AU524" i="1"/>
  <c r="AT524" i="1" s="1"/>
  <c r="AV501" i="1"/>
  <c r="AS501" i="1" s="1"/>
  <c r="AU501" i="1"/>
  <c r="AT501" i="1" s="1"/>
  <c r="R500" i="1"/>
  <c r="AU500" i="1"/>
  <c r="AT500" i="1" s="1"/>
  <c r="AV496" i="1"/>
  <c r="AS496" i="1" s="1"/>
  <c r="AU496" i="1"/>
  <c r="AT496" i="1" s="1"/>
  <c r="R495" i="1"/>
  <c r="AU495" i="1"/>
  <c r="AT495" i="1" s="1"/>
  <c r="R494" i="1"/>
  <c r="AU494" i="1"/>
  <c r="AT494" i="1" s="1"/>
  <c r="AV493" i="1"/>
  <c r="AS493" i="1" s="1"/>
  <c r="AU493" i="1"/>
  <c r="AT493" i="1" s="1"/>
  <c r="R492" i="1"/>
  <c r="AU492" i="1"/>
  <c r="AT492" i="1" s="1"/>
  <c r="AV491" i="1"/>
  <c r="AS491" i="1" s="1"/>
  <c r="AU491" i="1"/>
  <c r="AT491" i="1" s="1"/>
  <c r="AV490" i="1"/>
  <c r="AS490" i="1" s="1"/>
  <c r="AU490" i="1"/>
  <c r="AT490" i="1" s="1"/>
  <c r="AV489" i="1"/>
  <c r="AS489" i="1" s="1"/>
  <c r="AU489" i="1"/>
  <c r="AT489" i="1" s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T533" i="1" s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T497" i="1" s="1"/>
  <c r="AU485" i="1"/>
  <c r="AT485" i="1" s="1"/>
  <c r="AU546" i="1"/>
  <c r="AT546" i="1" s="1"/>
  <c r="AV534" i="1"/>
  <c r="AS534" i="1" s="1"/>
  <c r="AU534" i="1"/>
  <c r="AT534" i="1" s="1"/>
  <c r="AU522" i="1"/>
  <c r="AT522" i="1" s="1"/>
  <c r="AU510" i="1"/>
  <c r="AT510" i="1" s="1"/>
  <c r="AU498" i="1"/>
  <c r="AT498" i="1" s="1"/>
  <c r="AU486" i="1"/>
  <c r="AT486" i="1" s="1"/>
  <c r="AU474" i="1"/>
  <c r="AT474" i="1" s="1"/>
  <c r="AU557" i="1"/>
  <c r="AT557" i="1" s="1"/>
  <c r="AU545" i="1"/>
  <c r="AT545" i="1" s="1"/>
  <c r="AT509" i="1"/>
  <c r="AV557" i="1"/>
  <c r="AS557" i="1" s="1"/>
  <c r="S546" i="1"/>
  <c r="T546" i="1" s="1"/>
  <c r="AV532" i="1"/>
  <c r="AS532" i="1" s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V514" i="1"/>
  <c r="AS514" i="1" s="1"/>
  <c r="R538" i="1"/>
  <c r="AV550" i="1"/>
  <c r="AS550" i="1" s="1"/>
  <c r="R526" i="1"/>
  <c r="AV538" i="1"/>
  <c r="AS538" i="1" s="1"/>
  <c r="AV558" i="1"/>
  <c r="AS558" i="1" s="1"/>
  <c r="AV533" i="1"/>
  <c r="AS533" i="1" s="1"/>
  <c r="S509" i="1"/>
  <c r="T509" i="1" s="1"/>
  <c r="S498" i="1"/>
  <c r="T498" i="1" s="1"/>
  <c r="AV510" i="1"/>
  <c r="AS510" i="1" s="1"/>
  <c r="S522" i="1"/>
  <c r="T522" i="1" s="1"/>
  <c r="AV515" i="1"/>
  <c r="AS515" i="1" s="1"/>
  <c r="AT515" i="1"/>
  <c r="AV539" i="1"/>
  <c r="AS539" i="1" s="1"/>
  <c r="AV516" i="1"/>
  <c r="AS516" i="1" s="1"/>
  <c r="S494" i="1"/>
  <c r="T494" i="1" s="1"/>
  <c r="AT516" i="1"/>
  <c r="AV540" i="1"/>
  <c r="AS540" i="1" s="1"/>
  <c r="AV506" i="1"/>
  <c r="AS506" i="1" s="1"/>
  <c r="AV492" i="1"/>
  <c r="AS492" i="1" s="1"/>
  <c r="S492" i="1"/>
  <c r="T492" i="1" s="1"/>
  <c r="R595" i="1"/>
  <c r="R571" i="1"/>
  <c r="AT468" i="1"/>
  <c r="R603" i="1"/>
  <c r="R579" i="1"/>
  <c r="AV531" i="1"/>
  <c r="AS531" i="1" s="1"/>
  <c r="AT483" i="1"/>
  <c r="AV555" i="1"/>
  <c r="AS555" i="1" s="1"/>
  <c r="AV507" i="1"/>
  <c r="AS507" i="1" s="1"/>
  <c r="S507" i="1"/>
  <c r="T507" i="1" s="1"/>
  <c r="R586" i="1"/>
  <c r="AV494" i="1"/>
  <c r="AS494" i="1" s="1"/>
  <c r="R573" i="1"/>
  <c r="R562" i="1"/>
  <c r="AV530" i="1"/>
  <c r="AS530" i="1" s="1"/>
  <c r="AV469" i="1"/>
  <c r="AS469" i="1" s="1"/>
  <c r="S518" i="1"/>
  <c r="T518" i="1" s="1"/>
  <c r="AV518" i="1"/>
  <c r="AS518" i="1" s="1"/>
  <c r="AT469" i="1"/>
  <c r="AV554" i="1"/>
  <c r="AS554" i="1" s="1"/>
  <c r="AT518" i="1"/>
  <c r="AV542" i="1"/>
  <c r="AS542" i="1" s="1"/>
  <c r="R529" i="1"/>
  <c r="AT542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14" i="1"/>
  <c r="R442" i="1"/>
  <c r="S502" i="1"/>
  <c r="T502" i="1" s="1"/>
  <c r="AT478" i="1"/>
  <c r="S526" i="1"/>
  <c r="T526" i="1" s="1"/>
  <c r="AV502" i="1"/>
  <c r="AS502" i="1" s="1"/>
  <c r="R596" i="1"/>
  <c r="AT466" i="1"/>
  <c r="S549" i="1"/>
  <c r="T549" i="1" s="1"/>
  <c r="S525" i="1"/>
  <c r="T525" i="1" s="1"/>
  <c r="S501" i="1"/>
  <c r="T501" i="1" s="1"/>
  <c r="AV525" i="1"/>
  <c r="AS525" i="1" s="1"/>
  <c r="AT477" i="1"/>
  <c r="S537" i="1"/>
  <c r="T537" i="1" s="1"/>
  <c r="S547" i="1"/>
  <c r="T547" i="1" s="1"/>
  <c r="S524" i="1"/>
  <c r="T524" i="1" s="1"/>
  <c r="AV500" i="1"/>
  <c r="AS500" i="1" s="1"/>
  <c r="S523" i="1"/>
  <c r="T523" i="1" s="1"/>
  <c r="S500" i="1"/>
  <c r="T500" i="1" s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V513" i="1"/>
  <c r="AS513" i="1" s="1"/>
  <c r="AT473" i="1"/>
  <c r="AV545" i="1"/>
  <c r="AS545" i="1" s="1"/>
  <c r="S505" i="1"/>
  <c r="T505" i="1" s="1"/>
  <c r="R585" i="1"/>
  <c r="R561" i="1"/>
  <c r="R589" i="1"/>
  <c r="AV522" i="1"/>
  <c r="AS522" i="1" s="1"/>
  <c r="AV498" i="1"/>
  <c r="AS498" i="1" s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13" i="1"/>
  <c r="AT481" i="1"/>
  <c r="AV553" i="1"/>
  <c r="AS553" i="1" s="1"/>
  <c r="AV521" i="1"/>
  <c r="AS521" i="1" s="1"/>
  <c r="S513" i="1"/>
  <c r="T513" i="1" s="1"/>
  <c r="S473" i="1"/>
  <c r="T473" i="1" s="1"/>
  <c r="AT521" i="1"/>
  <c r="AV497" i="1"/>
  <c r="AS497" i="1" s="1"/>
  <c r="S521" i="1"/>
  <c r="T521" i="1" s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V472" i="1"/>
  <c r="AS472" i="1" s="1"/>
  <c r="AT464" i="1"/>
  <c r="S512" i="1"/>
  <c r="T512" i="1" s="1"/>
  <c r="AV544" i="1"/>
  <c r="AS544" i="1" s="1"/>
  <c r="AT472" i="1"/>
  <c r="S520" i="1"/>
  <c r="T520" i="1" s="1"/>
  <c r="AV552" i="1"/>
  <c r="AS552" i="1" s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43" i="1"/>
  <c r="AT511" i="1"/>
  <c r="AT503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R572" i="1"/>
  <c r="T556" i="1"/>
  <c r="R508" i="1"/>
  <c r="Z501" i="1"/>
  <c r="T588" i="1"/>
  <c r="R556" i="1"/>
  <c r="Z540" i="1"/>
  <c r="R588" i="1"/>
  <c r="T580" i="1"/>
  <c r="R548" i="1"/>
  <c r="Z532" i="1"/>
  <c r="R501" i="1"/>
  <c r="Z493" i="1"/>
  <c r="R551" i="1"/>
  <c r="R527" i="1"/>
  <c r="R447" i="1"/>
  <c r="T604" i="1"/>
  <c r="R580" i="1"/>
  <c r="R540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H153" i="1"/>
  <c r="R153" i="1" l="1"/>
  <c r="S153" i="1"/>
  <c r="T153" i="1" s="1"/>
  <c r="Z153" i="1"/>
  <c r="N3603" i="6"/>
  <c r="N3604" i="6"/>
  <c r="L13" i="8"/>
  <c r="H72" i="1"/>
  <c r="K3756" i="6"/>
  <c r="S72" i="1" l="1"/>
  <c r="T72" i="1" s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80" i="1"/>
  <c r="V115" i="1"/>
  <c r="V2" i="1"/>
  <c r="V3" i="1"/>
  <c r="H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K132" i="1"/>
  <c r="AO132" i="1"/>
  <c r="W132" i="1" s="1"/>
  <c r="AP132" i="1"/>
  <c r="AQ132" i="1"/>
  <c r="AR132" i="1"/>
  <c r="AU132" i="1"/>
  <c r="H133" i="1"/>
  <c r="AK133" i="1"/>
  <c r="AO133" i="1"/>
  <c r="W133" i="1" s="1"/>
  <c r="AP133" i="1"/>
  <c r="AQ133" i="1"/>
  <c r="AR133" i="1"/>
  <c r="AU133" i="1"/>
  <c r="H134" i="1"/>
  <c r="AK134" i="1"/>
  <c r="AO134" i="1"/>
  <c r="W134" i="1" s="1"/>
  <c r="AP134" i="1"/>
  <c r="AQ134" i="1"/>
  <c r="AR134" i="1"/>
  <c r="H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H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AK152" i="1"/>
  <c r="AO152" i="1"/>
  <c r="W152" i="1" s="1"/>
  <c r="AP152" i="1"/>
  <c r="AQ152" i="1"/>
  <c r="AR152" i="1"/>
  <c r="AU152" i="1"/>
  <c r="AT152" i="1" s="1"/>
  <c r="AV152" i="1"/>
  <c r="AS152" i="1" s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R128" i="1" l="1"/>
  <c r="Z128" i="1"/>
  <c r="AI128" i="1" s="1"/>
  <c r="S128" i="1"/>
  <c r="T128" i="1" s="1"/>
  <c r="S129" i="1"/>
  <c r="T129" i="1" s="1"/>
  <c r="R129" i="1"/>
  <c r="Z129" i="1"/>
  <c r="AI129" i="1" s="1"/>
  <c r="R130" i="1"/>
  <c r="S130" i="1"/>
  <c r="T130" i="1" s="1"/>
  <c r="Z130" i="1"/>
  <c r="AI130" i="1" s="1"/>
  <c r="S131" i="1"/>
  <c r="T131" i="1" s="1"/>
  <c r="R131" i="1"/>
  <c r="Z131" i="1"/>
  <c r="AI131" i="1" s="1"/>
  <c r="AV132" i="1"/>
  <c r="AS132" i="1" s="1"/>
  <c r="S132" i="1"/>
  <c r="T132" i="1" s="1"/>
  <c r="Z132" i="1"/>
  <c r="AI132" i="1" s="1"/>
  <c r="R132" i="1"/>
  <c r="S133" i="1"/>
  <c r="T133" i="1" s="1"/>
  <c r="R133" i="1"/>
  <c r="Z133" i="1"/>
  <c r="AI133" i="1" s="1"/>
  <c r="Z134" i="1"/>
  <c r="AI134" i="1" s="1"/>
  <c r="S134" i="1"/>
  <c r="T134" i="1" s="1"/>
  <c r="R134" i="1"/>
  <c r="Z135" i="1"/>
  <c r="AI135" i="1" s="1"/>
  <c r="R135" i="1"/>
  <c r="S135" i="1"/>
  <c r="T135" i="1" s="1"/>
  <c r="S136" i="1"/>
  <c r="T136" i="1" s="1"/>
  <c r="R136" i="1"/>
  <c r="Z136" i="1"/>
  <c r="AI136" i="1" s="1"/>
  <c r="Z137" i="1"/>
  <c r="AI137" i="1" s="1"/>
  <c r="R137" i="1"/>
  <c r="S137" i="1"/>
  <c r="T137" i="1" s="1"/>
  <c r="Z138" i="1"/>
  <c r="AI138" i="1" s="1"/>
  <c r="S138" i="1"/>
  <c r="T138" i="1" s="1"/>
  <c r="R138" i="1"/>
  <c r="R139" i="1"/>
  <c r="Z139" i="1"/>
  <c r="AI139" i="1" s="1"/>
  <c r="S139" i="1"/>
  <c r="T139" i="1" s="1"/>
  <c r="S140" i="1"/>
  <c r="T140" i="1" s="1"/>
  <c r="R140" i="1"/>
  <c r="Z140" i="1"/>
  <c r="AI140" i="1" s="1"/>
  <c r="S141" i="1"/>
  <c r="T141" i="1" s="1"/>
  <c r="R141" i="1"/>
  <c r="Z141" i="1"/>
  <c r="AI141" i="1" s="1"/>
  <c r="Z142" i="1"/>
  <c r="AI142" i="1" s="1"/>
  <c r="R142" i="1"/>
  <c r="S142" i="1"/>
  <c r="T142" i="1" s="1"/>
  <c r="S143" i="1"/>
  <c r="T143" i="1" s="1"/>
  <c r="R143" i="1"/>
  <c r="Z143" i="1"/>
  <c r="AI143" i="1" s="1"/>
  <c r="Z144" i="1"/>
  <c r="AI144" i="1" s="1"/>
  <c r="R144" i="1"/>
  <c r="S144" i="1"/>
  <c r="T144" i="1" s="1"/>
  <c r="S145" i="1"/>
  <c r="T145" i="1" s="1"/>
  <c r="Z145" i="1"/>
  <c r="AI145" i="1" s="1"/>
  <c r="R145" i="1"/>
  <c r="S146" i="1"/>
  <c r="T146" i="1" s="1"/>
  <c r="R146" i="1"/>
  <c r="Z146" i="1"/>
  <c r="AI146" i="1" s="1"/>
  <c r="Z147" i="1"/>
  <c r="AI147" i="1" s="1"/>
  <c r="S147" i="1"/>
  <c r="T147" i="1" s="1"/>
  <c r="R147" i="1"/>
  <c r="Z148" i="1"/>
  <c r="AI148" i="1" s="1"/>
  <c r="R148" i="1"/>
  <c r="S148" i="1"/>
  <c r="T148" i="1" s="1"/>
  <c r="Z149" i="1"/>
  <c r="AI149" i="1" s="1"/>
  <c r="R149" i="1"/>
  <c r="S149" i="1"/>
  <c r="T149" i="1" s="1"/>
  <c r="S150" i="1"/>
  <c r="T150" i="1" s="1"/>
  <c r="R150" i="1"/>
  <c r="Z150" i="1"/>
  <c r="AI150" i="1" s="1"/>
  <c r="Z151" i="1"/>
  <c r="AI151" i="1" s="1"/>
  <c r="R151" i="1"/>
  <c r="S151" i="1"/>
  <c r="T151" i="1" s="1"/>
  <c r="S152" i="1"/>
  <c r="T152" i="1" s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AI153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AU68" i="1" s="1"/>
  <c r="H69" i="1"/>
  <c r="AU69" i="1" s="1"/>
  <c r="H70" i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AU115" i="1"/>
  <c r="AR115" i="1"/>
  <c r="AQ115" i="1"/>
  <c r="AP115" i="1"/>
  <c r="AO115" i="1"/>
  <c r="W115" i="1" s="1"/>
  <c r="AK115" i="1"/>
  <c r="H115" i="1"/>
  <c r="AR114" i="1"/>
  <c r="AQ114" i="1"/>
  <c r="AP114" i="1"/>
  <c r="AO114" i="1"/>
  <c r="W114" i="1" s="1"/>
  <c r="AK114" i="1"/>
  <c r="H114" i="1"/>
  <c r="AR113" i="1"/>
  <c r="AQ113" i="1"/>
  <c r="AP113" i="1"/>
  <c r="AO113" i="1"/>
  <c r="W113" i="1" s="1"/>
  <c r="AK113" i="1"/>
  <c r="H113" i="1"/>
  <c r="AU113" i="1" s="1"/>
  <c r="AR112" i="1"/>
  <c r="AQ112" i="1"/>
  <c r="AP112" i="1"/>
  <c r="AO112" i="1"/>
  <c r="W112" i="1" s="1"/>
  <c r="AK112" i="1"/>
  <c r="H112" i="1"/>
  <c r="AR111" i="1"/>
  <c r="AQ111" i="1"/>
  <c r="AP111" i="1"/>
  <c r="AO111" i="1"/>
  <c r="W111" i="1" s="1"/>
  <c r="AK111" i="1"/>
  <c r="H111" i="1"/>
  <c r="AU111" i="1" s="1"/>
  <c r="AR110" i="1"/>
  <c r="AQ110" i="1"/>
  <c r="AP110" i="1"/>
  <c r="AO110" i="1"/>
  <c r="W110" i="1" s="1"/>
  <c r="AK110" i="1"/>
  <c r="H110" i="1"/>
  <c r="AU110" i="1" s="1"/>
  <c r="AU109" i="1"/>
  <c r="AR109" i="1"/>
  <c r="AQ109" i="1"/>
  <c r="AP109" i="1"/>
  <c r="AO109" i="1"/>
  <c r="W109" i="1" s="1"/>
  <c r="AK109" i="1"/>
  <c r="H109" i="1"/>
  <c r="AR108" i="1"/>
  <c r="AQ108" i="1"/>
  <c r="AP108" i="1"/>
  <c r="AO108" i="1"/>
  <c r="W108" i="1" s="1"/>
  <c r="AK108" i="1"/>
  <c r="H108" i="1"/>
  <c r="AU108" i="1" s="1"/>
  <c r="AR107" i="1"/>
  <c r="AQ107" i="1"/>
  <c r="AP107" i="1"/>
  <c r="AO107" i="1"/>
  <c r="W107" i="1" s="1"/>
  <c r="AK107" i="1"/>
  <c r="H107" i="1"/>
  <c r="AU107" i="1" s="1"/>
  <c r="AR106" i="1"/>
  <c r="AQ106" i="1"/>
  <c r="AP106" i="1"/>
  <c r="AO106" i="1"/>
  <c r="W106" i="1" s="1"/>
  <c r="AK106" i="1"/>
  <c r="H106" i="1"/>
  <c r="AR105" i="1"/>
  <c r="AQ105" i="1"/>
  <c r="AP105" i="1"/>
  <c r="AO105" i="1"/>
  <c r="W105" i="1" s="1"/>
  <c r="AK105" i="1"/>
  <c r="H105" i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AR103" i="1"/>
  <c r="AQ103" i="1"/>
  <c r="AP103" i="1"/>
  <c r="AO103" i="1"/>
  <c r="W103" i="1" s="1"/>
  <c r="AK103" i="1"/>
  <c r="H103" i="1"/>
  <c r="AR102" i="1"/>
  <c r="AQ102" i="1"/>
  <c r="AP102" i="1"/>
  <c r="AO102" i="1"/>
  <c r="W102" i="1" s="1"/>
  <c r="AK102" i="1"/>
  <c r="H102" i="1"/>
  <c r="AR101" i="1"/>
  <c r="AQ101" i="1"/>
  <c r="AP101" i="1"/>
  <c r="AO101" i="1"/>
  <c r="W101" i="1" s="1"/>
  <c r="AK101" i="1"/>
  <c r="H101" i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AV99" i="1"/>
  <c r="AS99" i="1" s="1"/>
  <c r="AU99" i="1"/>
  <c r="AT99" i="1" s="1"/>
  <c r="AR99" i="1"/>
  <c r="AQ99" i="1"/>
  <c r="AP99" i="1"/>
  <c r="AO99" i="1"/>
  <c r="W99" i="1" s="1"/>
  <c r="AK99" i="1"/>
  <c r="H99" i="1"/>
  <c r="AU98" i="1"/>
  <c r="AR98" i="1"/>
  <c r="AQ98" i="1"/>
  <c r="AP98" i="1"/>
  <c r="AO98" i="1"/>
  <c r="W98" i="1" s="1"/>
  <c r="AK98" i="1"/>
  <c r="H98" i="1"/>
  <c r="AU97" i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AV95" i="1"/>
  <c r="AS95" i="1" s="1"/>
  <c r="AU95" i="1"/>
  <c r="AT95" i="1" s="1"/>
  <c r="AR95" i="1"/>
  <c r="AQ95" i="1"/>
  <c r="AP95" i="1"/>
  <c r="AO95" i="1"/>
  <c r="W95" i="1" s="1"/>
  <c r="AK95" i="1"/>
  <c r="H95" i="1"/>
  <c r="AU94" i="1"/>
  <c r="AR94" i="1"/>
  <c r="AQ94" i="1"/>
  <c r="AP94" i="1"/>
  <c r="AO94" i="1"/>
  <c r="W94" i="1" s="1"/>
  <c r="AK94" i="1"/>
  <c r="H94" i="1"/>
  <c r="AV93" i="1"/>
  <c r="AS93" i="1" s="1"/>
  <c r="AU93" i="1"/>
  <c r="AT93" i="1" s="1"/>
  <c r="AR93" i="1"/>
  <c r="AQ93" i="1"/>
  <c r="AP93" i="1"/>
  <c r="AO93" i="1"/>
  <c r="W93" i="1" s="1"/>
  <c r="AK93" i="1"/>
  <c r="H93" i="1"/>
  <c r="AV92" i="1"/>
  <c r="AS92" i="1" s="1"/>
  <c r="AU92" i="1"/>
  <c r="AT92" i="1" s="1"/>
  <c r="AR92" i="1"/>
  <c r="AQ92" i="1"/>
  <c r="AP92" i="1"/>
  <c r="AO92" i="1"/>
  <c r="W92" i="1" s="1"/>
  <c r="AK92" i="1"/>
  <c r="H92" i="1"/>
  <c r="AU91" i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AV89" i="1"/>
  <c r="AS89" i="1" s="1"/>
  <c r="AU89" i="1"/>
  <c r="AT89" i="1" s="1"/>
  <c r="AR89" i="1"/>
  <c r="AQ89" i="1"/>
  <c r="AP89" i="1"/>
  <c r="AO89" i="1"/>
  <c r="W89" i="1" s="1"/>
  <c r="AK89" i="1"/>
  <c r="H89" i="1"/>
  <c r="AU88" i="1"/>
  <c r="AR88" i="1"/>
  <c r="AQ88" i="1"/>
  <c r="AP88" i="1"/>
  <c r="AO88" i="1"/>
  <c r="W88" i="1" s="1"/>
  <c r="AK88" i="1"/>
  <c r="H88" i="1"/>
  <c r="AU87" i="1"/>
  <c r="AR87" i="1"/>
  <c r="AQ87" i="1"/>
  <c r="AP87" i="1"/>
  <c r="AO87" i="1"/>
  <c r="W87" i="1" s="1"/>
  <c r="AK87" i="1"/>
  <c r="H87" i="1"/>
  <c r="AV86" i="1"/>
  <c r="AS86" i="1" s="1"/>
  <c r="AU86" i="1"/>
  <c r="AT86" i="1" s="1"/>
  <c r="AR86" i="1"/>
  <c r="AQ86" i="1"/>
  <c r="AP86" i="1"/>
  <c r="AO86" i="1"/>
  <c r="W86" i="1" s="1"/>
  <c r="AK86" i="1"/>
  <c r="H86" i="1"/>
  <c r="AU85" i="1"/>
  <c r="AR85" i="1"/>
  <c r="AQ85" i="1"/>
  <c r="AP85" i="1"/>
  <c r="AO85" i="1"/>
  <c r="W85" i="1" s="1"/>
  <c r="AK85" i="1"/>
  <c r="H85" i="1"/>
  <c r="AU84" i="1"/>
  <c r="AR84" i="1"/>
  <c r="AQ84" i="1"/>
  <c r="AP84" i="1"/>
  <c r="AO84" i="1"/>
  <c r="W84" i="1" s="1"/>
  <c r="AK84" i="1"/>
  <c r="H84" i="1"/>
  <c r="AU83" i="1"/>
  <c r="AR83" i="1"/>
  <c r="AQ83" i="1"/>
  <c r="AP83" i="1"/>
  <c r="AO83" i="1"/>
  <c r="W83" i="1" s="1"/>
  <c r="AK83" i="1"/>
  <c r="H83" i="1"/>
  <c r="AU82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V81" i="1" s="1"/>
  <c r="AS81" i="1" s="1"/>
  <c r="AU80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AR78" i="1"/>
  <c r="AQ78" i="1"/>
  <c r="AP78" i="1"/>
  <c r="AO78" i="1"/>
  <c r="W78" i="1" s="1"/>
  <c r="AK78" i="1"/>
  <c r="H78" i="1"/>
  <c r="AR77" i="1"/>
  <c r="AQ77" i="1"/>
  <c r="AP77" i="1"/>
  <c r="AO77" i="1"/>
  <c r="W77" i="1" s="1"/>
  <c r="AK77" i="1"/>
  <c r="H77" i="1"/>
  <c r="AR76" i="1"/>
  <c r="AQ76" i="1"/>
  <c r="AP76" i="1"/>
  <c r="AO76" i="1"/>
  <c r="W76" i="1" s="1"/>
  <c r="AK76" i="1"/>
  <c r="H76" i="1"/>
  <c r="AR75" i="1"/>
  <c r="AQ75" i="1"/>
  <c r="AP75" i="1"/>
  <c r="AO75" i="1"/>
  <c r="W75" i="1" s="1"/>
  <c r="AK75" i="1"/>
  <c r="H75" i="1"/>
  <c r="AR74" i="1"/>
  <c r="AQ74" i="1"/>
  <c r="AP74" i="1"/>
  <c r="AO74" i="1"/>
  <c r="W74" i="1" s="1"/>
  <c r="AK74" i="1"/>
  <c r="H74" i="1"/>
  <c r="AR73" i="1"/>
  <c r="AQ73" i="1"/>
  <c r="AP73" i="1"/>
  <c r="AO73" i="1"/>
  <c r="W73" i="1" s="1"/>
  <c r="AK73" i="1"/>
  <c r="H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AR66" i="1"/>
  <c r="AQ66" i="1"/>
  <c r="AP66" i="1"/>
  <c r="AO66" i="1"/>
  <c r="W66" i="1" s="1"/>
  <c r="AK66" i="1"/>
  <c r="H66" i="1"/>
  <c r="AU66" i="1" s="1"/>
  <c r="AR65" i="1"/>
  <c r="AQ65" i="1"/>
  <c r="AP65" i="1"/>
  <c r="AO65" i="1"/>
  <c r="W65" i="1" s="1"/>
  <c r="AK65" i="1"/>
  <c r="H65" i="1"/>
  <c r="AR64" i="1"/>
  <c r="AQ64" i="1"/>
  <c r="AP64" i="1"/>
  <c r="AO64" i="1"/>
  <c r="W64" i="1" s="1"/>
  <c r="AK64" i="1"/>
  <c r="H64" i="1"/>
  <c r="AU64" i="1" s="1"/>
  <c r="AR63" i="1"/>
  <c r="AQ63" i="1"/>
  <c r="AP63" i="1"/>
  <c r="AO63" i="1"/>
  <c r="W63" i="1" s="1"/>
  <c r="AK63" i="1"/>
  <c r="H63" i="1"/>
  <c r="AU63" i="1" s="1"/>
  <c r="AR62" i="1"/>
  <c r="AQ62" i="1"/>
  <c r="AP62" i="1"/>
  <c r="AO62" i="1"/>
  <c r="W62" i="1" s="1"/>
  <c r="AK62" i="1"/>
  <c r="H62" i="1"/>
  <c r="AR61" i="1"/>
  <c r="AQ61" i="1"/>
  <c r="AP61" i="1"/>
  <c r="AO61" i="1"/>
  <c r="W61" i="1" s="1"/>
  <c r="AK61" i="1"/>
  <c r="H61" i="1"/>
  <c r="AR60" i="1"/>
  <c r="AQ60" i="1"/>
  <c r="AP60" i="1"/>
  <c r="AO60" i="1"/>
  <c r="W60" i="1" s="1"/>
  <c r="AK60" i="1"/>
  <c r="H60" i="1"/>
  <c r="AR59" i="1"/>
  <c r="AQ59" i="1"/>
  <c r="AP59" i="1"/>
  <c r="AO59" i="1"/>
  <c r="W59" i="1" s="1"/>
  <c r="AK59" i="1"/>
  <c r="H59" i="1"/>
  <c r="AR58" i="1"/>
  <c r="AQ58" i="1"/>
  <c r="AP58" i="1"/>
  <c r="AO58" i="1"/>
  <c r="W58" i="1" s="1"/>
  <c r="AK58" i="1"/>
  <c r="H58" i="1"/>
  <c r="AU58" i="1" s="1"/>
  <c r="AR57" i="1"/>
  <c r="AQ57" i="1"/>
  <c r="AP57" i="1"/>
  <c r="AO57" i="1"/>
  <c r="W57" i="1" s="1"/>
  <c r="AK57" i="1"/>
  <c r="H57" i="1"/>
  <c r="AU57" i="1" s="1"/>
  <c r="AR56" i="1"/>
  <c r="AQ56" i="1"/>
  <c r="AP56" i="1"/>
  <c r="AO56" i="1"/>
  <c r="W56" i="1" s="1"/>
  <c r="AK56" i="1"/>
  <c r="H56" i="1"/>
  <c r="AV55" i="1"/>
  <c r="AS55" i="1" s="1"/>
  <c r="AU55" i="1"/>
  <c r="AT55" i="1" s="1"/>
  <c r="AR55" i="1"/>
  <c r="AQ55" i="1"/>
  <c r="AP55" i="1"/>
  <c r="AO55" i="1"/>
  <c r="W55" i="1" s="1"/>
  <c r="AK55" i="1"/>
  <c r="H55" i="1"/>
  <c r="AV54" i="1"/>
  <c r="AU54" i="1"/>
  <c r="AT54" i="1" s="1"/>
  <c r="AR54" i="1"/>
  <c r="AQ54" i="1"/>
  <c r="AP54" i="1"/>
  <c r="AO54" i="1"/>
  <c r="W54" i="1" s="1"/>
  <c r="AK54" i="1"/>
  <c r="H54" i="1"/>
  <c r="AV53" i="1"/>
  <c r="AU53" i="1"/>
  <c r="AT53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AV51" i="1"/>
  <c r="AS51" i="1" s="1"/>
  <c r="AU51" i="1"/>
  <c r="AT51" i="1" s="1"/>
  <c r="AR51" i="1"/>
  <c r="AQ51" i="1"/>
  <c r="AP51" i="1"/>
  <c r="AO51" i="1"/>
  <c r="W51" i="1" s="1"/>
  <c r="AK51" i="1"/>
  <c r="H51" i="1"/>
  <c r="AU50" i="1"/>
  <c r="AR50" i="1"/>
  <c r="AQ50" i="1"/>
  <c r="AP50" i="1"/>
  <c r="AO50" i="1"/>
  <c r="W50" i="1" s="1"/>
  <c r="AK50" i="1"/>
  <c r="H50" i="1"/>
  <c r="AR49" i="1"/>
  <c r="AQ49" i="1"/>
  <c r="AP49" i="1"/>
  <c r="AO49" i="1"/>
  <c r="W49" i="1" s="1"/>
  <c r="AK49" i="1"/>
  <c r="H49" i="1"/>
  <c r="AR48" i="1"/>
  <c r="AQ48" i="1"/>
  <c r="AP48" i="1"/>
  <c r="AO48" i="1"/>
  <c r="W48" i="1" s="1"/>
  <c r="AK48" i="1"/>
  <c r="H48" i="1"/>
  <c r="AR47" i="1"/>
  <c r="AQ47" i="1"/>
  <c r="AP47" i="1"/>
  <c r="AO47" i="1"/>
  <c r="W47" i="1" s="1"/>
  <c r="AK47" i="1"/>
  <c r="H47" i="1"/>
  <c r="AR46" i="1"/>
  <c r="AQ46" i="1"/>
  <c r="AP46" i="1"/>
  <c r="AO46" i="1"/>
  <c r="W46" i="1" s="1"/>
  <c r="AK46" i="1"/>
  <c r="H46" i="1"/>
  <c r="AR45" i="1"/>
  <c r="AQ45" i="1"/>
  <c r="AP45" i="1"/>
  <c r="AO45" i="1"/>
  <c r="W45" i="1" s="1"/>
  <c r="AK45" i="1"/>
  <c r="H45" i="1"/>
  <c r="AR44" i="1"/>
  <c r="AQ44" i="1"/>
  <c r="AP44" i="1"/>
  <c r="AO44" i="1"/>
  <c r="W44" i="1" s="1"/>
  <c r="AK44" i="1"/>
  <c r="H44" i="1"/>
  <c r="AR43" i="1"/>
  <c r="AQ43" i="1"/>
  <c r="AP43" i="1"/>
  <c r="AO43" i="1"/>
  <c r="W43" i="1" s="1"/>
  <c r="AK43" i="1"/>
  <c r="H43" i="1"/>
  <c r="AR42" i="1"/>
  <c r="AQ42" i="1"/>
  <c r="AP42" i="1"/>
  <c r="AO42" i="1"/>
  <c r="W42" i="1" s="1"/>
  <c r="AK42" i="1"/>
  <c r="H42" i="1"/>
  <c r="AR41" i="1"/>
  <c r="AQ41" i="1"/>
  <c r="AP41" i="1"/>
  <c r="AO41" i="1"/>
  <c r="W41" i="1" s="1"/>
  <c r="AK41" i="1"/>
  <c r="H41" i="1"/>
  <c r="AR40" i="1"/>
  <c r="AQ40" i="1"/>
  <c r="AP40" i="1"/>
  <c r="AO40" i="1"/>
  <c r="W40" i="1" s="1"/>
  <c r="AK40" i="1"/>
  <c r="H40" i="1"/>
  <c r="AR39" i="1"/>
  <c r="AQ39" i="1"/>
  <c r="AP39" i="1"/>
  <c r="AO39" i="1"/>
  <c r="W39" i="1" s="1"/>
  <c r="AK39" i="1"/>
  <c r="H39" i="1"/>
  <c r="AR38" i="1"/>
  <c r="AQ38" i="1"/>
  <c r="AP38" i="1"/>
  <c r="AO38" i="1"/>
  <c r="W38" i="1" s="1"/>
  <c r="AK38" i="1"/>
  <c r="H38" i="1"/>
  <c r="AR37" i="1"/>
  <c r="AQ37" i="1"/>
  <c r="AP37" i="1"/>
  <c r="AO37" i="1"/>
  <c r="W37" i="1" s="1"/>
  <c r="AK37" i="1"/>
  <c r="X37" i="1"/>
  <c r="Q37" i="1"/>
  <c r="H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AT115" i="1" l="1"/>
  <c r="S115" i="1"/>
  <c r="T115" i="1" s="1"/>
  <c r="AV115" i="1"/>
  <c r="AS115" i="1" s="1"/>
  <c r="AT80" i="1"/>
  <c r="S80" i="1"/>
  <c r="T80" i="1" s="1"/>
  <c r="AV80" i="1"/>
  <c r="AS80" i="1" s="1"/>
  <c r="AT35" i="1"/>
  <c r="S35" i="1"/>
  <c r="T35" i="1" s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S37" i="1"/>
  <c r="T37" i="1" s="1"/>
  <c r="AV37" i="1"/>
  <c r="AS37" i="1" s="1"/>
  <c r="AU37" i="1"/>
  <c r="AT37" i="1" s="1"/>
  <c r="R68" i="1"/>
  <c r="S68" i="1"/>
  <c r="T68" i="1" s="1"/>
  <c r="Z68" i="1"/>
  <c r="AI68" i="1" s="1"/>
  <c r="S69" i="1"/>
  <c r="T69" i="1" s="1"/>
  <c r="R69" i="1"/>
  <c r="Z69" i="1"/>
  <c r="AI69" i="1" s="1"/>
  <c r="S70" i="1"/>
  <c r="T70" i="1" s="1"/>
  <c r="Z70" i="1"/>
  <c r="AI70" i="1" s="1"/>
  <c r="R70" i="1"/>
  <c r="S127" i="1"/>
  <c r="T127" i="1" s="1"/>
  <c r="R127" i="1"/>
  <c r="Z127" i="1"/>
  <c r="AI127" i="1" s="1"/>
  <c r="S126" i="1"/>
  <c r="T126" i="1" s="1"/>
  <c r="R126" i="1"/>
  <c r="Z126" i="1"/>
  <c r="AI126" i="1" s="1"/>
  <c r="S125" i="1"/>
  <c r="T125" i="1" s="1"/>
  <c r="Z125" i="1"/>
  <c r="AI125" i="1" s="1"/>
  <c r="R125" i="1"/>
  <c r="Z124" i="1"/>
  <c r="AI124" i="1" s="1"/>
  <c r="S124" i="1"/>
  <c r="T124" i="1" s="1"/>
  <c r="R124" i="1"/>
  <c r="S123" i="1"/>
  <c r="T123" i="1" s="1"/>
  <c r="R123" i="1"/>
  <c r="Z123" i="1"/>
  <c r="AI123" i="1" s="1"/>
  <c r="Z122" i="1"/>
  <c r="AI122" i="1" s="1"/>
  <c r="S122" i="1"/>
  <c r="T122" i="1" s="1"/>
  <c r="R122" i="1"/>
  <c r="S121" i="1"/>
  <c r="T121" i="1" s="1"/>
  <c r="R121" i="1"/>
  <c r="Z121" i="1"/>
  <c r="AI121" i="1" s="1"/>
  <c r="S120" i="1"/>
  <c r="T120" i="1" s="1"/>
  <c r="R120" i="1"/>
  <c r="Z120" i="1"/>
  <c r="AI120" i="1" s="1"/>
  <c r="R119" i="1"/>
  <c r="Z119" i="1"/>
  <c r="AI119" i="1" s="1"/>
  <c r="S119" i="1"/>
  <c r="T119" i="1" s="1"/>
  <c r="R118" i="1"/>
  <c r="S118" i="1"/>
  <c r="T118" i="1" s="1"/>
  <c r="Z118" i="1"/>
  <c r="AI118" i="1" s="1"/>
  <c r="S117" i="1"/>
  <c r="T117" i="1" s="1"/>
  <c r="R117" i="1"/>
  <c r="Z117" i="1"/>
  <c r="AI117" i="1" s="1"/>
  <c r="Z116" i="1"/>
  <c r="AI116" i="1" s="1"/>
  <c r="R116" i="1"/>
  <c r="S116" i="1"/>
  <c r="T116" i="1" s="1"/>
  <c r="R114" i="1"/>
  <c r="S114" i="1"/>
  <c r="T114" i="1" s="1"/>
  <c r="Z114" i="1"/>
  <c r="AI114" i="1" s="1"/>
  <c r="S113" i="1"/>
  <c r="T113" i="1" s="1"/>
  <c r="R113" i="1"/>
  <c r="Z113" i="1"/>
  <c r="AI113" i="1" s="1"/>
  <c r="Z112" i="1"/>
  <c r="AI112" i="1" s="1"/>
  <c r="S112" i="1"/>
  <c r="T112" i="1" s="1"/>
  <c r="R112" i="1"/>
  <c r="R111" i="1"/>
  <c r="S111" i="1"/>
  <c r="T111" i="1" s="1"/>
  <c r="Z111" i="1"/>
  <c r="AI111" i="1" s="1"/>
  <c r="Z110" i="1"/>
  <c r="AI110" i="1" s="1"/>
  <c r="R110" i="1"/>
  <c r="S110" i="1"/>
  <c r="T110" i="1" s="1"/>
  <c r="Z109" i="1"/>
  <c r="AI109" i="1" s="1"/>
  <c r="S109" i="1"/>
  <c r="T109" i="1" s="1"/>
  <c r="R109" i="1"/>
  <c r="S108" i="1"/>
  <c r="T108" i="1" s="1"/>
  <c r="R108" i="1"/>
  <c r="Z108" i="1"/>
  <c r="AI108" i="1" s="1"/>
  <c r="S107" i="1"/>
  <c r="T107" i="1" s="1"/>
  <c r="Z107" i="1"/>
  <c r="AI107" i="1" s="1"/>
  <c r="R107" i="1"/>
  <c r="Z106" i="1"/>
  <c r="AI106" i="1" s="1"/>
  <c r="S106" i="1"/>
  <c r="T106" i="1" s="1"/>
  <c r="R106" i="1"/>
  <c r="Z105" i="1"/>
  <c r="AI105" i="1" s="1"/>
  <c r="S105" i="1"/>
  <c r="T105" i="1" s="1"/>
  <c r="R105" i="1"/>
  <c r="Z104" i="1"/>
  <c r="AI104" i="1" s="1"/>
  <c r="R104" i="1"/>
  <c r="S104" i="1"/>
  <c r="T104" i="1" s="1"/>
  <c r="R103" i="1"/>
  <c r="S103" i="1"/>
  <c r="T103" i="1" s="1"/>
  <c r="Z103" i="1"/>
  <c r="AI103" i="1" s="1"/>
  <c r="Z102" i="1"/>
  <c r="AI102" i="1" s="1"/>
  <c r="R102" i="1"/>
  <c r="S102" i="1"/>
  <c r="T102" i="1" s="1"/>
  <c r="S101" i="1"/>
  <c r="T101" i="1" s="1"/>
  <c r="R101" i="1"/>
  <c r="Z101" i="1"/>
  <c r="AI101" i="1" s="1"/>
  <c r="Z100" i="1"/>
  <c r="AI100" i="1" s="1"/>
  <c r="S100" i="1"/>
  <c r="T100" i="1" s="1"/>
  <c r="R100" i="1"/>
  <c r="S99" i="1"/>
  <c r="T99" i="1" s="1"/>
  <c r="R99" i="1"/>
  <c r="Z99" i="1"/>
  <c r="AI99" i="1" s="1"/>
  <c r="Z98" i="1"/>
  <c r="AI98" i="1" s="1"/>
  <c r="S98" i="1"/>
  <c r="T98" i="1" s="1"/>
  <c r="R98" i="1"/>
  <c r="R97" i="1"/>
  <c r="S97" i="1"/>
  <c r="T97" i="1" s="1"/>
  <c r="Z97" i="1"/>
  <c r="AI97" i="1" s="1"/>
  <c r="Z96" i="1"/>
  <c r="AI96" i="1" s="1"/>
  <c r="R96" i="1"/>
  <c r="S96" i="1"/>
  <c r="T96" i="1" s="1"/>
  <c r="R95" i="1"/>
  <c r="Z95" i="1"/>
  <c r="AI95" i="1" s="1"/>
  <c r="S95" i="1"/>
  <c r="T95" i="1" s="1"/>
  <c r="AV94" i="1"/>
  <c r="AS94" i="1" s="1"/>
  <c r="Z94" i="1"/>
  <c r="AI94" i="1" s="1"/>
  <c r="R94" i="1"/>
  <c r="S94" i="1"/>
  <c r="T94" i="1" s="1"/>
  <c r="S93" i="1"/>
  <c r="T93" i="1" s="1"/>
  <c r="Z93" i="1"/>
  <c r="AI93" i="1" s="1"/>
  <c r="R93" i="1"/>
  <c r="R92" i="1"/>
  <c r="S92" i="1"/>
  <c r="T92" i="1" s="1"/>
  <c r="Z92" i="1"/>
  <c r="AI92" i="1" s="1"/>
  <c r="R91" i="1"/>
  <c r="Z91" i="1"/>
  <c r="AI91" i="1" s="1"/>
  <c r="S91" i="1"/>
  <c r="T91" i="1" s="1"/>
  <c r="R90" i="1"/>
  <c r="S90" i="1"/>
  <c r="T90" i="1" s="1"/>
  <c r="Z90" i="1"/>
  <c r="AI90" i="1" s="1"/>
  <c r="S89" i="1"/>
  <c r="T89" i="1" s="1"/>
  <c r="Z89" i="1"/>
  <c r="AI89" i="1" s="1"/>
  <c r="R89" i="1"/>
  <c r="R88" i="1"/>
  <c r="S88" i="1"/>
  <c r="T88" i="1" s="1"/>
  <c r="Z88" i="1"/>
  <c r="AI88" i="1" s="1"/>
  <c r="R87" i="1"/>
  <c r="Z87" i="1"/>
  <c r="AI87" i="1" s="1"/>
  <c r="S87" i="1"/>
  <c r="T87" i="1" s="1"/>
  <c r="Z86" i="1"/>
  <c r="AI86" i="1" s="1"/>
  <c r="R86" i="1"/>
  <c r="S86" i="1"/>
  <c r="T86" i="1" s="1"/>
  <c r="Z85" i="1"/>
  <c r="AI85" i="1" s="1"/>
  <c r="S85" i="1"/>
  <c r="T85" i="1" s="1"/>
  <c r="R85" i="1"/>
  <c r="Z84" i="1"/>
  <c r="AI84" i="1" s="1"/>
  <c r="R84" i="1"/>
  <c r="S84" i="1"/>
  <c r="T84" i="1" s="1"/>
  <c r="Z83" i="1"/>
  <c r="AI83" i="1" s="1"/>
  <c r="S83" i="1"/>
  <c r="T83" i="1" s="1"/>
  <c r="R83" i="1"/>
  <c r="R82" i="1"/>
  <c r="Z82" i="1"/>
  <c r="AI82" i="1" s="1"/>
  <c r="S82" i="1"/>
  <c r="T82" i="1" s="1"/>
  <c r="Z81" i="1"/>
  <c r="AI81" i="1" s="1"/>
  <c r="S81" i="1"/>
  <c r="T81" i="1" s="1"/>
  <c r="R81" i="1"/>
  <c r="Z79" i="1"/>
  <c r="AI79" i="1" s="1"/>
  <c r="R79" i="1"/>
  <c r="S79" i="1"/>
  <c r="T79" i="1" s="1"/>
  <c r="R78" i="1"/>
  <c r="S78" i="1"/>
  <c r="T78" i="1" s="1"/>
  <c r="Z78" i="1"/>
  <c r="AI78" i="1" s="1"/>
  <c r="R77" i="1"/>
  <c r="Z77" i="1"/>
  <c r="AI77" i="1" s="1"/>
  <c r="S77" i="1"/>
  <c r="T77" i="1" s="1"/>
  <c r="R76" i="1"/>
  <c r="Z76" i="1"/>
  <c r="AI76" i="1" s="1"/>
  <c r="S76" i="1"/>
  <c r="T76" i="1" s="1"/>
  <c r="Z75" i="1"/>
  <c r="AI75" i="1" s="1"/>
  <c r="R75" i="1"/>
  <c r="S75" i="1"/>
  <c r="T75" i="1" s="1"/>
  <c r="Z74" i="1"/>
  <c r="AI74" i="1" s="1"/>
  <c r="R74" i="1"/>
  <c r="S74" i="1"/>
  <c r="T74" i="1" s="1"/>
  <c r="Z73" i="1"/>
  <c r="AI73" i="1" s="1"/>
  <c r="R73" i="1"/>
  <c r="S73" i="1"/>
  <c r="T73" i="1" s="1"/>
  <c r="Z71" i="1"/>
  <c r="AI71" i="1" s="1"/>
  <c r="R71" i="1"/>
  <c r="S71" i="1"/>
  <c r="T71" i="1" s="1"/>
  <c r="Z67" i="1"/>
  <c r="AI67" i="1" s="1"/>
  <c r="S67" i="1"/>
  <c r="T67" i="1" s="1"/>
  <c r="R67" i="1"/>
  <c r="R66" i="1"/>
  <c r="S66" i="1"/>
  <c r="T66" i="1" s="1"/>
  <c r="Z66" i="1"/>
  <c r="AI66" i="1" s="1"/>
  <c r="S65" i="1"/>
  <c r="T65" i="1" s="1"/>
  <c r="R65" i="1"/>
  <c r="Z65" i="1"/>
  <c r="AI65" i="1" s="1"/>
  <c r="R64" i="1"/>
  <c r="S64" i="1"/>
  <c r="T64" i="1" s="1"/>
  <c r="Z64" i="1"/>
  <c r="AI64" i="1" s="1"/>
  <c r="R63" i="1"/>
  <c r="S63" i="1"/>
  <c r="T63" i="1" s="1"/>
  <c r="Z63" i="1"/>
  <c r="AI63" i="1" s="1"/>
  <c r="R62" i="1"/>
  <c r="S62" i="1"/>
  <c r="T62" i="1" s="1"/>
  <c r="Z62" i="1"/>
  <c r="AI62" i="1" s="1"/>
  <c r="R61" i="1"/>
  <c r="S61" i="1"/>
  <c r="T61" i="1" s="1"/>
  <c r="Z61" i="1"/>
  <c r="AI61" i="1" s="1"/>
  <c r="S60" i="1"/>
  <c r="T60" i="1" s="1"/>
  <c r="R60" i="1"/>
  <c r="Z60" i="1"/>
  <c r="AI60" i="1" s="1"/>
  <c r="R59" i="1"/>
  <c r="S59" i="1"/>
  <c r="T59" i="1" s="1"/>
  <c r="Z59" i="1"/>
  <c r="AI59" i="1" s="1"/>
  <c r="Z58" i="1"/>
  <c r="AI58" i="1" s="1"/>
  <c r="R58" i="1"/>
  <c r="S58" i="1"/>
  <c r="T58" i="1" s="1"/>
  <c r="Z57" i="1"/>
  <c r="AI57" i="1" s="1"/>
  <c r="R57" i="1"/>
  <c r="S57" i="1"/>
  <c r="T57" i="1" s="1"/>
  <c r="R56" i="1"/>
  <c r="Z56" i="1"/>
  <c r="AI56" i="1" s="1"/>
  <c r="S56" i="1"/>
  <c r="T56" i="1" s="1"/>
  <c r="R55" i="1"/>
  <c r="S55" i="1"/>
  <c r="T55" i="1" s="1"/>
  <c r="Z55" i="1"/>
  <c r="AI55" i="1" s="1"/>
  <c r="R54" i="1"/>
  <c r="S54" i="1"/>
  <c r="T54" i="1" s="1"/>
  <c r="Z54" i="1"/>
  <c r="AI54" i="1" s="1"/>
  <c r="S53" i="1"/>
  <c r="T53" i="1" s="1"/>
  <c r="R53" i="1"/>
  <c r="Z53" i="1"/>
  <c r="AI53" i="1" s="1"/>
  <c r="S52" i="1"/>
  <c r="T52" i="1" s="1"/>
  <c r="R52" i="1"/>
  <c r="Z52" i="1"/>
  <c r="AI52" i="1" s="1"/>
  <c r="R51" i="1"/>
  <c r="Z51" i="1"/>
  <c r="AI51" i="1" s="1"/>
  <c r="S51" i="1"/>
  <c r="T51" i="1" s="1"/>
  <c r="R50" i="1"/>
  <c r="S50" i="1"/>
  <c r="T50" i="1" s="1"/>
  <c r="Z50" i="1"/>
  <c r="AI50" i="1" s="1"/>
  <c r="R49" i="1"/>
  <c r="Z49" i="1"/>
  <c r="AI49" i="1" s="1"/>
  <c r="S49" i="1"/>
  <c r="T49" i="1" s="1"/>
  <c r="R48" i="1"/>
  <c r="S48" i="1"/>
  <c r="T48" i="1" s="1"/>
  <c r="Z48" i="1"/>
  <c r="AI48" i="1" s="1"/>
  <c r="R47" i="1"/>
  <c r="S47" i="1"/>
  <c r="T47" i="1" s="1"/>
  <c r="Z47" i="1"/>
  <c r="AI47" i="1" s="1"/>
  <c r="Z46" i="1"/>
  <c r="AI46" i="1" s="1"/>
  <c r="R46" i="1"/>
  <c r="S46" i="1"/>
  <c r="T46" i="1" s="1"/>
  <c r="Z45" i="1"/>
  <c r="AI45" i="1" s="1"/>
  <c r="R45" i="1"/>
  <c r="S45" i="1"/>
  <c r="T45" i="1" s="1"/>
  <c r="S44" i="1"/>
  <c r="T44" i="1" s="1"/>
  <c r="Z44" i="1"/>
  <c r="AI44" i="1" s="1"/>
  <c r="R44" i="1"/>
  <c r="R43" i="1"/>
  <c r="S43" i="1"/>
  <c r="T43" i="1" s="1"/>
  <c r="Z43" i="1"/>
  <c r="AI43" i="1" s="1"/>
  <c r="Z42" i="1"/>
  <c r="AI42" i="1" s="1"/>
  <c r="R42" i="1"/>
  <c r="S42" i="1"/>
  <c r="T42" i="1" s="1"/>
  <c r="Z41" i="1"/>
  <c r="AI41" i="1" s="1"/>
  <c r="R41" i="1"/>
  <c r="S41" i="1"/>
  <c r="T41" i="1" s="1"/>
  <c r="Z40" i="1"/>
  <c r="AI40" i="1" s="1"/>
  <c r="R40" i="1"/>
  <c r="S40" i="1"/>
  <c r="T40" i="1" s="1"/>
  <c r="Z39" i="1"/>
  <c r="AI39" i="1" s="1"/>
  <c r="S39" i="1"/>
  <c r="T39" i="1" s="1"/>
  <c r="R39" i="1"/>
  <c r="Z38" i="1"/>
  <c r="AI38" i="1" s="1"/>
  <c r="S38" i="1"/>
  <c r="T38" i="1" s="1"/>
  <c r="R38" i="1"/>
  <c r="AT34" i="1"/>
  <c r="AT33" i="1"/>
  <c r="AT32" i="1"/>
  <c r="AT31" i="1"/>
  <c r="AT30" i="1"/>
  <c r="S34" i="1"/>
  <c r="T34" i="1" s="1"/>
  <c r="AV34" i="1"/>
  <c r="AS34" i="1" s="1"/>
  <c r="S33" i="1"/>
  <c r="T33" i="1" s="1"/>
  <c r="AV33" i="1"/>
  <c r="AS33" i="1" s="1"/>
  <c r="S32" i="1"/>
  <c r="T32" i="1" s="1"/>
  <c r="AV32" i="1"/>
  <c r="AS32" i="1" s="1"/>
  <c r="S31" i="1"/>
  <c r="T31" i="1" s="1"/>
  <c r="AV31" i="1"/>
  <c r="AS31" i="1" s="1"/>
  <c r="S30" i="1"/>
  <c r="T30" i="1" s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T28" i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<sst xmlns="http://schemas.openxmlformats.org/spreadsheetml/2006/main" count="28371" uniqueCount="4832">
  <si>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</si>
  <si>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</si>
  <si>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</si>
  <si>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</si>
  <si>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</si>
  <si>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</si>
  <si>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</si>
  <si>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</si>
  <si>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</si>
  <si>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</si>
  <si>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</si>
  <si>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</si>
  <si>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</si>
  <si>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</si>
  <si>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</si>
  <si>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</si>
  <si>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</si>
  <si>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</si>
  <si>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</si>
  <si>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</si>
  <si>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</si>
  <si>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</si>
  <si>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</si>
  <si>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</si>
  <si>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</si>
  <si>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</si>
  <si>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</si>
  <si>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</si>
  <si>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</si>
  <si>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</si>
  <si>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</si>
  <si>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</si>
  <si>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</si>
  <si>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</si>
  <si>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</si>
  <si>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</si>
  <si>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</si>
  <si>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</si>
  <si>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</si>
  <si>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</si>
  <si>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</si>
  <si>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</si>
  <si>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</si>
  <si>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</si>
  <si>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</si>
  <si>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</si>
  <si>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</si>
  <si>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</si>
  <si>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</si>
  <si>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</si>
  <si>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</si>
  <si>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</si>
  <si>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</si>
  <si>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</si>
  <si>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</si>
  <si>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</si>
  <si>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</si>
  <si>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</si>
  <si>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</si>
  <si>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</si>
  <si>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</si>
  <si>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</si>
  <si>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</si>
  <si>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</si>
  <si>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</si>
  <si>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</si>
  <si>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</si>
  <si>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</si>
  <si>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</si>
  <si>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</si>
  <si>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</si>
  <si>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</si>
  <si>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</si>
  <si>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</si>
  <si>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</si>
  <si>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</si>
  <si>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</si>
  <si>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</si>
  <si>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</si>
  <si>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</si>
  <si>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</si>
  <si>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</si>
  <si>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</si>
  <si>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</si>
  <si>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</si>
  <si>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</si>
  <si>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</si>
  <si>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</si>
  <si>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</si>
  <si>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</si>
  <si>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</si>
  <si>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</si>
  <si>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</si>
  <si>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</si>
  <si>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</si>
  <si>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</si>
  <si>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</si>
  <si>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</si>
  <si>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</si>
  <si>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</si>
  <si>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</si>
  <si>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</si>
  <si>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</si>
  <si>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</si>
  <si>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</si>
  <si>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</si>
  <si>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</si>
  <si>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</si>
  <si>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</si>
  <si>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</si>
  <si>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</si>
  <si>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</si>
  <si>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</si>
  <si>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</si>
  <si>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</si>
  <si>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</si>
  <si>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</si>
  <si>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</si>
  <si>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</si>
  <si>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</si>
  <si>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</si>
  <si>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</si>
  <si>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</si>
  <si>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</si>
  <si>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</si>
  <si>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</si>
  <si>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</si>
  <si>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</si>
  <si>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</si>
  <si>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</si>
  <si>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</si>
  <si>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</si>
  <si>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</si>
  <si>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</si>
  <si>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</si>
  <si>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</si>
  <si>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</si>
  <si>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</si>
  <si>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</si>
  <si>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</si>
  <si>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</si>
  <si>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</si>
  <si>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</si>
  <si>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</si>
  <si>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</si>
  <si>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</si>
  <si>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</si>
  <si>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</si>
  <si>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</si>
  <si>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</si>
  <si>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</si>
  <si>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</si>
  <si>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</si>
  <si>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</si>
  <si>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</si>
  <si>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</si>
  <si>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</si>
  <si>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</si>
  <si>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</si>
  <si>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</si>
  <si>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</si>
  <si>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</si>
  <si>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</si>
  <si>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</si>
  <si>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</si>
  <si>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</si>
  <si>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</si>
  <si>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</si>
  <si>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</si>
  <si>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</si>
  <si>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</si>
  <si>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</si>
  <si>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</si>
  <si>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</si>
  <si>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</si>
  <si>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</si>
  <si>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</si>
  <si>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</si>
  <si>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</si>
  <si>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</si>
  <si>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</si>
  <si>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</si>
  <si>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</si>
  <si>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</si>
  <si>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</si>
  <si>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</si>
  <si>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</si>
  <si>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</si>
  <si>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</si>
  <si>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</si>
  <si>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</si>
  <si>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</si>
  <si>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</si>
  <si>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</si>
  <si>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</si>
  <si>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</si>
  <si>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</si>
  <si>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</si>
  <si>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</si>
  <si>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</si>
  <si>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</si>
  <si>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</si>
  <si>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</si>
  <si>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</si>
  <si>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</si>
  <si>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</si>
  <si>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</si>
  <si>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</si>
  <si>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</si>
  <si>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</si>
  <si>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</si>
  <si>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</si>
  <si>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</si>
  <si>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</si>
  <si>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</si>
  <si>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</si>
  <si>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</si>
  <si>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</si>
  <si>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</si>
  <si>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</si>
  <si>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</si>
  <si>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</si>
  <si>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</si>
  <si>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</si>
  <si>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</si>
  <si>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</si>
  <si>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</si>
  <si>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</si>
  <si>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</si>
  <si>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</si>
  <si>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</si>
  <si>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</si>
  <si>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</si>
  <si>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</si>
  <si>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</si>
  <si>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</si>
  <si>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</si>
  <si>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</si>
  <si>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</si>
  <si>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</si>
  <si>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</si>
  <si>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</si>
  <si>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</si>
  <si>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</si>
  <si>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</si>
  <si>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</si>
  <si>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</si>
  <si>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</si>
  <si>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</si>
  <si>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</si>
  <si>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</si>
  <si>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</si>
  <si>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</si>
  <si>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</si>
  <si>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</si>
  <si>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</si>
  <si>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</si>
  <si>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</si>
  <si>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</si>
  <si>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</si>
  <si>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</si>
  <si>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</si>
  <si>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</si>
  <si>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</si>
  <si>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</si>
  <si>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</si>
  <si>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</si>
  <si>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</si>
  <si>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</si>
  <si>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</si>
  <si>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</si>
  <si>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</si>
  <si>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</si>
  <si>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</si>
  <si>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</si>
  <si>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</si>
  <si>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</si>
  <si>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</si>
  <si>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</si>
  <si>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</si>
  <si>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</si>
  <si>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</si>
  <si>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</si>
  <si>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</si>
  <si>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</si>
  <si>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</si>
  <si>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</si>
  <si>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</si>
  <si>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</si>
  <si>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</si>
  <si>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</si>
  <si>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</si>
  <si>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</si>
  <si>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</si>
  <si>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</si>
  <si>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</si>
  <si>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</si>
  <si>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</si>
  <si>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</si>
  <si>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</si>
  <si>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</si>
  <si>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</si>
  <si>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</si>
  <si>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</si>
  <si>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</si>
  <si>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</si>
  <si>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</si>
  <si>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</si>
  <si>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</si>
  <si>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</si>
  <si>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</si>
  <si>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</si>
  <si>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</si>
  <si>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</si>
  <si>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</si>
  <si>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</si>
  <si>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</si>
  <si>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</si>
  <si>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</si>
  <si>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</si>
  <si>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</si>
  <si>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</si>
  <si>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</si>
  <si>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</si>
  <si>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</si>
  <si>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</si>
  <si>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</si>
  <si>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</si>
  <si>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</si>
  <si>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</si>
  <si>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</si>
  <si>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</si>
  <si>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</si>
  <si>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</si>
  <si>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</si>
  <si>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</si>
  <si>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</si>
  <si>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</si>
  <si>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</si>
  <si>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</si>
  <si>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</si>
  <si>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</si>
  <si>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</si>
  <si>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</si>
  <si>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</si>
  <si>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</si>
  <si>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</si>
  <si>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</si>
  <si>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</si>
  <si>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</si>
  <si>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</si>
  <si>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</si>
  <si>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</si>
  <si>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</si>
  <si>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</si>
  <si>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</si>
  <si>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</si>
  <si>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</si>
  <si>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</si>
  <si>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</si>
  <si>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</si>
  <si>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</si>
  <si>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</si>
  <si>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</si>
  <si>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</si>
  <si>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</si>
  <si>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</si>
  <si>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</si>
  <si>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</si>
  <si>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</si>
  <si>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</si>
  <si>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</si>
  <si>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</si>
  <si>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</si>
  <si>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</si>
  <si>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</si>
  <si>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</si>
  <si>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</si>
  <si>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</si>
  <si>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</si>
  <si>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</si>
  <si>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</si>
  <si>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</si>
  <si>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</si>
  <si>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</si>
  <si>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</si>
  <si>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</si>
  <si>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</si>
  <si>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</si>
  <si>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</si>
  <si>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</si>
  <si>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</si>
  <si>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</si>
  <si>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</si>
  <si>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</si>
  <si>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</si>
  <si>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</si>
  <si>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</si>
  <si>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</si>
  <si>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</si>
  <si>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</si>
  <si>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</si>
  <si>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</si>
  <si>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</si>
  <si>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</si>
  <si>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</si>
  <si>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</si>
  <si>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</si>
  <si>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</si>
  <si>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</si>
  <si>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</si>
  <si>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</si>
  <si>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</si>
  <si>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</si>
  <si>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</si>
  <si>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</si>
  <si>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</si>
  <si>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</si>
  <si>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</si>
  <si>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</si>
  <si>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</si>
  <si>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</si>
  <si>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</si>
  <si>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</si>
  <si>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</si>
  <si>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</si>
  <si>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</si>
  <si>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</si>
  <si>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</si>
  <si>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</si>
  <si>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</si>
  <si>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</si>
  <si>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</si>
  <si>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</si>
  <si>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</si>
  <si>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</si>
  <si>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</si>
  <si>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</si>
  <si>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</si>
  <si>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</si>
  <si>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</si>
  <si>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</si>
  <si>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</si>
  <si>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</si>
  <si>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</si>
  <si>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</si>
  <si>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</si>
  <si>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</si>
  <si>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</si>
  <si>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</si>
  <si>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</si>
  <si>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</si>
  <si>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</si>
  <si>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</si>
  <si>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</si>
  <si>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</si>
  <si>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</si>
  <si>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</si>
  <si>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</si>
  <si>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</si>
  <si>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</si>
  <si>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</si>
  <si>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</si>
  <si>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</si>
  <si>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</si>
  <si>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</si>
  <si>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</si>
  <si>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</si>
  <si>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</si>
  <si>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</si>
  <si>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</si>
  <si>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</si>
  <si>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</si>
  <si>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</si>
  <si>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</si>
  <si>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</si>
  <si>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</si>
  <si>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</si>
  <si>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</si>
  <si>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</si>
  <si>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</si>
  <si>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</si>
  <si>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</si>
  <si>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</si>
  <si>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</si>
  <si>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</si>
  <si>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</si>
  <si>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</si>
  <si>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</si>
  <si>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</si>
  <si>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</si>
  <si>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</si>
  <si>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</si>
  <si>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</si>
  <si>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</si>
  <si>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</si>
  <si>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</si>
  <si>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</si>
  <si>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</si>
  <si>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</si>
  <si>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</si>
  <si>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</si>
  <si>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</si>
  <si>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</si>
  <si>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</si>
  <si>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</si>
  <si>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</si>
  <si>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</si>
  <si>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</si>
  <si>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</si>
  <si>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</si>
  <si>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</si>
  <si>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</si>
  <si>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</si>
  <si>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</si>
  <si>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</si>
  <si>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</si>
  <si>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</si>
  <si>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</si>
  <si>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</si>
  <si>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</si>
  <si>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</si>
  <si>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</si>
  <si>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</si>
  <si>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</si>
  <si>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</si>
  <si>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</si>
  <si>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</si>
  <si>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</si>
  <si>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</si>
  <si>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</si>
  <si>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</si>
  <si>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</si>
  <si>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</si>
  <si>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</si>
  <si>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</si>
  <si>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</si>
  <si>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</si>
  <si>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</si>
  <si>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</si>
  <si>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</si>
  <si>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</si>
  <si>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</si>
  <si>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</si>
  <si>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</si>
  <si>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</si>
  <si>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</si>
  <si>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</si>
  <si>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</si>
  <si>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</si>
  <si>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</si>
  <si>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</si>
  <si>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</si>
  <si>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</si>
  <si>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</si>
  <si>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</si>
  <si>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</si>
  <si>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</si>
  <si>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</si>
  <si>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</si>
  <si>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</si>
  <si>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</si>
  <si>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</si>
  <si>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</si>
  <si>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</si>
  <si>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</si>
  <si>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</si>
  <si>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</si>
  <si>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</si>
  <si>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</si>
  <si>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</si>
  <si>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</si>
  <si>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</si>
  <si>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</si>
  <si>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</si>
  <si>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</si>
  <si>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</si>
  <si>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</si>
  <si>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</si>
  <si>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</si>
  <si>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</si>
  <si>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</si>
  <si>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</si>
  <si>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</si>
  <si>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</si>
  <si>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</si>
  <si>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</si>
  <si>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</si>
  <si>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</si>
  <si>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</si>
  <si>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</si>
  <si>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</si>
  <si>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</si>
  <si>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</si>
  <si>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</si>
  <si>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</si>
  <si>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</si>
  <si>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</si>
  <si>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</si>
  <si>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</si>
  <si>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</si>
  <si>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</si>
  <si>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</si>
  <si>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</si>
  <si>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</si>
  <si>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</si>
  <si>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</si>
  <si>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</si>
  <si>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</si>
  <si>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</si>
  <si>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</si>
  <si>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</si>
  <si>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</si>
  <si>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</si>
  <si>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</si>
  <si>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</si>
  <si>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</si>
  <si>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</si>
  <si>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</si>
  <si>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</si>
  <si>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</si>
  <si>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</si>
  <si>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</si>
  <si>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</si>
  <si>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</si>
  <si>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</si>
  <si>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</si>
  <si>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</si>
  <si>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</si>
  <si>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</si>
  <si>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</si>
  <si>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</si>
  <si>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</si>
  <si>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</si>
  <si>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</si>
  <si>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</si>
  <si>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</si>
  <si>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</si>
  <si>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</si>
  <si>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</si>
  <si>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</si>
  <si>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</si>
  <si>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</si>
  <si>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</si>
  <si>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</si>
  <si>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</si>
  <si>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</si>
  <si>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</si>
  <si>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</si>
  <si>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</si>
  <si>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</si>
  <si>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</si>
  <si>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</si>
  <si>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</si>
  <si>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</si>
  <si>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</si>
  <si>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</si>
  <si>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</si>
  <si>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</si>
  <si>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</si>
  <si>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</si>
  <si>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</si>
  <si>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</si>
  <si>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</si>
  <si>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</si>
  <si>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</si>
  <si>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</si>
  <si>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</si>
  <si>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</si>
  <si>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</si>
  <si>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</si>
  <si>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</si>
  <si>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</si>
  <si>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</si>
  <si>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</si>
  <si>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</si>
  <si>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</si>
  <si>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</si>
  <si>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</si>
  <si>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</si>
  <si>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</si>
  <si>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</si>
  <si>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</si>
  <si>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</si>
  <si>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</si>
  <si>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</si>
  <si>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</si>
  <si>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</si>
  <si>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</si>
  <si>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</si>
  <si>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</si>
  <si>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</si>
  <si>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</si>
  <si>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</si>
  <si>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</si>
  <si>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</si>
  <si>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</si>
  <si>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</si>
  <si>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</si>
  <si>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</si>
  <si>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</si>
  <si>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</si>
  <si>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</si>
  <si>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</si>
  <si>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</si>
  <si>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</si>
  <si>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</si>
  <si>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</si>
  <si>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</si>
  <si>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</si>
  <si>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</si>
  <si>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</si>
  <si>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</si>
  <si>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</si>
  <si>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</si>
  <si>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</si>
  <si>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</si>
  <si>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</si>
  <si>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</si>
  <si>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</si>
  <si>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</si>
  <si>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</si>
  <si>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</si>
  <si>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</si>
  <si>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</si>
  <si>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</si>
  <si>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</si>
  <si>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</si>
  <si>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</si>
  <si>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</si>
  <si>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</si>
  <si>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</si>
  <si>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</si>
  <si>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</si>
  <si>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</si>
  <si>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</si>
  <si>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</si>
  <si>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</si>
  <si>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</si>
  <si>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</si>
  <si>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</si>
  <si>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</si>
  <si>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</si>
  <si>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</si>
  <si>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</si>
  <si>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</si>
  <si>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</si>
  <si>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</si>
  <si>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</si>
  <si>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</si>
  <si>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</si>
  <si>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</si>
  <si>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</si>
  <si>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</si>
  <si>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</si>
  <si>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</si>
  <si>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</si>
  <si>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</si>
  <si>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</si>
  <si>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</si>
  <si>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</si>
  <si>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</si>
  <si>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</si>
  <si>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</si>
  <si>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</si>
  <si>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</si>
  <si>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</si>
  <si>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</si>
  <si>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</si>
  <si>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</si>
  <si>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</si>
  <si>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</si>
  <si>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</si>
  <si>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</si>
  <si>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</si>
  <si>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</si>
  <si>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</si>
  <si>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</si>
  <si>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</si>
  <si>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</si>
  <si>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</si>
  <si>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</si>
  <si>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</si>
  <si>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</si>
  <si>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</si>
  <si>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</si>
  <si>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</si>
  <si>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</si>
  <si>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</si>
  <si>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</si>
  <si>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</si>
  <si>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</si>
  <si>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</si>
  <si>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</si>
  <si>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</si>
  <si>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</si>
  <si>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</si>
  <si>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</si>
  <si>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</si>
  <si>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</si>
  <si>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</si>
  <si>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</si>
  <si>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</si>
  <si>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</si>
  <si>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</si>
  <si>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</si>
  <si>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</si>
  <si>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</si>
  <si>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</si>
  <si>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</si>
  <si>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</si>
  <si>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</si>
  <si>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</si>
  <si>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</si>
  <si>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</si>
  <si>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</si>
  <si>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</si>
  <si>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</si>
  <si>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</si>
  <si>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</si>
  <si>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</si>
  <si>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</si>
  <si>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</si>
  <si>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</si>
  <si>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</si>
  <si>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</si>
  <si>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</si>
  <si>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</si>
  <si>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</si>
  <si>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</si>
  <si>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</si>
  <si>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</si>
  <si>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</si>
  <si>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</si>
  <si>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</si>
  <si>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</si>
  <si>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</si>
  <si>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</si>
  <si>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</si>
  <si>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</si>
  <si>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</si>
  <si>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</si>
  <si>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</si>
  <si>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</si>
  <si>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</si>
  <si>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</si>
  <si>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</si>
  <si>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</si>
  <si>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</si>
  <si>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</si>
  <si>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</si>
  <si>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</si>
  <si>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</si>
  <si>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</si>
  <si>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</si>
  <si>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</si>
  <si>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</si>
  <si>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</si>
  <si>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</si>
  <si>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</si>
  <si>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</si>
  <si>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</si>
  <si>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</si>
  <si>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</si>
  <si>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</si>
  <si>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</si>
  <si>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</si>
  <si>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</si>
  <si>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</si>
  <si>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</si>
  <si>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</si>
  <si>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</si>
  <si>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</si>
  <si>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</si>
  <si>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</si>
  <si>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</si>
  <si>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</si>
  <si>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</si>
  <si>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</si>
  <si>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</si>
  <si>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</si>
  <si>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</si>
  <si>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</si>
  <si>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</si>
  <si>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</si>
  <si>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</si>
  <si>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</si>
  <si>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</si>
  <si>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</si>
  <si>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</si>
  <si>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</si>
  <si>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</si>
  <si>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</si>
  <si>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</si>
  <si>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</si>
  <si>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</si>
  <si>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</si>
  <si>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</si>
  <si>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</si>
  <si>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</si>
  <si>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</si>
  <si>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</si>
  <si>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</si>
  <si>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</si>
  <si>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</si>
  <si>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</si>
  <si>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</si>
  <si>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</si>
  <si>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</si>
  <si>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</si>
  <si>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</si>
  <si>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</si>
  <si>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</si>
  <si>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</si>
  <si>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</si>
  <si>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</si>
  <si>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</si>
  <si>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</si>
  <si>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</si>
  <si>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</si>
  <si>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</si>
  <si>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</si>
  <si>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</si>
  <si>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</si>
  <si>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</si>
  <si>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</si>
  <si>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</si>
  <si>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</si>
  <si>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</si>
  <si>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</si>
  <si>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</si>
  <si>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</si>
  <si>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</si>
  <si>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</si>
  <si>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</si>
  <si>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</si>
  <si>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</si>
  <si>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</si>
  <si>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</si>
  <si>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</si>
  <si>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</si>
  <si>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</si>
  <si>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</si>
  <si>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</si>
  <si>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</si>
  <si>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</si>
  <si>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</si>
  <si>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</si>
  <si>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</si>
  <si>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</si>
  <si>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</si>
  <si>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</si>
  <si>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</si>
  <si>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</si>
  <si>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</si>
  <si>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</si>
  <si>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</si>
  <si>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</si>
  <si>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</si>
  <si>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</si>
  <si>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</si>
  <si>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</si>
  <si>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</si>
  <si>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</si>
  <si>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</si>
  <si>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</si>
  <si>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</si>
  <si>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</si>
  <si>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</si>
  <si>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</si>
  <si>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</si>
  <si>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</si>
  <si>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</si>
  <si>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</si>
  <si>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</si>
  <si>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</si>
  <si>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</si>
  <si>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</si>
  <si>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</si>
  <si>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</si>
  <si>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</si>
  <si>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</si>
  <si>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</si>
  <si>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</si>
  <si>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</si>
  <si>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</si>
  <si>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</si>
  <si>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</si>
  <si>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</si>
  <si>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</si>
  <si>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</si>
  <si>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</si>
  <si>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</si>
  <si>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</si>
  <si>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</si>
  <si>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</si>
  <si>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</si>
  <si>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</si>
  <si>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</si>
  <si>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</si>
  <si>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</si>
  <si>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</si>
  <si>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</si>
  <si>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</si>
  <si>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</si>
  <si>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</si>
  <si>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</si>
  <si>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</si>
  <si>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</si>
  <si>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</si>
  <si>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</si>
  <si>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</si>
  <si>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</si>
  <si>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</si>
  <si>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</si>
  <si>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</si>
  <si>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</si>
  <si>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</si>
  <si>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</si>
  <si>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</si>
  <si>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</si>
  <si>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</si>
  <si>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</si>
  <si>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</si>
  <si>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</si>
  <si>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</si>
  <si>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</si>
  <si>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</si>
  <si>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</si>
  <si>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</si>
  <si>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</si>
  <si>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</si>
  <si>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</si>
  <si>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</si>
  <si>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</si>
  <si>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</si>
  <si>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</si>
  <si>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</si>
  <si>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</si>
  <si>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</si>
  <si>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</si>
  <si>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</si>
  <si>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</si>
  <si>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</si>
  <si>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</si>
  <si>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</si>
  <si>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</si>
  <si>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</si>
  <si>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</si>
  <si>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</si>
  <si>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</si>
  <si>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</si>
  <si>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</si>
  <si>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</si>
  <si>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</si>
  <si>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</si>
  <si>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</si>
  <si>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</si>
  <si>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</si>
  <si>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</si>
  <si>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</si>
  <si>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</si>
  <si>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</si>
  <si>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</si>
  <si>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</si>
  <si>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</si>
  <si>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</si>
  <si>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</si>
  <si>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</si>
  <si>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</si>
  <si>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</si>
  <si>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</si>
  <si>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</si>
  <si>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</si>
  <si>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</si>
  <si>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</si>
  <si>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</si>
  <si>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</si>
  <si>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</si>
  <si>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</si>
  <si>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</si>
  <si>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</si>
  <si>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</si>
  <si>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</si>
  <si>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</si>
  <si>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</si>
  <si>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</si>
  <si>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</si>
  <si>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</si>
  <si>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</si>
  <si>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</si>
  <si>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</si>
  <si>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</si>
  <si>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</si>
  <si>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</si>
  <si>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</si>
  <si>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</si>
  <si>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</si>
  <si>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</si>
  <si>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</si>
  <si>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</si>
  <si>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</si>
  <si>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</si>
  <si>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</si>
  <si>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</si>
  <si>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</si>
  <si>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</si>
  <si>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</si>
  <si>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</si>
  <si>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</si>
  <si>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</si>
  <si>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</si>
  <si>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</si>
  <si>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</si>
  <si>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</si>
  <si>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</si>
  <si>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</si>
  <si>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</si>
  <si>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</si>
  <si>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</si>
  <si>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</si>
  <si>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</si>
  <si>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</si>
  <si>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</si>
  <si>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</si>
  <si>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</si>
  <si>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</si>
  <si>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</si>
  <si>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</si>
  <si>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</si>
  <si>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</si>
  <si>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</si>
  <si>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</si>
  <si>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</si>
  <si>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</si>
  <si>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</si>
  <si>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</si>
  <si>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</si>
  <si>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</si>
  <si>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</si>
  <si>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</si>
  <si>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</si>
  <si>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</si>
  <si>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</si>
  <si>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</si>
  <si>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</si>
  <si>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</si>
  <si>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</si>
  <si>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</si>
  <si>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</si>
  <si>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</si>
  <si>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</si>
  <si>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</si>
  <si>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</si>
  <si>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</si>
  <si>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</si>
  <si>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</si>
  <si>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</si>
  <si>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</si>
  <si>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</si>
  <si>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</si>
  <si>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</si>
  <si>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</si>
  <si>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</si>
  <si>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</si>
  <si>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</si>
  <si>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</si>
  <si>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</si>
  <si>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</si>
  <si>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</si>
  <si>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</si>
  <si>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</si>
  <si>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</si>
  <si>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</si>
  <si>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</si>
  <si>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</si>
  <si>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</si>
  <si>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</si>
  <si>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</si>
  <si>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</si>
  <si>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</si>
  <si>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</si>
  <si>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</si>
  <si>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</si>
  <si>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</si>
  <si>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</si>
  <si>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</si>
  <si>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</si>
  <si>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</si>
  <si>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</si>
  <si>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</si>
  <si>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</si>
  <si>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</si>
  <si>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</si>
  <si>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</si>
  <si>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</si>
  <si>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</si>
  <si>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</si>
  <si>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</si>
  <si>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</si>
  <si>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</si>
  <si>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</si>
  <si>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</si>
  <si>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</si>
  <si>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</si>
  <si>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</si>
  <si>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</si>
  <si>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</si>
  <si>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</si>
  <si>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</si>
  <si>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</si>
  <si>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</si>
  <si>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</si>
  <si>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</si>
  <si>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</si>
  <si>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</si>
  <si>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</si>
  <si>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</si>
  <si>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</si>
  <si>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</si>
  <si>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</si>
  <si>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</si>
  <si>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</si>
  <si>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</si>
  <si>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</si>
  <si>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</si>
  <si>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</si>
  <si>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</si>
  <si>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</si>
  <si>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</si>
  <si>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</si>
  <si>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</si>
  <si>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</si>
  <si>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</si>
  <si>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</si>
  <si>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</si>
  <si>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</si>
  <si>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</si>
  <si>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</si>
  <si>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</si>
  <si>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</si>
  <si>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</si>
  <si>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</si>
  <si>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</si>
  <si>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</si>
  <si>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</si>
  <si>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</si>
  <si>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</si>
  <si>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</si>
  <si>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</si>
  <si>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</si>
  <si>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</si>
  <si>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</si>
  <si>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</si>
  <si>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</si>
  <si>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</si>
  <si>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</si>
  <si>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</si>
  <si>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</si>
  <si>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</si>
  <si>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</si>
  <si>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</si>
  <si>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</si>
  <si>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</si>
  <si>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</si>
  <si>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</si>
  <si>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</si>
  <si>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</si>
  <si>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</si>
  <si>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</si>
  <si>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</si>
  <si>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</si>
  <si>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</si>
  <si>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</si>
  <si>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</si>
  <si>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</si>
  <si>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</si>
  <si>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</si>
  <si>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</si>
  <si>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</si>
  <si>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</si>
  <si>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</si>
  <si>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</si>
  <si>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</si>
  <si>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</si>
  <si>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</si>
  <si>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</si>
  <si>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</si>
  <si>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</si>
  <si>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</si>
  <si>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</si>
  <si>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</si>
  <si>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</si>
  <si>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</si>
  <si>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</si>
  <si>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</si>
  <si>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</si>
  <si>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</si>
  <si>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</si>
  <si>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</si>
  <si>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</si>
  <si>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</si>
  <si>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</si>
  <si>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</si>
  <si>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</si>
  <si>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</si>
  <si>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</si>
  <si>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</si>
  <si>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</si>
  <si>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</si>
  <si>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</si>
  <si>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</si>
  <si>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</si>
  <si>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</si>
  <si>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</si>
  <si>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</si>
  <si>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</si>
  <si>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</si>
  <si>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</si>
  <si>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</si>
  <si>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</si>
  <si>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</si>
  <si>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</si>
  <si>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</si>
  <si>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</si>
  <si>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</si>
  <si>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</si>
  <si>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</si>
  <si>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</si>
  <si>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</si>
  <si>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</si>
  <si>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</si>
  <si>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</si>
  <si>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</si>
  <si>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</si>
  <si>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</si>
  <si>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</si>
  <si>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</si>
  <si>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</si>
  <si>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</si>
  <si>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</si>
  <si>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</si>
  <si>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</si>
  <si>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</si>
  <si>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</si>
  <si>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</si>
  <si>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</si>
  <si>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</si>
  <si>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</si>
  <si>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</si>
  <si>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</si>
  <si>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</si>
  <si>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</si>
  <si>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</si>
  <si>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</si>
  <si>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</si>
  <si>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</si>
  <si>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</si>
  <si>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</si>
  <si>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</si>
  <si>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</si>
  <si>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</si>
  <si>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</si>
  <si>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</si>
  <si>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</si>
  <si>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</si>
  <si>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</si>
  <si>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</si>
  <si>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</si>
  <si>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</si>
  <si>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</si>
  <si>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</si>
  <si>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</si>
  <si>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</si>
  <si>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</si>
  <si>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</si>
  <si>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</si>
  <si>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</si>
  <si>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</si>
  <si>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</si>
  <si>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</si>
  <si>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</si>
  <si>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</si>
  <si>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</si>
  <si>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</si>
  <si>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</si>
  <si>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</si>
  <si>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</si>
  <si>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</si>
  <si>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</si>
  <si>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</si>
  <si>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</si>
  <si>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</si>
  <si>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</si>
  <si>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</si>
  <si>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</si>
  <si>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</si>
  <si>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</si>
  <si>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</si>
  <si>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</si>
  <si>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</si>
  <si>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</si>
  <si>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</si>
  <si>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</si>
  <si>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</si>
  <si>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</si>
  <si>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</si>
  <si>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</si>
  <si>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</si>
  <si>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</si>
  <si>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</si>
  <si>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</si>
  <si>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</si>
  <si>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</si>
  <si>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</si>
  <si>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</si>
  <si>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</si>
  <si>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</si>
  <si>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</si>
  <si>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</si>
  <si>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</si>
  <si>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</si>
  <si>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</si>
  <si>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</si>
  <si>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</si>
  <si>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</si>
  <si>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</si>
  <si>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</si>
  <si>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</si>
  <si>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</si>
  <si>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</si>
  <si>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</si>
  <si>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</si>
  <si>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</si>
  <si>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</si>
  <si>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</si>
  <si>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</si>
  <si>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</si>
  <si>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</si>
  <si>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</si>
  <si>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</si>
  <si>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</si>
  <si>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</si>
  <si>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</si>
  <si>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</si>
  <si>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</si>
  <si>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</si>
  <si>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</si>
  <si>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</si>
  <si>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</si>
  <si>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</si>
  <si>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</si>
  <si>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</si>
  <si>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</si>
  <si>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</si>
  <si>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</si>
  <si>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</si>
  <si>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</si>
  <si>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</si>
  <si>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</si>
  <si>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</si>
  <si>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</si>
  <si>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</si>
  <si>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</si>
  <si>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</si>
  <si>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</si>
  <si>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</si>
  <si>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</si>
  <si>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</si>
  <si>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</si>
  <si>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</si>
  <si>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</si>
  <si>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</si>
  <si>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</si>
  <si>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</si>
  <si>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</si>
  <si>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</si>
  <si>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</si>
  <si>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</si>
  <si>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</si>
  <si>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</si>
  <si>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</si>
  <si>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</si>
  <si>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</si>
  <si>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</si>
  <si>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</si>
  <si>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</si>
  <si>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</si>
  <si>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</si>
  <si>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</si>
  <si>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</si>
  <si>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</si>
  <si>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</si>
  <si>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</si>
  <si>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</si>
  <si>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</si>
  <si>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</si>
  <si>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</si>
  <si>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</si>
  <si>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</si>
  <si>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</si>
  <si>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</si>
  <si>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</si>
  <si>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</si>
  <si>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</si>
  <si>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</si>
  <si>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</si>
  <si>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</si>
  <si>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</si>
  <si>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</si>
  <si>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</si>
  <si>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</si>
  <si>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</si>
  <si>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</si>
  <si>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</si>
  <si>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</si>
  <si>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</si>
  <si>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</si>
  <si>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</si>
  <si>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</si>
  <si>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</si>
  <si>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</si>
  <si>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</si>
  <si>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</si>
  <si>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</si>
  <si>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</si>
  <si>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</si>
  <si>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</si>
  <si>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</si>
  <si>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</si>
  <si>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</si>
  <si>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</si>
  <si>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</si>
  <si>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</si>
  <si>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</si>
  <si>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</si>
  <si>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</si>
  <si>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</si>
  <si>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</si>
  <si>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</si>
  <si>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</si>
  <si>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</si>
  <si>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</si>
  <si>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</si>
  <si>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</si>
  <si>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</si>
  <si>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</si>
  <si>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</si>
  <si>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</si>
  <si>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</si>
  <si>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</si>
  <si>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</si>
  <si>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</si>
  <si>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</si>
  <si>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</si>
  <si>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</si>
  <si>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</si>
  <si>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</si>
  <si>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</si>
  <si>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</si>
  <si>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</si>
  <si>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</si>
  <si>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</si>
  <si>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</si>
  <si>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</si>
  <si>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</si>
  <si>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</si>
  <si>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</si>
  <si>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</si>
  <si>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</si>
  <si>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</si>
  <si>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</si>
  <si>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</si>
  <si>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</si>
  <si>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</si>
  <si>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</si>
  <si>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</si>
  <si>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</si>
  <si>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</si>
  <si>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</si>
  <si>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</si>
  <si>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</si>
  <si>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</si>
  <si>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</si>
  <si>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</si>
  <si>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</si>
  <si>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</si>
  <si>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</si>
  <si>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</si>
  <si>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</si>
  <si>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</si>
  <si>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</si>
  <si>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</si>
  <si>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</si>
  <si>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</si>
  <si>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</si>
  <si>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</si>
  <si>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</si>
  <si>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</si>
  <si>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</si>
  <si>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</si>
  <si>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</si>
  <si>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</si>
  <si>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</si>
  <si>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</si>
  <si>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</si>
  <si>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</si>
  <si>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</si>
  <si>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</si>
  <si>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</si>
  <si>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</si>
  <si>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</si>
  <si>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</si>
  <si>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</si>
  <si>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</si>
  <si>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</si>
  <si>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</si>
  <si>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</si>
  <si>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</si>
  <si>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</si>
  <si>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</si>
  <si>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</si>
  <si>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</si>
  <si>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</si>
  <si>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</si>
  <si>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</si>
  <si>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</si>
  <si>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</si>
  <si>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</si>
  <si>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</si>
  <si>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</si>
  <si>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</si>
  <si>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</si>
  <si>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</si>
  <si>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</si>
  <si>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</si>
  <si>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</si>
  <si>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</si>
  <si>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</si>
  <si>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</si>
  <si>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</si>
  <si>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</si>
  <si>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</si>
  <si>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</si>
  <si>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</si>
  <si>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</si>
  <si>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</si>
  <si>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</si>
  <si>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</si>
  <si>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</si>
  <si>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</si>
  <si>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</si>
  <si>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</si>
  <si>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</si>
  <si>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</si>
  <si>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</si>
  <si>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</si>
  <si>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</si>
  <si>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</si>
  <si>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</si>
  <si>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</si>
  <si>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</si>
  <si>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</si>
  <si>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</si>
  <si>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</si>
  <si>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</si>
  <si>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</si>
  <si>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</si>
  <si>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</si>
  <si>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</si>
  <si>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</si>
  <si>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</si>
  <si>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</si>
  <si>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</si>
  <si>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</si>
  <si>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</si>
  <si>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</si>
  <si>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</si>
  <si>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</si>
  <si>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</si>
  <si>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</si>
  <si>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</si>
  <si>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</si>
  <si>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</si>
  <si>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</si>
  <si>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</si>
  <si>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</si>
  <si>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</si>
  <si>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</si>
  <si>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</si>
  <si>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</si>
  <si>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</si>
  <si>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</si>
  <si>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</si>
  <si>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</si>
  <si>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</si>
  <si>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</si>
  <si>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</si>
  <si>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</si>
  <si>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</si>
  <si>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</si>
  <si>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</si>
  <si>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</si>
  <si>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</si>
  <si>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</si>
  <si>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</si>
  <si>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</si>
  <si>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</si>
  <si>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</si>
  <si>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</si>
  <si>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</si>
  <si>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</si>
  <si>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</si>
  <si>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</si>
  <si>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</si>
  <si>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</si>
  <si>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</si>
  <si>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</si>
  <si>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</si>
  <si>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</si>
  <si>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</si>
  <si>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</si>
  <si>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</si>
  <si>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</si>
  <si>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</si>
  <si>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</si>
  <si>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</si>
  <si>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</si>
  <si>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</si>
  <si>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</si>
  <si>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</si>
  <si>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</si>
  <si>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</si>
  <si>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</si>
  <si>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</si>
  <si>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</si>
  <si>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</si>
  <si>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</si>
  <si>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</si>
  <si>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</si>
  <si>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</si>
  <si>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</si>
  <si>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</si>
  <si>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</si>
  <si>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</si>
  <si>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</si>
  <si>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</si>
  <si>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</si>
  <si>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</si>
  <si>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</si>
  <si>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</si>
  <si>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</si>
  <si>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</si>
  <si>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</si>
  <si>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</si>
  <si>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</si>
  <si>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</si>
  <si>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</si>
  <si>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</si>
  <si>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</si>
  <si>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</si>
  <si>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</si>
  <si>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</si>
  <si>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</si>
  <si>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</si>
  <si>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</si>
  <si>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</si>
  <si>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</si>
  <si>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</si>
  <si>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</si>
  <si>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</si>
  <si>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</si>
  <si>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</si>
  <si>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</si>
  <si>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</si>
  <si>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</si>
  <si>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</si>
  <si>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</si>
  <si>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</si>
  <si>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</si>
  <si>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</si>
  <si>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</si>
  <si>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</si>
  <si>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</si>
  <si>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</si>
  <si>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</si>
  <si>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</si>
  <si>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</si>
  <si>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</si>
  <si>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</si>
  <si>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</si>
  <si>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</si>
  <si>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</si>
  <si>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</si>
  <si>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</si>
  <si>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</si>
  <si>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</si>
  <si>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</si>
  <si>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</si>
  <si>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</si>
  <si>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</si>
  <si>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</si>
  <si>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</si>
  <si>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</si>
  <si>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</si>
  <si>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</si>
  <si>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</si>
  <si>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</si>
  <si>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</si>
  <si>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</si>
  <si>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</si>
  <si>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</si>
  <si>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</si>
  <si>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</si>
  <si>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</si>
  <si>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</si>
  <si>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</si>
  <si>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</si>
  <si>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</si>
  <si>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</si>
  <si>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</si>
  <si>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</si>
  <si>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</si>
  <si>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</si>
  <si>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</si>
  <si>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</si>
  <si>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</si>
  <si>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</si>
  <si>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</si>
  <si>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</si>
  <si>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</si>
  <si>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</si>
  <si>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</si>
  <si>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</si>
  <si>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</si>
  <si>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</si>
  <si>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</si>
  <si>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</si>
  <si>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</si>
  <si>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</si>
  <si>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</si>
  <si>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</si>
  <si>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</si>
  <si>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</si>
  <si>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</si>
  <si>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</si>
  <si>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</si>
  <si>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</si>
  <si>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</si>
  <si>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</si>
  <si>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</si>
  <si>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</si>
  <si>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</si>
  <si>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</si>
  <si>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</si>
  <si>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</si>
  <si>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</si>
  <si>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</si>
  <si>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</si>
  <si>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</si>
  <si>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</si>
  <si>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</si>
  <si>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</si>
  <si>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</si>
  <si>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</si>
  <si>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</si>
  <si>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</si>
  <si>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</si>
  <si>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</si>
  <si>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</si>
  <si>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</si>
  <si>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</si>
  <si>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</si>
  <si>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</si>
  <si>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</si>
  <si>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</si>
  <si>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</si>
  <si>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</si>
  <si>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</si>
  <si>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</si>
  <si>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</si>
  <si>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</si>
  <si>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</si>
  <si>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</si>
  <si>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</si>
  <si>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</si>
  <si>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</si>
  <si>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</si>
  <si>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</si>
  <si>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</si>
  <si>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</si>
  <si>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</si>
  <si>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</si>
  <si>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</si>
  <si>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</si>
  <si>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</si>
  <si>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</si>
  <si>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</si>
  <si>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</si>
  <si>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</si>
  <si>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</si>
  <si>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</si>
  <si>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</si>
  <si>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</si>
  <si>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</si>
  <si>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</si>
  <si>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</si>
  <si>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</si>
  <si>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</si>
  <si>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</si>
  <si>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</si>
  <si>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</si>
  <si>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</si>
  <si>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</si>
  <si>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</si>
  <si>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</si>
  <si>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</si>
  <si>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</si>
  <si>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</si>
  <si>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</si>
  <si>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</si>
  <si>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</si>
  <si>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</si>
  <si>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</si>
  <si>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</si>
  <si>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</si>
  <si>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</si>
  <si>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</si>
  <si>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</si>
  <si>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</si>
  <si>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</si>
  <si>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</si>
  <si>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</si>
  <si>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</si>
  <si>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</si>
  <si>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</si>
  <si>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</si>
  <si>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</si>
  <si>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</si>
  <si>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</si>
  <si>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</si>
  <si>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</si>
  <si>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</si>
  <si>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</si>
  <si>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</si>
  <si>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</si>
  <si>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</si>
  <si>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</si>
  <si>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</si>
  <si>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</si>
  <si>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</si>
  <si>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</si>
  <si>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</si>
  <si>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</si>
  <si>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</si>
  <si>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</si>
  <si>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</si>
  <si>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</si>
  <si>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</si>
  <si>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</si>
  <si>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</si>
  <si>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</si>
  <si>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</si>
  <si>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</si>
  <si>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</si>
  <si>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</si>
  <si>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</si>
  <si>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</si>
  <si>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</si>
  <si>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</si>
  <si>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</si>
  <si>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</si>
  <si>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</si>
  <si>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</si>
  <si>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</si>
  <si>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</si>
  <si>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</si>
  <si>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</si>
  <si>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</si>
  <si>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</si>
  <si>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</si>
  <si>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</si>
  <si>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</si>
  <si>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</si>
  <si>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</si>
  <si>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</si>
  <si>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</si>
  <si>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</si>
  <si>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</si>
  <si>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</si>
  <si>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</si>
  <si>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</si>
  <si>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</si>
  <si>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</si>
  <si>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</si>
  <si>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</si>
  <si>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</si>
  <si>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</si>
  <si>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</si>
  <si>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</si>
  <si>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</si>
  <si>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</si>
  <si>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</si>
  <si>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</si>
  <si>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</si>
  <si>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</si>
  <si>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</si>
  <si>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</si>
  <si>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</si>
  <si>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</si>
  <si>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</si>
  <si>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</si>
  <si>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</si>
  <si>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</si>
  <si>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</si>
  <si>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</si>
  <si>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</si>
  <si>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</si>
  <si>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</si>
  <si>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</si>
  <si>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</si>
  <si>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</si>
  <si>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</si>
  <si>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</si>
  <si>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</si>
  <si>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</si>
  <si>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</si>
  <si>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</si>
  <si>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</si>
  <si>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</si>
  <si>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</si>
  <si>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</si>
  <si>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</si>
  <si>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</si>
  <si>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</si>
  <si>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</si>
  <si>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</si>
  <si>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</si>
  <si>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</si>
  <si>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</si>
  <si>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</si>
  <si>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</si>
  <si>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</si>
  <si>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</si>
  <si>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</si>
  <si>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</si>
  <si>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</si>
  <si>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</si>
  <si>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</si>
  <si>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</si>
  <si>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</si>
  <si>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</si>
  <si>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</si>
  <si>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</si>
  <si>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</si>
  <si>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</si>
  <si>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</si>
  <si>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</si>
  <si>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</si>
  <si>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</si>
  <si>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</si>
  <si>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</si>
  <si>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</si>
  <si>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</si>
  <si>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</si>
  <si>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</si>
  <si>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</si>
  <si>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</si>
  <si>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</si>
  <si>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</si>
  <si>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</si>
  <si>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</si>
  <si>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</si>
  <si>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</si>
  <si>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</si>
  <si>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</si>
  <si>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</si>
  <si>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</si>
  <si>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</si>
  <si>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</si>
  <si>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</si>
  <si>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</si>
  <si>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</si>
  <si>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</si>
  <si>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</si>
  <si>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</si>
  <si>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</si>
  <si>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</si>
  <si>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</si>
  <si>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</si>
  <si>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</si>
  <si>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</si>
  <si>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</si>
  <si>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</si>
  <si>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</si>
  <si>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</si>
  <si>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</si>
  <si>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</si>
  <si>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</si>
  <si>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</si>
  <si>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</si>
  <si>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</si>
  <si>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</si>
  <si>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</si>
  <si>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</si>
  <si>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</si>
  <si>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</si>
  <si>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</si>
  <si>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</si>
  <si>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</si>
  <si>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</si>
  <si>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</si>
  <si>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</si>
  <si>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</si>
  <si>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</si>
  <si>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</si>
  <si>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</si>
  <si>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</si>
  <si>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</si>
  <si>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</si>
  <si>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</si>
  <si>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</si>
  <si>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</si>
  <si>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</si>
  <si>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</si>
  <si>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</si>
  <si>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</si>
  <si>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</si>
  <si>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</si>
  <si>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</si>
  <si>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</si>
  <si>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</si>
  <si>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</si>
  <si>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</si>
  <si>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</si>
  <si>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</si>
  <si>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</si>
  <si>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</si>
  <si>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</si>
  <si>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</si>
  <si>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</si>
  <si>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</si>
  <si>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</si>
  <si>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</si>
  <si>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</si>
  <si>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</si>
  <si>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</si>
  <si>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</si>
  <si>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</si>
  <si>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</si>
  <si>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</si>
  <si>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</si>
  <si>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</si>
  <si>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</si>
  <si>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</si>
  <si>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</si>
  <si>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</si>
  <si>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</si>
  <si>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</si>
  <si>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</si>
  <si>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</si>
  <si>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</si>
  <si>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</si>
  <si>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</si>
  <si>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</si>
  <si>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</si>
  <si>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</si>
  <si>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</si>
  <si>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</si>
  <si>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</si>
  <si>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</si>
  <si>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</si>
  <si>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</si>
  <si>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</si>
  <si>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</si>
  <si>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</si>
  <si>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</si>
  <si>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</si>
  <si>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</si>
  <si>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</si>
  <si>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</si>
  <si>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</si>
  <si>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</si>
  <si>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</si>
  <si>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</si>
  <si>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</si>
  <si>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</si>
  <si>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</si>
  <si>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</si>
  <si>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</si>
  <si>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</si>
  <si>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</si>
  <si>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</si>
  <si>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</si>
  <si>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</si>
  <si>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</si>
  <si>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</si>
  <si>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</si>
  <si>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</si>
  <si>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</si>
  <si>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</si>
  <si>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</si>
  <si>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</si>
  <si>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</si>
  <si>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</si>
  <si>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</si>
  <si>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</si>
  <si>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</si>
  <si>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</si>
  <si>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</si>
  <si>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</si>
  <si>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</si>
  <si>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</si>
  <si>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</si>
  <si>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</si>
  <si>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</si>
  <si>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</si>
  <si>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</si>
  <si>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</si>
  <si>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</si>
  <si>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</si>
  <si>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</si>
  <si>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</si>
  <si>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</si>
  <si>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</si>
  <si>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</si>
  <si>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</si>
  <si>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</si>
  <si>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</si>
  <si>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</si>
  <si>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</si>
  <si>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</si>
  <si>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</si>
  <si>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</si>
  <si>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</si>
  <si>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</si>
  <si>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</si>
  <si>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</si>
  <si>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</si>
  <si>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</si>
  <si>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</si>
  <si>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</si>
  <si>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</si>
  <si>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</si>
  <si>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</si>
  <si>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</si>
  <si>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</si>
  <si>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</si>
  <si>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</si>
  <si>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</si>
  <si>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</si>
  <si>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</si>
  <si>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</si>
  <si>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</si>
  <si>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</si>
  <si>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</si>
  <si>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</si>
  <si>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</si>
  <si>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</si>
  <si>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</si>
  <si>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</si>
  <si>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</si>
  <si>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</si>
  <si>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</si>
  <si>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</si>
  <si>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</si>
  <si>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</si>
  <si>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</si>
  <si>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</si>
  <si>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</si>
  <si>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</si>
  <si>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</si>
  <si>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</si>
  <si>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</si>
  <si>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</si>
  <si>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</si>
  <si>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</si>
  <si>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</si>
  <si>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</si>
  <si>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</si>
  <si>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</si>
  <si>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</si>
  <si>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</si>
  <si>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</si>
  <si>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</si>
  <si>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</si>
  <si>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</si>
  <si>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</si>
  <si>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</si>
  <si>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</si>
  <si>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</si>
  <si>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</si>
  <si>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</si>
  <si>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</si>
  <si>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</si>
  <si>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</si>
  <si>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</si>
  <si>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</si>
  <si>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</si>
  <si>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</si>
  <si>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</si>
  <si>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</si>
  <si>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</si>
  <si>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</si>
  <si>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</si>
  <si>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</si>
  <si>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</si>
  <si>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</si>
  <si>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</si>
  <si>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</si>
  <si>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</si>
  <si>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</si>
  <si>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</si>
  <si>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</si>
  <si>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</si>
  <si>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</si>
  <si>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</si>
  <si>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</si>
  <si>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</si>
  <si>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</si>
  <si>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</si>
  <si>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</si>
  <si>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</si>
  <si>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</si>
  <si>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</si>
  <si>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</si>
  <si>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</si>
  <si>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</si>
  <si>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</si>
  <si>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</si>
  <si>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</si>
  <si>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</si>
  <si>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</si>
  <si>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</si>
  <si>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</si>
  <si>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</si>
  <si>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</si>
  <si>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</si>
  <si>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</si>
  <si>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</si>
  <si>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</si>
  <si>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</si>
  <si>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</si>
  <si>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</si>
  <si>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</si>
  <si>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</si>
  <si>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</si>
  <si>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</si>
  <si>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</si>
  <si>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</si>
  <si>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</si>
  <si>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</si>
  <si>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</si>
  <si>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</si>
  <si>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</si>
  <si>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</si>
  <si>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</si>
  <si>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</si>
  <si>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</si>
  <si>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</si>
  <si>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</si>
  <si>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</si>
  <si>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</si>
  <si>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</si>
  <si>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</si>
  <si>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</si>
  <si>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</si>
  <si>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</si>
  <si>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</si>
  <si>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</si>
  <si>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</si>
  <si>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</si>
  <si>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</si>
  <si>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</si>
  <si>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</si>
  <si>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</si>
  <si>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</si>
  <si>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</si>
  <si>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</si>
  <si>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</si>
  <si>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</si>
  <si>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</si>
  <si>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</si>
  <si>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</si>
  <si>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</si>
  <si>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</si>
  <si>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</si>
  <si>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</si>
  <si>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</si>
  <si>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</si>
  <si>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</si>
  <si>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</si>
  <si>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</si>
  <si>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</si>
  <si>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</si>
  <si>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</si>
  <si>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</si>
  <si>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</si>
  <si>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</si>
  <si>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</si>
  <si>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</si>
  <si>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</si>
  <si>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</si>
  <si>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</si>
  <si>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</si>
  <si>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</si>
  <si>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</si>
  <si>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</si>
  <si>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</si>
  <si>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</si>
  <si>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</si>
  <si>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</si>
  <si>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</si>
  <si>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</si>
  <si>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</si>
  <si>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</si>
  <si>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</si>
  <si>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</si>
  <si>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</si>
  <si>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</si>
  <si>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</si>
  <si>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</si>
  <si>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</si>
  <si>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</si>
  <si>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</si>
  <si>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</si>
  <si>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</si>
  <si>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</si>
  <si>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</si>
  <si>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</si>
  <si>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</si>
  <si>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</si>
  <si>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</si>
  <si>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</si>
  <si>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</si>
  <si>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</si>
  <si>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</si>
  <si>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</si>
  <si>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</si>
  <si>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</si>
  <si>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</si>
  <si>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</si>
  <si>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</si>
  <si>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</si>
  <si>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</si>
  <si>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</si>
  <si>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</si>
  <si>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</si>
  <si>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</si>
  <si>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</si>
  <si>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</si>
  <si>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</si>
  <si>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</si>
  <si>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</si>
  <si>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</si>
  <si>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</si>
  <si>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</si>
  <si>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</si>
  <si>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</si>
  <si>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</si>
  <si>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</si>
  <si>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</si>
  <si>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</si>
  <si>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</si>
  <si>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</si>
  <si>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</si>
  <si>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</si>
  <si>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</si>
  <si>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</si>
  <si>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</si>
  <si>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</si>
  <si>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</si>
  <si>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</si>
  <si>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</si>
  <si>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</si>
  <si>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</si>
  <si>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</si>
  <si>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</si>
  <si>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</si>
  <si>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</si>
  <si>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</si>
  <si>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</si>
  <si>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</si>
  <si>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</si>
  <si>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</si>
  <si>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</si>
  <si>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</si>
  <si>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</si>
  <si>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</si>
  <si>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</si>
  <si>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</si>
  <si>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</si>
  <si>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</si>
  <si>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</si>
  <si>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</si>
  <si>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</si>
  <si>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</si>
  <si>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</si>
  <si>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</si>
  <si>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</si>
  <si>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</si>
  <si>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</si>
  <si>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</si>
  <si>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</si>
  <si>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</si>
  <si>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</si>
  <si>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</si>
  <si>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</si>
  <si>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</si>
  <si>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</si>
  <si>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</si>
  <si>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</si>
  <si>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</si>
  <si>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</si>
  <si>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</si>
  <si>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</si>
  <si>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</si>
  <si>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</si>
  <si>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</si>
  <si>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</si>
  <si>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</si>
  <si>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</si>
  <si>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</si>
  <si>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</si>
  <si>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</si>
  <si>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</si>
  <si>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</si>
  <si>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</si>
  <si>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</si>
  <si>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</si>
  <si>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</si>
  <si>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</si>
  <si>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</si>
  <si>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</si>
  <si>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</si>
  <si>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</si>
  <si>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</si>
  <si>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</si>
  <si>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</si>
  <si>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</si>
  <si>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</si>
  <si>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</si>
  <si>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</si>
  <si>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</si>
  <si>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</si>
  <si>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</si>
  <si>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</si>
  <si>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</si>
  <si>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</si>
  <si>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</si>
  <si>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</si>
  <si>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</si>
  <si>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</si>
  <si>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</si>
  <si>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</si>
  <si>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</si>
  <si>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</si>
  <si>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</si>
  <si>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</si>
  <si>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</si>
  <si>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</si>
  <si>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</si>
  <si>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</si>
  <si>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</si>
  <si>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</si>
  <si>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</si>
  <si>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</si>
  <si>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</si>
  <si>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</si>
  <si>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</si>
  <si>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</si>
  <si>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</si>
  <si>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</si>
  <si>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</si>
  <si>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</si>
  <si>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</si>
  <si>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</si>
  <si>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</si>
  <si>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</si>
  <si>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</si>
  <si>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</si>
  <si>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</si>
  <si>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</si>
  <si>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</si>
  <si>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</si>
  <si>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</si>
  <si>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</si>
  <si>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</si>
  <si>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</si>
  <si>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</si>
  <si>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</si>
  <si>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</si>
  <si>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</si>
  <si>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</si>
  <si>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</si>
  <si>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</si>
  <si>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</si>
  <si>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</si>
  <si>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</si>
  <si>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</si>
  <si>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</si>
  <si>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</si>
  <si>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</si>
  <si>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</si>
  <si>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</si>
  <si>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</si>
  <si>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</si>
  <si>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</si>
  <si>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</si>
  <si>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</si>
  <si>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</si>
  <si>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</si>
  <si>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</si>
  <si>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</si>
  <si>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</si>
  <si>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</si>
  <si>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</si>
  <si>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</si>
  <si>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</si>
  <si>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</si>
  <si>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</si>
  <si>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</si>
  <si>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</si>
  <si>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</si>
  <si>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</si>
  <si>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</si>
  <si>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</si>
  <si>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</si>
  <si>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</si>
  <si>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</si>
  <si>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</si>
  <si>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</si>
  <si>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</si>
  <si>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</si>
  <si>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</si>
  <si>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</si>
  <si>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</si>
  <si>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</si>
  <si>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</si>
  <si>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</si>
  <si>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</si>
  <si>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</si>
  <si>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</si>
  <si>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</si>
  <si>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</si>
  <si>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</si>
  <si>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</si>
  <si>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</si>
  <si>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</si>
  <si>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</si>
  <si>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</si>
  <si>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</si>
  <si>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</si>
  <si>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</si>
  <si>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</si>
  <si>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</si>
  <si>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</si>
  <si>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</si>
  <si>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</si>
  <si>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</si>
  <si>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</si>
  <si>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</si>
  <si>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</si>
  <si>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</si>
  <si>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</si>
  <si>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</si>
  <si>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</si>
  <si>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</si>
  <si>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</si>
  <si>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</si>
  <si>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</si>
  <si>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</si>
  <si>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</si>
  <si>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</si>
  <si>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</si>
  <si>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</si>
  <si>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</si>
  <si>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</si>
  <si>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</si>
  <si>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</si>
  <si>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</si>
  <si>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</si>
  <si>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</si>
  <si>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</si>
  <si>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</si>
  <si>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</si>
  <si>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</si>
  <si>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</si>
  <si>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</si>
  <si>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</si>
  <si>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</si>
  <si>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</si>
  <si>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</si>
  <si>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</si>
  <si>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</si>
  <si>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</si>
  <si>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</si>
  <si>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</si>
  <si>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</si>
  <si>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</si>
  <si>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</si>
  <si>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</si>
  <si>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</si>
  <si>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</si>
  <si>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</si>
  <si>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</si>
  <si>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</si>
  <si>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</si>
  <si>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</si>
  <si>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</si>
  <si>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</si>
  <si>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</si>
  <si>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</si>
  <si>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</si>
  <si>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</si>
  <si>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</si>
  <si>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</si>
  <si>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</si>
  <si>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</si>
  <si>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</si>
  <si>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</si>
  <si>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</si>
  <si>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</si>
  <si>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</si>
  <si>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</si>
  <si>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</si>
  <si>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</si>
  <si>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</si>
  <si>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</si>
  <si>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</si>
  <si>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</si>
  <si>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</si>
  <si>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</si>
  <si>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</si>
  <si>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</si>
  <si>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</si>
  <si>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</si>
  <si>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</si>
  <si>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</si>
  <si>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</si>
  <si>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</si>
  <si>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</si>
  <si>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</si>
  <si>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</si>
  <si>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</si>
  <si>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</si>
  <si>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</si>
  <si>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</si>
  <si>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</si>
  <si>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</si>
  <si>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</si>
  <si>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</si>
  <si>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</si>
  <si>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</si>
  <si>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</si>
  <si>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</si>
  <si>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</si>
  <si>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</si>
  <si>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</si>
  <si>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</si>
  <si>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</si>
  <si>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</si>
  <si>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</si>
  <si>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</si>
  <si>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</si>
  <si>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</si>
  <si>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</si>
  <si>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</si>
  <si>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</si>
  <si>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</si>
  <si>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</si>
  <si>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</si>
  <si>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</si>
  <si>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</si>
  <si>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</si>
  <si>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</si>
  <si>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</si>
  <si>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</si>
  <si>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</si>
  <si>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</si>
  <si>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</si>
  <si>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</si>
  <si>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</si>
  <si>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</si>
  <si>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</si>
  <si>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</si>
  <si>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</si>
  <si>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</si>
  <si>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</si>
  <si>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</si>
  <si>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</si>
  <si>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</si>
  <si>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</si>
  <si>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</si>
  <si>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</si>
  <si>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</si>
  <si>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</si>
  <si>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</si>
  <si>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</si>
  <si>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</si>
  <si>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</si>
  <si>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</si>
  <si>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</si>
  <si>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</si>
  <si>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</si>
  <si>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</si>
  <si>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</si>
  <si>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</si>
  <si>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</si>
  <si>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</si>
  <si>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</si>
  <si>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</si>
  <si>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</si>
  <si>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</si>
  <si>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</si>
  <si>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</si>
  <si>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</si>
  <si>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</si>
  <si>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</si>
  <si>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</si>
  <si>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</si>
  <si>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</si>
  <si>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</si>
  <si>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</si>
  <si>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</si>
  <si>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</si>
  <si>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</si>
  <si>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</si>
  <si>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</si>
  <si>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</si>
  <si>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</si>
  <si>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</si>
  <si>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</si>
  <si>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</si>
  <si>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</si>
  <si>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</si>
  <si>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</si>
  <si>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</si>
  <si>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</si>
  <si>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</si>
  <si>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</si>
  <si>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</si>
  <si>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</si>
  <si>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</si>
  <si>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</si>
  <si>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</si>
  <si>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</si>
  <si>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</si>
  <si>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</si>
  <si>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</si>
  <si>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</si>
  <si>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</si>
  <si>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</si>
  <si>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</si>
  <si>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</si>
  <si>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</si>
  <si>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</si>
  <si>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</si>
  <si>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</si>
  <si>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</si>
  <si>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</si>
  <si>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</si>
  <si>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</si>
  <si>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</si>
  <si>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</si>
  <si>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</si>
  <si>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</si>
  <si>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</si>
  <si>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</si>
  <si>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</si>
  <si>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</si>
  <si>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</si>
  <si>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</si>
  <si>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</si>
  <si>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</si>
  <si>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</si>
  <si>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</si>
  <si>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</si>
  <si>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</si>
  <si>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</si>
  <si>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</si>
  <si>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</si>
  <si>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</si>
  <si>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</si>
  <si>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</si>
  <si>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</si>
  <si>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</si>
  <si>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</si>
  <si>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</si>
  <si>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</si>
  <si>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</si>
  <si>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</si>
  <si>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</si>
  <si>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</si>
  <si>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</si>
  <si>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</si>
  <si>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</si>
  <si>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</si>
  <si>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</si>
  <si>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</si>
  <si>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</si>
  <si>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</si>
  <si>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</si>
  <si>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</si>
  <si>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</si>
  <si>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</si>
  <si>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</si>
  <si>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</si>
  <si>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</si>
  <si>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</si>
  <si>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</si>
  <si>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</si>
  <si>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</si>
  <si>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</si>
  <si>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</si>
  <si>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</si>
  <si>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</si>
  <si>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</si>
  <si>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</si>
  <si>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</si>
  <si>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</si>
  <si>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</si>
  <si>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</si>
  <si>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</si>
  <si>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</si>
  <si>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</si>
  <si>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</si>
  <si>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</si>
  <si>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</si>
  <si>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</si>
  <si>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</si>
  <si>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</si>
  <si>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</si>
  <si>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</si>
  <si>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</si>
  <si>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</si>
  <si>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</si>
  <si>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</si>
  <si>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</si>
  <si>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</si>
  <si>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</si>
  <si>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</si>
  <si>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</si>
  <si>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</si>
  <si>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</si>
  <si>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</si>
  <si>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</si>
  <si>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</si>
  <si>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</si>
  <si>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</si>
  <si>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</si>
  <si>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</si>
  <si>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</si>
  <si>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</si>
  <si>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</si>
  <si>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</si>
  <si>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</si>
  <si>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</si>
  <si>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</si>
  <si>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</si>
  <si>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</si>
  <si>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</si>
  <si>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</si>
  <si>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</si>
  <si>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</si>
  <si>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</si>
  <si>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</si>
  <si>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</si>
  <si>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</si>
  <si>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</si>
  <si>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</si>
  <si>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</si>
  <si>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</si>
  <si>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</si>
  <si>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</si>
  <si>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</si>
  <si>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</si>
  <si>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</si>
  <si>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</si>
  <si>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</si>
  <si>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</si>
  <si>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</si>
  <si>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</si>
  <si>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</si>
  <si>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</si>
  <si>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</si>
  <si>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</si>
  <si>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</si>
  <si>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</si>
  <si>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</si>
  <si>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</si>
  <si>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</si>
  <si>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</si>
  <si>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</si>
  <si>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</si>
  <si>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</si>
  <si>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</si>
  <si>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</si>
  <si>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</si>
  <si>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</si>
  <si>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</si>
  <si>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</si>
  <si>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</si>
  <si>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</si>
  <si>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</si>
  <si>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</si>
  <si>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</si>
  <si>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</si>
  <si>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</si>
  <si>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</si>
  <si>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</si>
  <si>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</si>
  <si>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</si>
  <si>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</si>
  <si>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</si>
  <si>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</si>
  <si>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</si>
  <si>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</si>
  <si>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</si>
  <si>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</si>
  <si>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</si>
  <si>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</si>
  <si>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</si>
  <si>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</si>
  <si>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</si>
  <si>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</si>
  <si>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</si>
  <si>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</si>
  <si>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</si>
  <si>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</si>
  <si>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</si>
  <si>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</si>
  <si>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</si>
  <si>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</si>
  <si>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</si>
  <si>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</si>
  <si>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</si>
  <si>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</si>
  <si>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</si>
  <si>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</si>
  <si>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</si>
  <si>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</si>
  <si>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</si>
  <si>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</si>
  <si>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</si>
  <si>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</si>
  <si>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</si>
  <si>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</si>
  <si>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</si>
  <si>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</si>
  <si>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</si>
  <si>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</si>
  <si>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</si>
  <si>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</si>
  <si>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</si>
  <si>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</si>
  <si>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</si>
  <si>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</si>
  <si>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</si>
  <si>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</si>
  <si>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</si>
  <si>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</si>
  <si>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</si>
  <si>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</si>
  <si>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</si>
  <si>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</si>
  <si>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</si>
  <si>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</si>
  <si>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</si>
  <si>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</si>
  <si>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</si>
  <si>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</si>
  <si>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</si>
  <si>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</si>
  <si>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</si>
  <si>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</si>
  <si>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</si>
  <si>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</si>
  <si>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</si>
  <si>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</si>
  <si>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</si>
  <si>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</si>
  <si>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</si>
  <si>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</si>
  <si>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</si>
  <si>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</si>
  <si>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</si>
  <si>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</si>
  <si>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</si>
  <si>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</si>
  <si>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</si>
  <si>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</si>
  <si>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</si>
  <si>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</si>
  <si>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</si>
  <si>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</si>
  <si>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</si>
  <si>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</si>
  <si>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</si>
  <si>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</si>
  <si>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</si>
  <si>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</si>
  <si>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</si>
  <si>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</si>
  <si>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</si>
  <si>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</si>
  <si>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</si>
  <si>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</si>
  <si>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</si>
  <si>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</si>
  <si>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</si>
  <si>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</si>
  <si>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</si>
  <si>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</si>
  <si>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</si>
  <si>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</si>
  <si>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</si>
  <si>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</si>
  <si>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</si>
  <si>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</si>
  <si>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</si>
  <si>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</si>
  <si>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</si>
  <si>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</si>
  <si>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</si>
  <si>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</si>
  <si>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</si>
  <si>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</si>
  <si>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</si>
  <si>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</si>
  <si>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</si>
  <si>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</si>
  <si>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</si>
  <si>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</si>
  <si>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</si>
  <si>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</si>
  <si>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</si>
  <si>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</si>
  <si>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</si>
  <si>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</si>
  <si>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</si>
  <si>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</si>
  <si>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</si>
  <si>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</si>
  <si>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</si>
  <si>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</si>
  <si>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</si>
  <si>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</si>
  <si>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</si>
  <si>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</si>
  <si>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</si>
  <si>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</si>
  <si>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</si>
  <si>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</si>
  <si>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</si>
  <si>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</si>
  <si>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</si>
  <si>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</si>
  <si>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</si>
  <si>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</si>
  <si>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</si>
  <si>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</si>
  <si>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</si>
  <si>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</si>
  <si>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</si>
  <si>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</si>
  <si>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</si>
  <si>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</si>
  <si>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</si>
  <si>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</si>
  <si>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</si>
  <si>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</si>
  <si>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</si>
  <si>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</si>
  <si>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</si>
  <si>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</si>
  <si>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</si>
  <si>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</si>
  <si>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</si>
  <si>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</si>
  <si>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</si>
  <si>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</si>
  <si>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</si>
  <si>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</si>
  <si>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</si>
  <si>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</si>
  <si>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</si>
  <si>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</si>
  <si>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</si>
  <si>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</si>
  <si>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</si>
  <si>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</si>
  <si>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</si>
  <si>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</si>
  <si>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</si>
  <si>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</si>
  <si>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</si>
  <si>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</si>
  <si>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</si>
  <si>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</si>
  <si>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</si>
  <si>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</si>
  <si>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</si>
  <si>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</si>
  <si>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</si>
  <si>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</si>
  <si>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</si>
  <si>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</si>
  <si>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</si>
  <si>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</si>
  <si>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</si>
  <si>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</si>
  <si>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</si>
  <si>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</si>
  <si>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</si>
  <si>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</si>
  <si>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</si>
  <si>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</si>
  <si>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</si>
  <si>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</si>
  <si>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</si>
  <si>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</si>
  <si>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</si>
  <si>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</si>
  <si>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</si>
  <si>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</si>
  <si>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</si>
  <si>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</si>
  <si>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</si>
  <si>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</si>
  <si>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</si>
  <si>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</si>
  <si>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</si>
  <si>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</si>
  <si>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</si>
  <si>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</si>
  <si>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</si>
  <si>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</si>
  <si>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</si>
  <si>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</si>
  <si>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</si>
  <si>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</si>
  <si>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</si>
  <si>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</si>
  <si>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</si>
  <si>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</si>
  <si>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</si>
  <si>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</si>
  <si>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</si>
  <si>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</si>
  <si>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</si>
  <si>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</si>
  <si>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</si>
  <si>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</si>
  <si>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</si>
  <si>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</si>
  <si>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</si>
  <si>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</si>
  <si>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</si>
  <si>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</si>
  <si>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</si>
  <si>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</si>
  <si>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</si>
  <si>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</si>
  <si>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</si>
  <si>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</si>
  <si>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</si>
  <si>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</si>
  <si>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</si>
  <si>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</si>
  <si>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</si>
  <si>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</si>
  <si>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</si>
  <si>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</si>
  <si>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</si>
  <si>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</si>
  <si>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</si>
  <si>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</si>
  <si>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</si>
  <si>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</si>
  <si>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</si>
  <si>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</si>
  <si>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</si>
  <si>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</si>
  <si>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</si>
  <si>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</si>
  <si>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</si>
  <si>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</si>
  <si>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</si>
  <si>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</si>
  <si>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</si>
  <si>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</si>
  <si>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</si>
  <si>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</si>
  <si>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</si>
  <si>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</si>
  <si>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</si>
  <si>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</si>
  <si>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</si>
  <si>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</si>
  <si>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</si>
  <si>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</si>
  <si>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</si>
  <si>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</si>
  <si>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</si>
  <si>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</si>
  <si>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</si>
  <si>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</si>
  <si>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</si>
  <si>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</si>
  <si>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</si>
  <si>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</si>
  <si>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</si>
  <si>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</si>
  <si>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</si>
  <si>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</si>
  <si>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</si>
  <si>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</si>
  <si>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</si>
  <si>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</si>
  <si>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</si>
  <si>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</si>
  <si>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</si>
  <si>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</si>
  <si>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</si>
  <si>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</si>
  <si>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</si>
  <si>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</si>
  <si>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</si>
  <si>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</si>
  <si>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</si>
  <si>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</si>
  <si>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</si>
  <si>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</si>
  <si>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</si>
  <si>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</si>
  <si>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</si>
  <si>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</si>
  <si>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</si>
  <si>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</si>
  <si>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</si>
  <si>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</si>
  <si>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</si>
  <si>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</si>
  <si>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</si>
  <si>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</si>
  <si>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</si>
  <si>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</si>
  <si>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</si>
  <si>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</si>
  <si>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</si>
  <si>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</si>
  <si>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</si>
  <si>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</si>
  <si>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</si>
  <si>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</si>
  <si>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</si>
  <si>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</si>
  <si>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</si>
  <si>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</si>
  <si>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</si>
  <si>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</si>
  <si>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</si>
  <si>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</si>
  <si>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</si>
  <si>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</si>
  <si>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</si>
  <si>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</si>
  <si>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</si>
  <si>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</si>
  <si>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</si>
  <si>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</si>
  <si>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</si>
  <si>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</si>
  <si>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</si>
  <si>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</si>
  <si>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</si>
  <si>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</si>
  <si>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</si>
  <si>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</si>
  <si>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</si>
  <si>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</si>
  <si>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</si>
  <si>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</si>
  <si>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</si>
  <si>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</si>
  <si>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</si>
  <si>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</si>
  <si>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</si>
  <si>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</si>
  <si>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</si>
  <si>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</si>
  <si>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</si>
  <si>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</si>
  <si>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</si>
  <si>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</si>
  <si>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</si>
  <si>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</si>
  <si>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</si>
  <si>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</si>
  <si>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</si>
  <si>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</si>
  <si>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</si>
  <si>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</si>
  <si>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</si>
  <si>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</si>
  <si>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</si>
  <si>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</si>
  <si>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</si>
  <si>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</si>
  <si>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</si>
  <si>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</si>
  <si>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</si>
  <si>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</si>
  <si>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</si>
  <si>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</si>
  <si>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</si>
  <si>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</si>
  <si>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</si>
  <si>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</si>
  <si>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</si>
  <si>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</si>
  <si>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</si>
  <si>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</si>
  <si>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</si>
  <si>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</si>
  <si>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</si>
  <si>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</si>
  <si>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</si>
  <si>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</si>
  <si>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</si>
  <si>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</si>
  <si>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</si>
  <si>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</si>
  <si>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</si>
  <si>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</si>
  <si>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</si>
  <si>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</si>
  <si>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</si>
  <si>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</si>
  <si>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</si>
  <si>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</si>
  <si>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</si>
  <si>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</si>
  <si>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</si>
  <si>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</si>
  <si>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</si>
  <si>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</si>
  <si>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</si>
  <si>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</si>
  <si>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</si>
  <si>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</si>
  <si>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</si>
  <si>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</si>
  <si>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</si>
  <si>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</si>
  <si>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</si>
  <si>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</si>
  <si>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</si>
  <si>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</si>
  <si>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</si>
  <si>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</si>
  <si>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</si>
  <si>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</si>
  <si>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</si>
  <si>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</si>
  <si>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</si>
  <si>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</si>
  <si>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</si>
  <si>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</si>
  <si>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</si>
  <si>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</si>
  <si>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</si>
  <si>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</si>
  <si>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</si>
  <si>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</si>
  <si>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</si>
  <si>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</si>
  <si>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</si>
  <si>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</si>
  <si>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</si>
  <si>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</si>
  <si>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</si>
  <si>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</si>
  <si>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</si>
  <si>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</si>
  <si>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</si>
  <si>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</si>
  <si>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</si>
  <si>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</si>
  <si>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</si>
  <si>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</si>
  <si>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</si>
  <si>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</si>
  <si>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</si>
  <si>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</si>
  <si>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</si>
  <si>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</si>
  <si>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</si>
  <si>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</si>
  <si>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</si>
  <si>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</si>
  <si>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</si>
  <si>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</si>
  <si>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</si>
  <si>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</si>
  <si>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</si>
  <si>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</si>
  <si>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</si>
  <si>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</si>
  <si>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</si>
  <si>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</si>
  <si>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</si>
  <si>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</si>
  <si>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</si>
  <si>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</si>
  <si>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</si>
  <si>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</si>
  <si>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</si>
  <si>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</si>
  <si>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</si>
  <si>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</si>
  <si>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</si>
  <si>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</si>
  <si>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</si>
  <si>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</si>
  <si>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</si>
  <si>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</si>
  <si>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</si>
  <si>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</si>
  <si>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</si>
  <si>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</si>
  <si>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</si>
  <si>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</si>
  <si>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</si>
  <si>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</si>
  <si>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</si>
  <si>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</si>
  <si>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</si>
  <si>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</si>
  <si>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</si>
  <si>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</si>
  <si>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</si>
  <si>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</si>
  <si>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</si>
  <si>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</si>
  <si>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</si>
  <si>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</si>
  <si>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</si>
  <si>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</si>
  <si>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</si>
  <si>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</si>
  <si>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</si>
  <si>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</si>
  <si>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</si>
  <si>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</si>
  <si>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</si>
  <si>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</si>
  <si>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</si>
  <si>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</si>
  <si>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</si>
  <si>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</si>
  <si>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</si>
  <si>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</si>
  <si>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</si>
  <si>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</si>
  <si>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</si>
  <si>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</si>
  <si>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</si>
  <si>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</si>
  <si>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</si>
  <si>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</si>
  <si>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</si>
  <si>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</si>
  <si>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</si>
  <si>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</si>
  <si>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</si>
  <si>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</si>
  <si>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</si>
  <si>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</si>
  <si>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</si>
  <si>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</si>
  <si>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</si>
  <si>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</si>
  <si>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</si>
  <si>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</si>
  <si>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</si>
  <si>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</si>
  <si>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</si>
  <si>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</si>
  <si>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</si>
  <si>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</si>
  <si>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</si>
  <si>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</si>
  <si>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</si>
  <si>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</si>
  <si>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</si>
  <si>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</si>
  <si>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</si>
  <si>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</si>
  <si>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</si>
  <si>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</si>
  <si>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</si>
  <si>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</si>
  <si>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</si>
  <si>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</si>
  <si>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</si>
  <si>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</si>
  <si>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</si>
  <si>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</si>
  <si>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</si>
  <si>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</si>
  <si>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</si>
  <si>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</si>
  <si>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</si>
  <si>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</si>
  <si>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</si>
  <si>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</si>
  <si>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</si>
  <si>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</si>
  <si>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</si>
  <si>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</si>
  <si>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</si>
  <si>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</si>
  <si>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</si>
  <si>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</si>
  <si>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</si>
  <si>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</si>
  <si>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</si>
  <si>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</si>
  <si>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</si>
  <si>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</si>
  <si>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</si>
  <si>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</si>
  <si>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</si>
  <si>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</si>
  <si>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</si>
  <si>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</si>
  <si>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</si>
  <si>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</si>
  <si>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</si>
  <si>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</si>
  <si>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</si>
  <si>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</si>
  <si>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</si>
  <si>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</si>
  <si>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</si>
  <si>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</si>
  <si>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</si>
  <si>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</si>
  <si>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</si>
  <si>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</si>
  <si>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</si>
  <si>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</si>
  <si>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</si>
  <si>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</si>
  <si>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</si>
  <si>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</si>
  <si>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</si>
  <si>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</si>
  <si>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</si>
  <si>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</si>
  <si>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</si>
  <si>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</si>
  <si>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</si>
  <si>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</si>
  <si>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</si>
  <si>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</si>
  <si>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</si>
  <si>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</si>
  <si>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</si>
  <si>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</si>
  <si>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</si>
  <si>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</si>
  <si>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</si>
  <si>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</si>
  <si>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</si>
  <si>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</si>
  <si>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</si>
  <si>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</si>
  <si>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</si>
  <si>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</si>
  <si>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</si>
  <si>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</si>
  <si>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</si>
  <si>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</si>
  <si>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</si>
  <si>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</si>
  <si>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</si>
  <si>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</si>
  <si>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</si>
  <si>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</si>
  <si>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</si>
  <si>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</si>
  <si>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</si>
  <si>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</si>
  <si>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</si>
  <si>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</si>
  <si>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</si>
  <si>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</si>
  <si>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</si>
  <si>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</si>
  <si>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</si>
  <si>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</si>
  <si>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</si>
  <si>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</si>
  <si>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</si>
  <si>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</si>
  <si>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</si>
  <si>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</si>
  <si>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</si>
  <si>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</si>
  <si>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</si>
  <si>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</si>
  <si>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</si>
  <si>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</si>
  <si>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</si>
  <si>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</si>
  <si>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</si>
  <si>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</si>
  <si>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</si>
  <si>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</si>
  <si>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</si>
  <si>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</si>
  <si>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</si>
  <si>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</si>
  <si>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</si>
  <si>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</si>
  <si>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</si>
  <si>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</si>
  <si>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</si>
  <si>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</si>
  <si>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</si>
  <si>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</si>
  <si>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</si>
  <si>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</si>
  <si>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</si>
  <si>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</si>
  <si>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</si>
  <si>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</si>
  <si>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</si>
  <si>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</si>
  <si>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</si>
  <si>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</si>
  <si>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</si>
  <si>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</si>
  <si>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</si>
  <si>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</si>
  <si>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</si>
  <si>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</si>
  <si>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</si>
  <si>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</si>
  <si>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</si>
  <si>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</si>
  <si>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</si>
  <si>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</si>
  <si>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</si>
  <si>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</si>
  <si>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</si>
  <si>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</si>
  <si>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</si>
  <si>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</si>
  <si>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</si>
  <si>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</si>
  <si>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</si>
  <si>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</si>
  <si>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</si>
  <si>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</si>
  <si>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</si>
  <si>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</si>
  <si>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</si>
  <si>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</si>
  <si>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</si>
  <si>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</si>
  <si>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</si>
  <si>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</si>
  <si>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</si>
  <si>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</si>
  <si>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</si>
  <si>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</si>
  <si>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</si>
  <si>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</si>
  <si>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</si>
  <si>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</si>
  <si>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</si>
  <si>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</si>
  <si>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</si>
  <si>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</si>
  <si>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</si>
  <si>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</si>
  <si>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</si>
  <si>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</si>
  <si>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</si>
  <si>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</si>
  <si>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</si>
  <si>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</si>
  <si>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</si>
  <si>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</si>
  <si>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</si>
  <si>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</si>
  <si>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</si>
  <si>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</si>
  <si>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</si>
  <si>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</si>
  <si>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</si>
  <si>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</si>
  <si>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</si>
  <si>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</si>
  <si>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</si>
  <si>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</si>
  <si>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</si>
  <si>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</si>
  <si>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</si>
  <si>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</si>
  <si>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</si>
  <si>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</si>
  <si>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</si>
  <si>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</si>
  <si>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</si>
  <si>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</si>
  <si>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</si>
  <si>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</si>
  <si>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</si>
  <si>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</si>
  <si>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</si>
  <si>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</si>
  <si>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</si>
  <si>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</si>
  <si>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</si>
  <si>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</si>
  <si>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</si>
  <si>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</si>
  <si>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</si>
  <si>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</si>
  <si>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</si>
  <si>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</si>
  <si>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</si>
  <si>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</si>
  <si>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</si>
  <si>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</si>
  <si>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</si>
  <si>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</si>
  <si>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</si>
  <si>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</si>
  <si>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</si>
  <si>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</si>
  <si>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</si>
  <si>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</si>
  <si>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</si>
  <si>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</si>
  <si>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</si>
  <si>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</si>
  <si>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</si>
  <si>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</si>
  <si>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</si>
  <si>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</si>
  <si>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</si>
  <si>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</si>
  <si>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</si>
  <si>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</si>
  <si>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</si>
  <si>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</si>
  <si>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</si>
  <si>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</si>
  <si>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</si>
  <si>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</si>
  <si>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</si>
  <si>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</si>
  <si>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</si>
  <si>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</si>
  <si>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</si>
  <si>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</si>
  <si>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</si>
  <si>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</si>
  <si>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</si>
  <si>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</si>
  <si>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</si>
  <si>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</si>
  <si>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</si>
  <si>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</si>
  <si>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</si>
  <si>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</si>
  <si>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</si>
  <si>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</si>
  <si>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</si>
  <si>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</si>
  <si>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</si>
  <si>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</si>
  <si>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</si>
  <si>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</si>
  <si>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</si>
  <si>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</si>
  <si>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</si>
  <si>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</si>
  <si>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</si>
  <si>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</si>
  <si>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</si>
  <si>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</si>
  <si>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</si>
  <si>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</si>
  <si>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</si>
  <si>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</si>
  <si>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</si>
  <si>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</si>
  <si>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</si>
  <si>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</si>
  <si>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</si>
  <si>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</si>
  <si>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</si>
  <si>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</si>
  <si>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</si>
  <si>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</si>
  <si>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</si>
  <si>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</si>
  <si>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</si>
  <si>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</si>
  <si>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</si>
  <si>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</si>
  <si>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</si>
  <si>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</si>
  <si>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</si>
  <si>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</si>
  <si>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</si>
  <si>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</si>
  <si>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</si>
  <si>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</si>
  <si>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</si>
  <si>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</si>
  <si>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</si>
  <si>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</si>
  <si>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</si>
  <si>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</si>
  <si>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</si>
  <si>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</si>
  <si>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</si>
  <si>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</si>
  <si>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</si>
  <si>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</si>
  <si>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</si>
  <si>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</si>
  <si>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</si>
  <si>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</si>
  <si>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</si>
  <si>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</si>
  <si>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</si>
  <si>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</si>
  <si>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</si>
  <si>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</si>
  <si>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</si>
  <si>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</si>
  <si>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</si>
  <si>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</si>
  <si>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</si>
  <si>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</si>
  <si>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</si>
  <si>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</si>
  <si>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</si>
  <si>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</si>
  <si>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</si>
  <si>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</si>
  <si>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</si>
  <si>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</si>
  <si>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</si>
  <si>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</si>
  <si>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</si>
  <si>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</si>
  <si>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</si>
  <si>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</si>
  <si>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</si>
  <si>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</si>
  <si>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</si>
  <si>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</si>
  <si>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</si>
  <si>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</si>
  <si>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</si>
  <si>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</si>
  <si>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</si>
  <si>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</si>
  <si>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</si>
  <si>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</si>
  <si>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</si>
  <si>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</si>
  <si>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</si>
  <si>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</si>
  <si>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</si>
  <si>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</si>
  <si>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</si>
  <si>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</si>
  <si>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</si>
  <si>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</si>
  <si>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</si>
  <si>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</si>
  <si>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</si>
  <si>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</si>
  <si>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</si>
  <si>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</si>
  <si>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</si>
  <si>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</si>
  <si>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</si>
  <si>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</si>
  <si>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</si>
  <si>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</si>
  <si>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</si>
  <si>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</si>
  <si>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</si>
  <si>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</si>
  <si>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</si>
  <si>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</si>
  <si>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</si>
  <si>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</si>
  <si>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</si>
  <si>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</si>
  <si>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</si>
  <si>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</si>
  <si>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</si>
  <si>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</si>
  <si>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</si>
  <si>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</si>
  <si>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</si>
  <si>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</si>
  <si>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</si>
  <si>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</si>
  <si>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</si>
  <si>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</si>
  <si>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</si>
  <si>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</si>
  <si>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</si>
  <si>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</si>
  <si>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</si>
  <si>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</si>
  <si>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</si>
  <si>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</si>
  <si>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</si>
  <si>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</si>
  <si>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</si>
  <si>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</si>
  <si>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</si>
  <si>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</si>
  <si>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</si>
  <si>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</si>
  <si>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</si>
  <si>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</si>
  <si>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</si>
  <si>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</si>
  <si>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</si>
  <si>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</si>
  <si>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</si>
  <si>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</si>
  <si>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</si>
  <si>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</si>
  <si>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</si>
  <si>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</si>
  <si>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</si>
  <si>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</si>
  <si>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</si>
  <si>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</si>
  <si>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</si>
  <si>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</si>
  <si>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</si>
  <si>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</si>
  <si>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</si>
  <si>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</si>
  <si>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</si>
  <si>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</si>
  <si>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</si>
  <si>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</si>
  <si>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</si>
  <si>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</si>
  <si>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</si>
  <si>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</si>
  <si>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</si>
  <si>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</si>
  <si>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</si>
  <si>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</si>
  <si>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</si>
  <si>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</si>
  <si>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</si>
  <si>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</si>
  <si>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</si>
  <si>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</si>
  <si>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</si>
  <si>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</si>
  <si>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</si>
  <si>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</si>
  <si>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</si>
  <si>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</si>
  <si>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</si>
  <si>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</si>
  <si>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</si>
  <si>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</si>
  <si>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</si>
  <si>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</si>
  <si>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</si>
  <si>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</si>
  <si>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</si>
  <si>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</si>
  <si>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</si>
  <si>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</si>
  <si>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</si>
  <si>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</si>
  <si>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</si>
  <si>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</si>
  <si>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</si>
  <si>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</si>
  <si>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</si>
  <si>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</si>
  <si>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</si>
  <si>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</si>
  <si>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</si>
  <si>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</si>
  <si>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</si>
  <si>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</si>
  <si>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</si>
  <si>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</si>
  <si>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</si>
  <si>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</si>
  <si>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</si>
  <si>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</si>
  <si>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</si>
  <si>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</si>
  <si>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</si>
  <si>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</si>
  <si>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</si>
  <si>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</si>
  <si>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</si>
  <si>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</si>
  <si>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</si>
  <si>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</si>
  <si>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</si>
  <si>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</si>
  <si>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</si>
  <si>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</si>
  <si>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</si>
  <si>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</si>
  <si>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</si>
  <si>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</si>
  <si>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</si>
  <si>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</si>
  <si>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</si>
  <si>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</si>
  <si>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</si>
  <si>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</si>
  <si>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</si>
  <si>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</si>
  <si>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</si>
  <si>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</si>
  <si>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</si>
  <si>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</si>
  <si>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</si>
  <si>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</si>
  <si>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</si>
  <si>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</si>
  <si>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</si>
  <si>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</si>
  <si>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</si>
  <si>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</si>
  <si>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</si>
  <si>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</si>
  <si>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</si>
  <si>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</si>
  <si>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</si>
  <si>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</si>
  <si>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</si>
  <si>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</si>
  <si>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</si>
  <si>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</si>
  <si>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</si>
  <si>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</si>
  <si>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</si>
  <si>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</si>
  <si>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</si>
  <si>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</si>
  <si>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</si>
  <si>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</si>
  <si>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</si>
  <si>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</si>
  <si>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</si>
  <si>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</si>
  <si>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</si>
  <si>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</si>
  <si>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</si>
  <si>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</si>
  <si>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</si>
  <si>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</si>
  <si>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</si>
  <si>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</si>
  <si>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</si>
  <si>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</si>
  <si>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</si>
  <si>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</si>
  <si>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</si>
  <si>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</si>
  <si>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</si>
  <si>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</si>
  <si>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</si>
  <si>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</si>
  <si>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</si>
  <si>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</si>
  <si>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</si>
  <si>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</si>
  <si>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</si>
  <si>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</si>
  <si>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</si>
  <si>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</si>
  <si>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</si>
  <si>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</si>
  <si>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</si>
  <si>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</si>
  <si>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</si>
  <si>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</si>
  <si>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</si>
  <si>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</si>
  <si>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</si>
  <si>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</si>
  <si>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</si>
  <si>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</si>
  <si>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</si>
  <si>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</si>
  <si>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</si>
  <si>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</si>
  <si>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</si>
  <si>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</si>
  <si>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</si>
  <si>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</si>
  <si>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</si>
  <si>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</si>
  <si>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</si>
  <si>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</si>
  <si>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</si>
  <si>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</si>
  <si>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</si>
  <si>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</si>
  <si>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</si>
  <si>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</si>
  <si>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</si>
  <si>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</si>
  <si>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</si>
  <si>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</si>
  <si>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</si>
  <si>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</si>
  <si>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</si>
  <si>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</si>
  <si>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</si>
  <si>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</si>
  <si>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</si>
  <si>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</si>
  <si>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</si>
  <si>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</si>
  <si>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</si>
  <si>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</si>
  <si>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</si>
  <si>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</si>
  <si>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</si>
  <si>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</si>
  <si>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</si>
  <si>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</si>
  <si>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</si>
  <si>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</si>
  <si>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</si>
  <si>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</si>
  <si>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</si>
  <si>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</si>
  <si>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</si>
  <si>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</si>
  <si>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</si>
  <si>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</si>
  <si>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</si>
  <si>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</si>
  <si>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</si>
  <si>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</si>
  <si>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</si>
  <si>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</si>
  <si>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</si>
  <si>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</si>
  <si>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</si>
  <si>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</si>
  <si>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</si>
  <si>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</si>
  <si>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</si>
  <si>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</si>
  <si>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</si>
  <si>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</si>
  <si>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</si>
  <si>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</si>
  <si>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</si>
  <si>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</si>
  <si>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</si>
  <si>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</si>
  <si>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</si>
  <si>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</si>
  <si>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</si>
  <si>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</si>
  <si>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</si>
  <si>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</si>
  <si>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</si>
  <si>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</si>
  <si>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</si>
  <si>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</si>
  <si>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</si>
  <si>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</si>
  <si>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</si>
  <si>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</si>
  <si>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</si>
  <si>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</si>
  <si>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</si>
  <si>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</si>
  <si>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</si>
  <si>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</si>
  <si>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</si>
  <si>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</si>
  <si>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</si>
  <si>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</si>
  <si>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</si>
  <si>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</si>
  <si>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</si>
  <si>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</si>
  <si>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</si>
  <si>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</si>
  <si>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</si>
  <si>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</si>
  <si>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</si>
  <si>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</si>
  <si>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</si>
  <si>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</si>
  <si>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</si>
  <si>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</si>
  <si>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</si>
  <si>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</si>
  <si>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</si>
  <si>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</si>
  <si>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</si>
  <si>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</si>
  <si>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</si>
  <si>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</si>
  <si>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</si>
  <si>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</si>
  <si>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</si>
  <si>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</si>
  <si>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</si>
  <si>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</si>
  <si>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</si>
  <si>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</si>
  <si>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</si>
  <si>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</si>
  <si>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</si>
  <si>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</si>
  <si>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</si>
  <si>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</si>
  <si>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</si>
  <si>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</si>
  <si>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</si>
  <si>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</si>
  <si>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</si>
  <si>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</si>
  <si>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</si>
  <si>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</si>
  <si>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</si>
  <si>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</si>
  <si>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</si>
  <si>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</si>
  <si>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</si>
  <si>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</si>
  <si>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</si>
  <si>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</si>
  <si>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</si>
  <si>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</si>
  <si>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</si>
  <si>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</si>
  <si>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</si>
  <si>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</si>
  <si>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</si>
  <si>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</si>
  <si>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</si>
  <si>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</si>
  <si>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</si>
  <si>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</si>
  <si>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</si>
  <si>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</si>
  <si>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</si>
  <si>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</si>
  <si>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</si>
  <si>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</si>
  <si>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</si>
  <si>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</si>
  <si>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</si>
  <si>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</si>
  <si>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</si>
  <si>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</si>
  <si>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</si>
  <si>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</si>
  <si>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</si>
  <si>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</si>
  <si>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</si>
  <si>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</si>
  <si>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</si>
  <si>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</si>
  <si>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</si>
  <si>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</si>
  <si>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</si>
  <si>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</si>
  <si>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</si>
  <si>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</si>
  <si>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</si>
  <si>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</si>
  <si>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</si>
  <si>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</si>
  <si>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</si>
  <si>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</si>
  <si>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</si>
  <si>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</si>
  <si>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</si>
  <si>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</si>
  <si>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</si>
  <si>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</si>
  <si>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</si>
  <si>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</si>
  <si>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</si>
  <si>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</si>
  <si>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</si>
  <si>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</si>
  <si>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</si>
  <si>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</si>
  <si>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</si>
  <si>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</si>
  <si>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</si>
  <si>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</si>
  <si>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</si>
  <si>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</si>
  <si>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</si>
  <si>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</si>
  <si>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</si>
  <si>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</si>
  <si>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</si>
  <si>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</si>
  <si>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</si>
  <si>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</si>
  <si>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</si>
  <si>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</si>
  <si>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</si>
  <si>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</si>
  <si>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</si>
  <si>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</si>
  <si>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</si>
  <si>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</si>
  <si>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</si>
  <si>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</si>
  <si>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</si>
  <si>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</si>
  <si>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</si>
  <si>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</si>
  <si>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</si>
  <si>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</si>
  <si>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</si>
  <si>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</si>
  <si>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</si>
  <si>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</si>
  <si>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</si>
  <si>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</si>
  <si>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</si>
  <si>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</si>
  <si>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</si>
  <si>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</si>
  <si>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</si>
  <si>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</si>
  <si>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</si>
  <si>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</si>
  <si>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</si>
  <si>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</si>
  <si>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</si>
  <si>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</si>
  <si>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</si>
  <si>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</si>
  <si>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</si>
  <si>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</si>
  <si>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</si>
  <si>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</si>
  <si>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</si>
  <si>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</si>
  <si>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</si>
  <si>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</si>
  <si>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</si>
  <si>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</si>
  <si>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</si>
  <si>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</si>
  <si>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</si>
  <si>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</si>
  <si>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</si>
  <si>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</si>
  <si>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</si>
  <si>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</si>
  <si>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</si>
  <si>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</si>
  <si>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</si>
  <si>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</si>
  <si>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</si>
  <si>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</si>
  <si>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</si>
  <si>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</si>
  <si>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</si>
  <si>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</si>
  <si>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</si>
  <si>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</si>
  <si>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</si>
  <si>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</si>
  <si>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</si>
  <si>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</si>
  <si>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</si>
  <si>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</si>
  <si>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</si>
  <si>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</si>
  <si>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</si>
  <si>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</si>
  <si>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</si>
  <si>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</si>
  <si>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</si>
  <si>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</si>
  <si>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</si>
  <si>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Liberado para coleta</t>
  </si>
  <si>
    <t>EM PROCESSO FINAL DE FABRICAÇÃO 
2 CARRETAS DISPONIVEIS PARA EXPEDIÇÃO 23/07 e 27/07/2026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</si>
  <si>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</si>
  <si>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</si>
  <si>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</si>
  <si>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</si>
  <si>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</si>
  <si>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</si>
  <si>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</si>
  <si>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</si>
  <si>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</si>
  <si>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</si>
  <si>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</si>
  <si>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</si>
  <si>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</si>
  <si>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</si>
  <si>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</si>
  <si>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</si>
  <si>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</si>
  <si>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</si>
  <si>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</si>
  <si>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</si>
  <si>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</si>
  <si>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</si>
  <si>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</si>
  <si>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</si>
  <si>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</si>
  <si>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</si>
  <si>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</si>
  <si>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</si>
  <si>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</si>
  <si>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</si>
  <si>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</si>
  <si>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</si>
  <si>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</si>
  <si>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</si>
  <si>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</si>
  <si>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</si>
  <si>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</si>
  <si>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</si>
  <si>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</si>
  <si>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DISPONIVEL PARA EXPEDIÇÃO NA SEXTA FEIRA 24/07/2026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</si>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</sst>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  <font>
      <sz val="12"/>
      <name val="Calibri"/>
      <scheme val="minor"/>
    </font>
    <font>
      <sz val="12"/>
      <color rgb="FF00206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8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71" borderId="0" xfId="0" applyFill="1"/>
    <xf numFmtId="0" fontId="5" fillId="0" borderId="59" xfId="0" applyFont="1" applyBorder="1" applyAlignment="1" applyProtection="1">
      <alignment horizontal="center" vertical="center"/>
      <protection locked="0"/>
    </xf>
    <xf numFmtId="0" fontId="1" fillId="0" borderId="79" xfId="0" applyFont="1" applyBorder="1" applyAlignment="1">
      <alignment horizontal="center"/>
    </xf>
    <xf numFmtId="0" fontId="5" fillId="0" borderId="79" xfId="0" applyFont="1" applyBorder="1" applyProtection="1">
      <protection locked="0"/>
    </xf>
    <xf numFmtId="0" fontId="5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1" fillId="0" borderId="79" xfId="0" applyFont="1" applyBorder="1" applyAlignment="1" applyProtection="1">
      <alignment horizontal="center" vertical="center" wrapText="1"/>
      <protection locked="0"/>
    </xf>
    <xf numFmtId="0" fontId="89" fillId="0" borderId="79" xfId="0" applyFont="1" applyBorder="1" applyAlignment="1" applyProtection="1">
      <alignment horizontal="center" vertical="center" wrapText="1"/>
      <protection locked="0"/>
    </xf>
    <xf numFmtId="9" fontId="5" fillId="0" borderId="1" xfId="0" applyNumberFormat="1" applyFont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23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6.5806000000000004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9.3873999999999995</c:v>
                </c:pt>
                <c:pt idx="4">
                  <c:v>9.9344400000000022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31.416140000000002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18.121400000000001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3.6342000000000003</c:v>
                </c:pt>
                <c:pt idx="4">
                  <c:v>2.7099599999999997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65.519260000000003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11.8856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72.9084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1.1409999999999996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23.658799999999999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764" totalsRowShown="0" headerRowDxfId="122" tableBorderDxfId="121">
  <autoFilter ref="A1:AW764" xr:uid="{00000000-000C-0000-FFFF-FFFF00000000}">
    <filterColumn colId="10">
      <filters>
        <filter val="ESTRUTURA"/>
      </filters>
    </filterColumn>
  </autoFilter>
  <tableColumns count="49">
    <tableColumn id="1" xr3:uid="{00000000-0010-0000-0000-000001000000}" name="DESENHO_x000a_MDE" dataDxfId="120"/>
    <tableColumn id="43" xr3:uid="{56981E1B-CD3E-434D-AB02-C5F83A6F3E43}" name="DESENHO_x000a_CLIENTE" dataDxfId="119"/>
    <tableColumn id="2" xr3:uid="{00000000-0010-0000-0000-000002000000}" name="QTE" dataDxfId="118"/>
    <tableColumn id="3" xr3:uid="{00000000-0010-0000-0000-000003000000}" name="DESCRIÇÃO" dataDxfId="117"/>
    <tableColumn id="41" xr3:uid="{00000000-0010-0000-0000-000029000000}" name="COD.MDE" dataDxfId="116"/>
    <tableColumn id="40" xr3:uid="{00000000-0010-0000-0000-000028000000}" name="REMESSA" dataDxfId="115"/>
    <tableColumn id="4" xr3:uid="{00000000-0010-0000-0000-000004000000}" name="PESO UNI" dataDxfId="114"/>
    <tableColumn id="5" xr3:uid="{00000000-0010-0000-0000-000005000000}" name="PESO TOTAL" dataDxfId="113"/>
    <tableColumn id="6" xr3:uid="{00000000-0010-0000-0000-000006000000}" name="Revisão" dataDxfId="112"/>
    <tableColumn id="7" xr3:uid="{00000000-0010-0000-0000-000007000000}" name="TAG" dataDxfId="111"/>
    <tableColumn id="38" xr3:uid="{00000000-0010-0000-0000-000026000000}" name="PRODUTO" dataDxfId="110"/>
    <tableColumn id="8" xr3:uid="{00000000-0010-0000-0000-000008000000}" name="PEDIDO" dataDxfId="109"/>
    <tableColumn id="9" xr3:uid="{00000000-0010-0000-0000-000009000000}" name="Engenharia" dataDxfId="108"/>
    <tableColumn id="10" xr3:uid="{00000000-0010-0000-0000-00000A000000}" name="FORNECEDOR" dataDxfId="107"/>
    <tableColumn id="11" xr3:uid="{00000000-0010-0000-0000-00000B000000}" name="QTDE/ Fabricação" dataDxfId="106"/>
    <tableColumn id="12" xr3:uid="{00000000-0010-0000-0000-00000C000000}" name="DATA/Fabricação" dataDxfId="105"/>
    <tableColumn id="13" xr3:uid="{00000000-0010-0000-0000-00000D000000}" name="SALDO PENDENTE/Fabricação" dataDxfId="104"/>
    <tableColumn id="14" xr3:uid="{00000000-0010-0000-0000-00000E000000}" name="EVOLUÇÃO PRETO / Fabricação_x000a_(kg)" dataDxfId="103"/>
    <tableColumn id="15" xr3:uid="{00000000-0010-0000-0000-00000F000000}" name="PRONTO ACABADO kg" dataDxfId="102">
      <calculatedColumnFormula>IFERROR(H2*AG2,"")</calculatedColumnFormula>
    </tableColumn>
    <tableColumn id="16" xr3:uid="{00000000-0010-0000-0000-000010000000}" name="Pendencia  / Fabricação_x000a_EM KG" dataDxfId="101"/>
    <tableColumn id="17" xr3:uid="{00000000-0010-0000-0000-000011000000}" name="QIANTIDADE EXPEDIDA" dataDxfId="100"/>
    <tableColumn id="18" xr3:uid="{00000000-0010-0000-0000-000012000000}" name="ROMANEIO " dataDxfId="99"/>
    <tableColumn id="19" xr3:uid="{00000000-0010-0000-0000-000013000000}" name="DATA EXPEDIÇÃO" dataDxfId="98"/>
    <tableColumn id="20" xr3:uid="{00000000-0010-0000-0000-000014000000}" name="Peso Expedido" dataDxfId="97"/>
    <tableColumn id="21" xr3:uid="{00000000-0010-0000-0000-000015000000}" name="QUANTIDADE PENDENTE/Expedição" dataDxfId="96"/>
    <tableColumn id="22" xr3:uid="{00000000-0010-0000-0000-000016000000}" name="PESO PENDENTE/Expedição" dataDxfId="95"/>
    <tableColumn id="23" xr3:uid="{00000000-0010-0000-0000-000017000000}" name="MATÉRIA PRIMA" dataDxfId="94"/>
    <tableColumn id="24" xr3:uid="{00000000-0010-0000-0000-000018000000}" name="RELATORIO" dataDxfId="93"/>
    <tableColumn id="25" xr3:uid="{00000000-0010-0000-0000-000019000000}" name="PREPARAÇÃO " dataDxfId="92"/>
    <tableColumn id="26" xr3:uid="{00000000-0010-0000-0000-00001A000000}" name="CALDEIRARIA" dataDxfId="91"/>
    <tableColumn id="27" xr3:uid="{00000000-0010-0000-0000-00001B000000}" name="SOLDA" dataDxfId="90"/>
    <tableColumn id="28" xr3:uid="{00000000-0010-0000-0000-00001C000000}" name="ACABAMENTO" dataDxfId="89"/>
    <tableColumn id="29" xr3:uid="{00000000-0010-0000-0000-00001D000000}" name="PRONTO ACABADO" dataDxfId="88"/>
    <tableColumn id="30" xr3:uid="{00000000-0010-0000-0000-00001E000000}" name="EXPEDIÇÃO " dataDxfId="87"/>
    <tableColumn id="31" xr3:uid="{00000000-0010-0000-0000-00001F000000}" name="FINALIZADO " dataDxfId="86"/>
    <tableColumn id="32" xr3:uid="{00000000-0010-0000-0000-000020000000}" name="Coluna1" dataDxfId="85"/>
    <tableColumn id="33" xr3:uid="{00000000-0010-0000-0000-000021000000}" name="Coluna2" dataDxfId="84"/>
    <tableColumn id="34" xr3:uid="{00000000-0010-0000-0000-000022000000}" name="Coluna3" dataDxfId="83"/>
    <tableColumn id="35" xr3:uid="{00000000-0010-0000-0000-000023000000}" name="Coluna4" dataDxfId="82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81"/>
    <tableColumn id="42" xr3:uid="{44772FB5-94B9-4683-9D51-42A525419432}" name="Colunas7" dataDxfId="80"/>
    <tableColumn id="44" xr3:uid="{7DBCA215-A831-41EC-8668-4217050D7CEF}" name="Coluna5" dataDxfId="79"/>
    <tableColumn id="52" xr3:uid="{0F1E3E30-ACD2-41A7-9FEB-CFC4141C720F}" name="PRONTO NO PRETO" dataDxfId="78"/>
    <tableColumn id="53" xr3:uid="{7B42991E-C57D-449B-9CA4-FF51ED3B7EE1}" name="PRONTO ACABADO3" dataDxfId="77"/>
    <tableColumn id="54" xr3:uid="{B185D57F-2904-41B4-A913-414AD30553DC}" name="PESO EXPEDIDO2" dataDxfId="76"/>
    <tableColumn id="55" xr3:uid="{216FC5C0-1E81-4ACF-B1FE-D38AAA1F26E6}" name="PRONTO ACABADO2" dataDxfId="75"/>
    <tableColumn id="57" xr3:uid="{58807113-78D0-4422-B88A-8E66792B9681}" name="Coluna7" dataDxfId="7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5" totalsRowShown="0" headerRowDxfId="73" headerRowBorderDxfId="72" tableBorderDxfId="71" totalsRowBorderDxfId="70">
  <autoFilter ref="A1:F15" xr:uid="{9E04BDB3-7991-400D-A075-6EF4E207F167}"/>
  <tableColumns count="6">
    <tableColumn id="1" xr3:uid="{0986BF72-EBA9-4CAA-A22C-20021A2F0193}" name="PEDIDO" dataDxfId="69"/>
    <tableColumn id="2" xr3:uid="{1E29E510-3230-4D4A-9101-BF1603DA1959}" name="EQUIPAMENTO" dataDxfId="68"/>
    <tableColumn id="3" xr3:uid="{27EA8246-98FE-4DF0-AB4F-2563340E3A33}" name="DATA PREVISTA " dataDxfId="67"/>
    <tableColumn id="4" xr3:uid="{178705E0-20E1-4EA8-BD6A-04EDA09B960F}" name="DATA REPROGRAMADA" dataDxfId="66"/>
    <tableColumn id="5" xr3:uid="{D69E8AE6-FCF7-4D70-8443-DFF41092DBA5}" name="Observação" dataDxfId="65"/>
    <tableColumn id="6" xr3:uid="{7ED96CF2-6F65-4A02-A0B9-FFDE23E894EB}" name="CLIENTE" dataDxfId="6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63">
  <autoFilter ref="D3:R395" xr:uid="{D635AFD0-01A4-4F4C-B4BB-2C0A84AFA373}"/>
  <tableColumns count="15">
    <tableColumn id="1" xr3:uid="{71019319-E348-41C4-90A8-BD800AFA385A}" name="TAG" dataDxfId="62"/>
    <tableColumn id="2" xr3:uid="{6205B1F5-4B96-401E-A8F0-D0B582A87E91}" name="PEDIDO" dataDxfId="61">
      <calculatedColumnFormula>VLOOKUP(Tabela2[[#This Row],[TAG]],MICRO!J:L,3,0)</calculatedColumnFormula>
    </tableColumn>
    <tableColumn id="3" xr3:uid="{EBC41BBB-459B-4DB5-8152-2C7C2C7ADFAA}" name="FORNECEDOR" dataDxfId="60" dataCellStyle="Normal 2"/>
    <tableColumn id="4" xr3:uid="{EE719B42-3B82-4AC6-AB4D-66A5AF76AAFC}" name="RECEBIDO ENGENHARIA (kg)" dataDxfId="59">
      <calculatedColumnFormula>SUMIF(MICRO!AP:AP,O:O,MICRO!H:H)</calculatedColumnFormula>
    </tableColumn>
    <tableColumn id="5" xr3:uid="{F8EF71F0-2467-40E6-8596-0C50AE8B2E56}" name="EM AVANÇO NO PRETO (kg)" dataDxfId="58">
      <calculatedColumnFormula>SUMIF(MICRO!AP:AP,O:O,MICRO!R:R)</calculatedColumnFormula>
    </tableColumn>
    <tableColumn id="6" xr3:uid="{70FA8036-1726-409E-865E-BBD68DD0CF2B}" name="Pendencia  / Fabricação_x000a_EM KG _x000a_(Kg)" dataDxfId="57">
      <calculatedColumnFormula>SUMIF(MICRO!AP:AP,O:O,MICRO!T:T)</calculatedColumnFormula>
    </tableColumn>
    <tableColumn id="7" xr3:uid="{2EDBF5C8-B6A0-4234-9B37-F4D245CBE335}" name="EVOLUÇÃO %" dataDxfId="56">
      <calculatedColumnFormula>IF(G4 = 0,0,H4/G4)</calculatedColumnFormula>
    </tableColumn>
    <tableColumn id="8" xr3:uid="{981D372E-5C81-43AA-82CF-C526D0CD7BC5}" name="PESO EXPEDIDO" dataDxfId="55">
      <calculatedColumnFormula>SUMIF(MICRO!AP:AP,O:O,MICRO!X:X)</calculatedColumnFormula>
    </tableColumn>
    <tableColumn id="9" xr3:uid="{9581E1B5-4976-4A66-B050-5EDFF64499FF}" name="% EXPEDIDO" dataDxfId="54">
      <calculatedColumnFormula>IF(G4&lt;&gt;0,SUM(K4/G4*1),"0%")</calculatedColumnFormula>
    </tableColumn>
    <tableColumn id="10" xr3:uid="{5A0DEF47-FBD5-46D6-A019-DB5E3CF46E5B}" name="PESO PENDENTE4" dataDxfId="53">
      <calculatedColumnFormula>G4-K4</calculatedColumnFormula>
    </tableColumn>
    <tableColumn id="11" xr3:uid="{AD13F8E0-0652-4176-B922-E74BEC175E7A}" name="Coluna1" dataDxfId="52">
      <calculatedColumnFormula>E4&amp;F4</calculatedColumnFormula>
    </tableColumn>
    <tableColumn id="12" xr3:uid="{9AB5E2D8-1AD6-4B63-A9ED-66372E94A48F}" name="Coluna2" dataDxfId="51">
      <calculatedColumnFormula>D4&amp;E4&amp;F4</calculatedColumnFormula>
    </tableColumn>
    <tableColumn id="13" xr3:uid="{ED15B1A8-5672-4E4D-9246-3BC797332C64}" name="PRONTO NO PRETO" dataDxfId="50">
      <calculatedColumnFormula>SUMIF(MICRO!AP:AP,O4,MICRO!AS:AS)</calculatedColumnFormula>
    </tableColumn>
    <tableColumn id="14" xr3:uid="{986427E9-0E8F-46D1-987F-01DBA908B397}" name="PRONTO ACABADO" dataDxfId="49">
      <calculatedColumnFormula>SUMIF(MICRO!AP:AP,O4,MICRO!AT:AT)</calculatedColumnFormula>
    </tableColumn>
    <tableColumn id="15" xr3:uid="{4361E9F4-014E-4677-9D4A-8DBAE707BA31}" name="PESO EXPEDIDO2" dataDxfId="48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26" t="s">
        <v>326</v>
      </c>
      <c r="B1" s="228" t="s">
        <v>891</v>
      </c>
      <c r="C1" s="229"/>
      <c r="D1" s="229"/>
      <c r="E1" s="229"/>
      <c r="F1" s="229"/>
      <c r="G1" s="230"/>
      <c r="H1" s="223" t="s">
        <v>331</v>
      </c>
      <c r="I1" s="224"/>
      <c r="J1" s="224"/>
      <c r="K1" s="225"/>
    </row>
    <row r="2" spans="1:11" x14ac:dyDescent="0.25">
      <c r="A2" s="22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0"/>
      <c r="B5" s="221"/>
      <c r="C5" s="221"/>
      <c r="D5" s="221"/>
      <c r="E5" s="221"/>
      <c r="F5" s="221"/>
      <c r="G5" s="221"/>
      <c r="H5" s="221"/>
      <c r="I5" s="221"/>
      <c r="J5" s="221"/>
      <c r="K5" s="222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764"/>
  <sheetViews>
    <sheetView showGridLines="0" tabSelected="1" topLeftCell="G1" zoomScale="70" zoomScaleNormal="70" workbookViewId="0">
      <pane ySplit="1" topLeftCell="A545" activePane="bottomLeft" state="frozen"/>
      <selection pane="bottomLeft" activeCell="Z28" sqref="Z28:Z626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4540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4324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4325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1</v>
      </c>
      <c r="D8" s="39" t="s">
        <v>2281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2274</v>
      </c>
      <c r="K8" s="8" t="s">
        <v>33</v>
      </c>
      <c r="L8" s="9" t="s">
        <v>2069</v>
      </c>
      <c r="M8" s="10">
        <v>46100</v>
      </c>
      <c r="N8" s="8" t="s">
        <v>38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1</v>
      </c>
      <c r="D9" s="39" t="s">
        <v>2281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2276</v>
      </c>
      <c r="K9" s="8" t="s">
        <v>33</v>
      </c>
      <c r="L9" s="9" t="s">
        <v>2069</v>
      </c>
      <c r="M9" s="10">
        <v>46100</v>
      </c>
      <c r="N9" s="8" t="s">
        <v>38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85.387500000000003</v>
      </c>
      <c r="S35" s="18">
        <f t="shared" si="7"/>
        <v>49.5</v>
      </c>
      <c r="T35" s="19">
        <f t="shared" si="9"/>
        <v>-49.5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0.5</v>
      </c>
      <c r="AF35" s="33">
        <v>0.5</v>
      </c>
      <c r="AG35" s="33">
        <v>0.5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49.5</v>
      </c>
      <c r="AU35" s="37">
        <f t="shared" si="5"/>
        <v>0</v>
      </c>
      <c r="AV35" s="37">
        <f t="shared" si="6"/>
        <v>49.5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46183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/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/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3034</v>
      </c>
      <c r="K40" s="8" t="s">
        <v>23</v>
      </c>
      <c r="L40" s="9" t="s">
        <v>2984</v>
      </c>
      <c r="M40" s="10"/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/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/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/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/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/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/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/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/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/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25">
      <c r="A50" s="6" t="s">
        <v>3055</v>
      </c>
      <c r="B50" s="21"/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4418</v>
      </c>
      <c r="J50" s="8" t="s">
        <v>3034</v>
      </c>
      <c r="K50" s="8" t="s">
        <v>31</v>
      </c>
      <c r="L50" s="9" t="s">
        <v>2984</v>
      </c>
      <c r="M50" s="10"/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25">
      <c r="A51" s="6" t="s">
        <v>3055</v>
      </c>
      <c r="B51" s="21"/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4418</v>
      </c>
      <c r="J51" s="8" t="s">
        <v>3034</v>
      </c>
      <c r="K51" s="8" t="s">
        <v>31</v>
      </c>
      <c r="L51" s="9" t="s">
        <v>2984</v>
      </c>
      <c r="M51" s="10"/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25">
      <c r="A52" s="6" t="s">
        <v>3055</v>
      </c>
      <c r="B52" s="21"/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4418</v>
      </c>
      <c r="J52" s="8" t="s">
        <v>3034</v>
      </c>
      <c r="K52" s="8" t="s">
        <v>31</v>
      </c>
      <c r="L52" s="9" t="s">
        <v>2984</v>
      </c>
      <c r="M52" s="10"/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/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/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/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3045</v>
      </c>
      <c r="K56" s="8" t="s">
        <v>33</v>
      </c>
      <c r="L56" s="9" t="s">
        <v>2984</v>
      </c>
      <c r="M56" s="10"/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3045</v>
      </c>
      <c r="K57" s="8" t="s">
        <v>33</v>
      </c>
      <c r="L57" s="9" t="s">
        <v>2984</v>
      </c>
      <c r="M57" s="10"/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/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/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/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/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/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/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/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/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/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/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/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/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/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/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/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/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/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/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/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/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/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/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119.92499999999998</v>
      </c>
      <c r="S80" s="18">
        <f t="shared" ref="S80:S117" si="20">IFERROR(H80*AG80,"")</f>
        <v>61.499999999999993</v>
      </c>
      <c r="T80" s="19">
        <f t="shared" ref="T80:T114" si="21">IFERROR(S80-H80,"")</f>
        <v>-61.499999999999993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0.5</v>
      </c>
      <c r="AG80" s="33">
        <v>0.5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61.499999999999993</v>
      </c>
      <c r="AU80" s="37">
        <f t="shared" si="12"/>
        <v>0</v>
      </c>
      <c r="AV80" s="37">
        <f t="shared" si="13"/>
        <v>61.499999999999993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4419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4419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4419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4419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4419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4419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4418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4418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4419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4417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4417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4417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345.6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/>
      <c r="AE92" s="33"/>
      <c r="AF92" s="33"/>
      <c r="AG92" s="33"/>
      <c r="AH92" s="33"/>
      <c r="AI92" s="33" t="str">
        <f t="shared" ref="AI92:AI155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4417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57.6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/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4417</v>
      </c>
      <c r="J94" s="8" t="s">
        <v>3034</v>
      </c>
      <c r="K94" s="8" t="s">
        <v>45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4417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4417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4417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4417</v>
      </c>
      <c r="J98" s="8" t="s">
        <v>3034</v>
      </c>
      <c r="K98" s="8" t="s">
        <v>45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4417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4417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4">IF(AH101="",0,IF(ISTEXT(AH101),H101*VALUE(SUBSTITUTE(AH101,"%",""))/100,H101*AH101))</f>
        <v>10.8</v>
      </c>
      <c r="AV101" s="37">
        <f t="shared" ref="AV101:AV164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78.48899999999999</v>
      </c>
      <c r="S115" s="18">
        <f t="shared" si="20"/>
        <v>29.159999999999997</v>
      </c>
      <c r="T115" s="19">
        <f t="shared" ref="T115:T148" si="27">IFERROR(S115-H115,"")</f>
        <v>-68.039999999999992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0.3</v>
      </c>
      <c r="AF115" s="33">
        <v>0.3</v>
      </c>
      <c r="AG115" s="33">
        <v>0.3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29.159999999999997</v>
      </c>
      <c r="AU115" s="37">
        <f t="shared" si="24"/>
        <v>0</v>
      </c>
      <c r="AV115" s="37">
        <f t="shared" si="25"/>
        <v>29.159999999999997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3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3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4416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16.5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/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4696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4302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325.01749999999998</v>
      </c>
      <c r="S129" s="18">
        <f t="shared" si="29"/>
        <v>0</v>
      </c>
      <c r="T129" s="19">
        <f t="shared" si="27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448.3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4302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48.284999999999997</v>
      </c>
      <c r="S130" s="18">
        <f t="shared" si="29"/>
        <v>0</v>
      </c>
      <c r="T130" s="19">
        <f t="shared" si="27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66.599999999999994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4302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339.15499999999997</v>
      </c>
      <c r="S131" s="18">
        <f t="shared" si="29"/>
        <v>0</v>
      </c>
      <c r="T131" s="19">
        <f t="shared" si="27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467.8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46176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158.4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46176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162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46170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3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4302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4302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4302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4302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4302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4302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4302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4302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4302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4302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4302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4302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4302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4302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4302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3" si="31">IFERROR(H149*((AA149*0.25)+(AC149*0.25)+(AD149*0.225)+(AE149*0.225)+(AF149*0.05)),"")</f>
        <v>0</v>
      </c>
      <c r="S149" s="18">
        <f t="shared" si="29"/>
        <v>0</v>
      </c>
      <c r="T149" s="19">
        <f t="shared" ref="T149:T153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4302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4302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0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4</v>
      </c>
      <c r="D152" s="39" t="s">
        <v>3734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-4</v>
      </c>
      <c r="R152" s="18">
        <f t="shared" si="31"/>
        <v>0</v>
      </c>
      <c r="S152" s="18">
        <f t="shared" si="29"/>
        <v>0</v>
      </c>
      <c r="T152" s="19">
        <f t="shared" si="32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customHeight="1" x14ac:dyDescent="0.25">
      <c r="A153" s="6" t="s">
        <v>3732</v>
      </c>
      <c r="B153" s="21" t="s">
        <v>3733</v>
      </c>
      <c r="C153" s="7">
        <v>1</v>
      </c>
      <c r="D153" s="39" t="s">
        <v>3735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3045</v>
      </c>
      <c r="K153" s="8" t="s">
        <v>31</v>
      </c>
      <c r="L153" s="9" t="s">
        <v>2984</v>
      </c>
      <c r="M153" s="10">
        <v>46210</v>
      </c>
      <c r="N153" s="8" t="s">
        <v>38</v>
      </c>
      <c r="O153" s="12"/>
      <c r="P153" s="13"/>
      <c r="Q153" s="14">
        <f>Tabela1[[#This Row],[QTDE/ Fabricação]]-Tabela1[[#This Row],[QTE]]</f>
        <v>-1</v>
      </c>
      <c r="R153" s="18">
        <f t="shared" si="31"/>
        <v>144.71250000000001</v>
      </c>
      <c r="S153" s="18">
        <f t="shared" si="29"/>
        <v>0</v>
      </c>
      <c r="T153" s="19">
        <f t="shared" si="32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8"/>
        <v>-1</v>
      </c>
      <c r="Z153" s="20">
        <f>Tabela1[[#This Row],[PESO TOTAL]]-Tabela1[[#This Row],[Peso Expedido]]</f>
        <v>255</v>
      </c>
      <c r="AA153" s="17">
        <v>1</v>
      </c>
      <c r="AB153" s="33"/>
      <c r="AC153" s="33">
        <v>1</v>
      </c>
      <c r="AD153" s="33">
        <v>0.3</v>
      </c>
      <c r="AE153" s="33"/>
      <c r="AF153" s="33"/>
      <c r="AG153" s="33"/>
      <c r="AH153" s="33"/>
      <c r="AI153" s="33" t="str">
        <f t="shared" si="23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4"/>
        <v>0</v>
      </c>
      <c r="AV153" s="37">
        <f t="shared" si="25"/>
        <v>0</v>
      </c>
      <c r="AW153" s="37"/>
    </row>
    <row r="154" spans="1:49" ht="15.75" hidden="1" customHeight="1" x14ac:dyDescent="0.25">
      <c r="A154" s="6" t="s">
        <v>3758</v>
      </c>
      <c r="B154" s="21" t="s">
        <v>3759</v>
      </c>
      <c r="C154" s="7">
        <v>1</v>
      </c>
      <c r="D154" s="39" t="s">
        <v>3760</v>
      </c>
      <c r="E154" s="7">
        <v>4039</v>
      </c>
      <c r="F154" s="7" t="s">
        <v>3761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33">IFERROR(H154*((AA154*0.25)+(AC154*0.25)+(AD154*0.225)+(AE154*0.225)+(AF154*0.05)),"")</f>
        <v>1360</v>
      </c>
      <c r="S154" s="18">
        <f t="shared" ref="S154:S181" si="34">IFERROR(H154*AG154,"")</f>
        <v>1360</v>
      </c>
      <c r="T154" s="19">
        <f t="shared" ref="T154:T217" si="35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36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33" t="s">
        <v>4415</v>
      </c>
      <c r="AK154" s="33" t="s">
        <v>4415</v>
      </c>
      <c r="AL154" s="33" t="s">
        <v>4415</v>
      </c>
      <c r="AM154" s="33" t="s">
        <v>4415</v>
      </c>
      <c r="AN154" s="33" t="s">
        <v>4415</v>
      </c>
      <c r="AO154" s="33" t="s">
        <v>4415</v>
      </c>
      <c r="AP154" s="33" t="s">
        <v>4415</v>
      </c>
      <c r="AQ154" s="33" t="s">
        <v>4415</v>
      </c>
      <c r="AR154" s="33" t="s">
        <v>4415</v>
      </c>
      <c r="AS154" s="33" t="s">
        <v>4415</v>
      </c>
      <c r="AT154" s="33" t="s">
        <v>4415</v>
      </c>
      <c r="AU154" s="33" t="s">
        <v>4415</v>
      </c>
      <c r="AV154" s="33" t="s">
        <v>4415</v>
      </c>
      <c r="AW154" s="33" t="s">
        <v>4415</v>
      </c>
    </row>
    <row r="155" spans="1:49" ht="15.75" hidden="1" customHeight="1" x14ac:dyDescent="0.25">
      <c r="A155" s="6" t="s">
        <v>3758</v>
      </c>
      <c r="B155" s="21" t="s">
        <v>3759</v>
      </c>
      <c r="C155" s="7">
        <v>1</v>
      </c>
      <c r="D155" s="39" t="s">
        <v>3760</v>
      </c>
      <c r="E155" s="7">
        <v>4040</v>
      </c>
      <c r="F155" s="7" t="s">
        <v>3761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1360</v>
      </c>
      <c r="S155" s="18">
        <f t="shared" si="34"/>
        <v>1360</v>
      </c>
      <c r="T155" s="19">
        <f t="shared" si="35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1360</v>
      </c>
      <c r="AV155" s="37">
        <f t="shared" si="25"/>
        <v>1360</v>
      </c>
      <c r="AW155" s="37"/>
    </row>
    <row r="156" spans="1:49" ht="15.75" hidden="1" customHeight="1" x14ac:dyDescent="0.25">
      <c r="A156" s="6" t="s">
        <v>3762</v>
      </c>
      <c r="B156" s="21" t="s">
        <v>3763</v>
      </c>
      <c r="C156" s="7">
        <v>1</v>
      </c>
      <c r="D156" s="39" t="s">
        <v>3760</v>
      </c>
      <c r="E156" s="7">
        <v>4041</v>
      </c>
      <c r="F156" s="7" t="s">
        <v>3761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7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3762</v>
      </c>
      <c r="B157" s="21" t="s">
        <v>3763</v>
      </c>
      <c r="C157" s="7">
        <v>1</v>
      </c>
      <c r="D157" s="39" t="s">
        <v>3760</v>
      </c>
      <c r="E157" s="7">
        <v>4042</v>
      </c>
      <c r="F157" s="7" t="s">
        <v>3761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33"/>
        <v>1335.1</v>
      </c>
      <c r="S157" s="18">
        <f t="shared" si="34"/>
        <v>1335.1</v>
      </c>
      <c r="T157" s="19">
        <f t="shared" si="35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1335.1</v>
      </c>
      <c r="AV157" s="37">
        <f t="shared" si="25"/>
        <v>1335.1</v>
      </c>
      <c r="AW157" s="37"/>
    </row>
    <row r="158" spans="1:49" ht="15.75" hidden="1" customHeight="1" x14ac:dyDescent="0.25">
      <c r="A158" s="6" t="s">
        <v>3764</v>
      </c>
      <c r="B158" s="21" t="s">
        <v>3765</v>
      </c>
      <c r="C158" s="7">
        <v>2</v>
      </c>
      <c r="D158" s="39" t="s">
        <v>3766</v>
      </c>
      <c r="E158" s="7">
        <v>4043</v>
      </c>
      <c r="F158" s="7" t="s">
        <v>3767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33"/>
        <v>25.2</v>
      </c>
      <c r="S158" s="18">
        <f t="shared" si="34"/>
        <v>25.2</v>
      </c>
      <c r="T158" s="19">
        <f t="shared" si="35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25.2</v>
      </c>
      <c r="AV158" s="37">
        <f t="shared" si="25"/>
        <v>25.2</v>
      </c>
      <c r="AW158" s="37"/>
    </row>
    <row r="159" spans="1:49" ht="15.75" hidden="1" customHeight="1" x14ac:dyDescent="0.25">
      <c r="A159" s="6" t="s">
        <v>3764</v>
      </c>
      <c r="B159" s="21" t="s">
        <v>3768</v>
      </c>
      <c r="C159" s="7">
        <v>4</v>
      </c>
      <c r="D159" s="39" t="s">
        <v>3766</v>
      </c>
      <c r="E159" s="7">
        <v>4044</v>
      </c>
      <c r="F159" s="7" t="s">
        <v>3767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50.4</v>
      </c>
      <c r="S159" s="18">
        <f t="shared" si="34"/>
        <v>50.4</v>
      </c>
      <c r="T159" s="19">
        <f t="shared" si="35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50.4</v>
      </c>
      <c r="AV159" s="37">
        <f t="shared" si="25"/>
        <v>50.4</v>
      </c>
      <c r="AW159" s="37"/>
    </row>
    <row r="160" spans="1:49" ht="15.75" hidden="1" customHeight="1" x14ac:dyDescent="0.25">
      <c r="A160" s="6" t="s">
        <v>3764</v>
      </c>
      <c r="B160" s="21" t="s">
        <v>3769</v>
      </c>
      <c r="C160" s="7">
        <v>4</v>
      </c>
      <c r="D160" s="39" t="s">
        <v>3770</v>
      </c>
      <c r="E160" s="7">
        <v>4045</v>
      </c>
      <c r="F160" s="7" t="s">
        <v>3767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33"/>
        <v>228.4</v>
      </c>
      <c r="S160" s="18">
        <f t="shared" si="34"/>
        <v>228.4</v>
      </c>
      <c r="T160" s="19">
        <f t="shared" si="35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3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7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228.4</v>
      </c>
      <c r="AV160" s="37">
        <f t="shared" si="25"/>
        <v>228.4</v>
      </c>
      <c r="AW160" s="37"/>
    </row>
    <row r="161" spans="1:49" ht="15.75" hidden="1" customHeight="1" x14ac:dyDescent="0.25">
      <c r="A161" s="6" t="s">
        <v>3764</v>
      </c>
      <c r="B161" s="21" t="s">
        <v>3771</v>
      </c>
      <c r="C161" s="7">
        <v>24</v>
      </c>
      <c r="D161" s="39" t="s">
        <v>3770</v>
      </c>
      <c r="E161" s="7">
        <v>4046</v>
      </c>
      <c r="F161" s="7" t="s">
        <v>3767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33"/>
        <v>19.200000000000003</v>
      </c>
      <c r="S161" s="18">
        <f t="shared" si="34"/>
        <v>19.200000000000003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7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4"/>
        <v>0</v>
      </c>
      <c r="AV161" s="37">
        <f t="shared" si="25"/>
        <v>19.200000000000003</v>
      </c>
      <c r="AW161" s="37"/>
    </row>
    <row r="162" spans="1:49" ht="15.75" hidden="1" customHeight="1" x14ac:dyDescent="0.25">
      <c r="A162" s="6" t="s">
        <v>3764</v>
      </c>
      <c r="B162" s="21" t="s">
        <v>3772</v>
      </c>
      <c r="C162" s="7">
        <v>1</v>
      </c>
      <c r="D162" s="39" t="s">
        <v>3770</v>
      </c>
      <c r="E162" s="7">
        <v>4047</v>
      </c>
      <c r="F162" s="7" t="s">
        <v>3767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33"/>
        <v>128.80000000000001</v>
      </c>
      <c r="S162" s="18">
        <f t="shared" si="34"/>
        <v>0</v>
      </c>
      <c r="T162" s="19">
        <f t="shared" si="35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3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7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4"/>
        <v>0</v>
      </c>
      <c r="AV162" s="37">
        <f t="shared" si="25"/>
        <v>0</v>
      </c>
      <c r="AW162" s="37"/>
    </row>
    <row r="163" spans="1:49" ht="15.75" hidden="1" customHeight="1" x14ac:dyDescent="0.25">
      <c r="A163" s="6" t="s">
        <v>3764</v>
      </c>
      <c r="B163" s="21" t="s">
        <v>3765</v>
      </c>
      <c r="C163" s="7">
        <v>2</v>
      </c>
      <c r="D163" s="39" t="s">
        <v>3766</v>
      </c>
      <c r="E163" s="7">
        <v>4048</v>
      </c>
      <c r="F163" s="7" t="s">
        <v>3767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33"/>
        <v>25.2</v>
      </c>
      <c r="S163" s="18">
        <f t="shared" si="34"/>
        <v>25.2</v>
      </c>
      <c r="T163" s="19">
        <f t="shared" si="35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7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25.2</v>
      </c>
      <c r="AV163" s="37">
        <f t="shared" si="25"/>
        <v>25.2</v>
      </c>
      <c r="AW163" s="37"/>
    </row>
    <row r="164" spans="1:49" ht="15.75" hidden="1" customHeight="1" x14ac:dyDescent="0.25">
      <c r="A164" s="6" t="s">
        <v>3764</v>
      </c>
      <c r="B164" s="21" t="s">
        <v>3768</v>
      </c>
      <c r="C164" s="7">
        <v>4</v>
      </c>
      <c r="D164" s="39" t="s">
        <v>3766</v>
      </c>
      <c r="E164" s="7">
        <v>4049</v>
      </c>
      <c r="F164" s="7" t="s">
        <v>3767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50.4</v>
      </c>
      <c r="S164" s="18">
        <f t="shared" si="34"/>
        <v>50.4</v>
      </c>
      <c r="T164" s="19">
        <f t="shared" si="35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7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4"/>
        <v>50.4</v>
      </c>
      <c r="AV164" s="37">
        <f t="shared" si="25"/>
        <v>50.4</v>
      </c>
      <c r="AW164" s="37"/>
    </row>
    <row r="165" spans="1:49" ht="15.75" hidden="1" customHeight="1" x14ac:dyDescent="0.25">
      <c r="A165" s="6" t="s">
        <v>3764</v>
      </c>
      <c r="B165" s="21" t="s">
        <v>3769</v>
      </c>
      <c r="C165" s="7">
        <v>4</v>
      </c>
      <c r="D165" s="39" t="s">
        <v>3770</v>
      </c>
      <c r="E165" s="7">
        <v>4050</v>
      </c>
      <c r="F165" s="7" t="s">
        <v>3767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33"/>
        <v>228.4</v>
      </c>
      <c r="S165" s="18">
        <f t="shared" si="34"/>
        <v>228.4</v>
      </c>
      <c r="T165" s="19">
        <f t="shared" si="35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3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7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8">IF(AH165="",0,IF(ISTEXT(AH165),H165*VALUE(SUBSTITUTE(AH165,"%",""))/100,H165*AH165))</f>
        <v>228.4</v>
      </c>
      <c r="AV165" s="37">
        <f t="shared" ref="AV165:AV228" si="39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3764</v>
      </c>
      <c r="B166" s="21" t="s">
        <v>3772</v>
      </c>
      <c r="C166" s="7">
        <v>1</v>
      </c>
      <c r="D166" s="39" t="s">
        <v>3770</v>
      </c>
      <c r="E166" s="7">
        <v>4051</v>
      </c>
      <c r="F166" s="7" t="s">
        <v>3767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33"/>
        <v>128.80000000000001</v>
      </c>
      <c r="S166" s="18">
        <f t="shared" si="34"/>
        <v>0</v>
      </c>
      <c r="T166" s="19">
        <f t="shared" si="35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7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8"/>
        <v>0</v>
      </c>
      <c r="AV166" s="37">
        <f t="shared" si="39"/>
        <v>0</v>
      </c>
      <c r="AW166" s="37"/>
    </row>
    <row r="167" spans="1:49" ht="15.75" hidden="1" customHeight="1" x14ac:dyDescent="0.25">
      <c r="A167" s="6" t="s">
        <v>3764</v>
      </c>
      <c r="B167" s="21" t="s">
        <v>3771</v>
      </c>
      <c r="C167" s="7">
        <v>24</v>
      </c>
      <c r="D167" s="39" t="s">
        <v>3770</v>
      </c>
      <c r="E167" s="7">
        <v>4052</v>
      </c>
      <c r="F167" s="7" t="s">
        <v>3767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33"/>
        <v>19.200000000000003</v>
      </c>
      <c r="S167" s="18">
        <f t="shared" si="34"/>
        <v>19.200000000000003</v>
      </c>
      <c r="T167" s="19">
        <f t="shared" si="35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3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7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8"/>
        <v>0</v>
      </c>
      <c r="AV167" s="37">
        <f t="shared" si="39"/>
        <v>19.200000000000003</v>
      </c>
      <c r="AW167" s="37"/>
    </row>
    <row r="168" spans="1:49" ht="15.75" hidden="1" customHeight="1" x14ac:dyDescent="0.25">
      <c r="A168" s="6" t="s">
        <v>3773</v>
      </c>
      <c r="B168" s="21" t="s">
        <v>3774</v>
      </c>
      <c r="C168" s="7">
        <v>1</v>
      </c>
      <c r="D168" s="39" t="s">
        <v>3760</v>
      </c>
      <c r="E168" s="7">
        <v>4053</v>
      </c>
      <c r="F168" s="7" t="s">
        <v>3775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1137.2</v>
      </c>
      <c r="S168" s="18">
        <f t="shared" si="34"/>
        <v>1137.2</v>
      </c>
      <c r="T168" s="19">
        <f t="shared" si="35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1137.2</v>
      </c>
      <c r="AV168" s="37">
        <f t="shared" si="39"/>
        <v>1137.2</v>
      </c>
      <c r="AW168" s="37"/>
    </row>
    <row r="169" spans="1:49" ht="15.75" hidden="1" customHeight="1" x14ac:dyDescent="0.25">
      <c r="A169" s="6" t="s">
        <v>3773</v>
      </c>
      <c r="B169" s="21" t="s">
        <v>3776</v>
      </c>
      <c r="C169" s="7">
        <v>1</v>
      </c>
      <c r="D169" s="39" t="s">
        <v>3777</v>
      </c>
      <c r="E169" s="7">
        <v>4054</v>
      </c>
      <c r="F169" s="7" t="s">
        <v>3775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142.19999999999999</v>
      </c>
      <c r="S169" s="18">
        <f t="shared" si="34"/>
        <v>142.19999999999999</v>
      </c>
      <c r="T169" s="19">
        <f t="shared" si="35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142.19999999999999</v>
      </c>
      <c r="AV169" s="37">
        <f t="shared" si="39"/>
        <v>142.19999999999999</v>
      </c>
      <c r="AW169" s="37"/>
    </row>
    <row r="170" spans="1:49" ht="15.75" hidden="1" customHeight="1" x14ac:dyDescent="0.25">
      <c r="A170" s="6" t="s">
        <v>3773</v>
      </c>
      <c r="B170" s="21" t="s">
        <v>3778</v>
      </c>
      <c r="C170" s="7">
        <v>1</v>
      </c>
      <c r="D170" s="39" t="s">
        <v>3777</v>
      </c>
      <c r="E170" s="7">
        <v>4055</v>
      </c>
      <c r="F170" s="7" t="s">
        <v>3775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295.39999999999998</v>
      </c>
      <c r="S170" s="18">
        <f t="shared" si="34"/>
        <v>295.39999999999998</v>
      </c>
      <c r="T170" s="19">
        <f t="shared" si="35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295.39999999999998</v>
      </c>
      <c r="AV170" s="37">
        <f t="shared" si="39"/>
        <v>295.39999999999998</v>
      </c>
      <c r="AW170" s="37"/>
    </row>
    <row r="171" spans="1:49" ht="15.75" hidden="1" customHeight="1" x14ac:dyDescent="0.25">
      <c r="A171" s="6" t="s">
        <v>3773</v>
      </c>
      <c r="B171" s="21" t="s">
        <v>3774</v>
      </c>
      <c r="C171" s="7">
        <v>1</v>
      </c>
      <c r="D171" s="39" t="s">
        <v>3760</v>
      </c>
      <c r="E171" s="7">
        <v>4056</v>
      </c>
      <c r="F171" s="7" t="s">
        <v>3775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1137.2</v>
      </c>
      <c r="S171" s="18">
        <f t="shared" si="34"/>
        <v>1137.2</v>
      </c>
      <c r="T171" s="19">
        <f t="shared" si="35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1137.2</v>
      </c>
      <c r="AV171" s="37">
        <f t="shared" si="39"/>
        <v>1137.2</v>
      </c>
      <c r="AW171" s="37"/>
    </row>
    <row r="172" spans="1:49" ht="15.75" hidden="1" customHeight="1" x14ac:dyDescent="0.25">
      <c r="A172" s="6" t="s">
        <v>3773</v>
      </c>
      <c r="B172" s="21" t="s">
        <v>3776</v>
      </c>
      <c r="C172" s="7">
        <v>1</v>
      </c>
      <c r="D172" s="39" t="s">
        <v>3777</v>
      </c>
      <c r="E172" s="7">
        <v>4057</v>
      </c>
      <c r="F172" s="7" t="s">
        <v>3775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142.19999999999999</v>
      </c>
      <c r="S172" s="18">
        <f t="shared" si="34"/>
        <v>142.19999999999999</v>
      </c>
      <c r="T172" s="19">
        <f t="shared" si="35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142.19999999999999</v>
      </c>
      <c r="AV172" s="37">
        <f t="shared" si="39"/>
        <v>142.19999999999999</v>
      </c>
      <c r="AW172" s="37"/>
    </row>
    <row r="173" spans="1:49" ht="15.75" hidden="1" customHeight="1" x14ac:dyDescent="0.25">
      <c r="A173" s="6" t="s">
        <v>3773</v>
      </c>
      <c r="B173" s="21" t="s">
        <v>3778</v>
      </c>
      <c r="C173" s="7">
        <v>1</v>
      </c>
      <c r="D173" s="39" t="s">
        <v>3777</v>
      </c>
      <c r="E173" s="7">
        <v>4058</v>
      </c>
      <c r="F173" s="7" t="s">
        <v>3775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295.39999999999998</v>
      </c>
      <c r="S173" s="18">
        <f t="shared" si="34"/>
        <v>295.39999999999998</v>
      </c>
      <c r="T173" s="19">
        <f t="shared" si="35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295.39999999999998</v>
      </c>
      <c r="AV173" s="37">
        <f t="shared" si="39"/>
        <v>295.39999999999998</v>
      </c>
      <c r="AW173" s="37"/>
    </row>
    <row r="174" spans="1:49" ht="15.75" hidden="1" customHeight="1" x14ac:dyDescent="0.25">
      <c r="A174" s="6" t="s">
        <v>3779</v>
      </c>
      <c r="B174" s="21" t="s">
        <v>3780</v>
      </c>
      <c r="C174" s="7">
        <v>1</v>
      </c>
      <c r="D174" s="39" t="s">
        <v>3781</v>
      </c>
      <c r="E174" s="7">
        <v>4059</v>
      </c>
      <c r="F174" s="7" t="s">
        <v>3782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3779</v>
      </c>
      <c r="B175" s="21" t="s">
        <v>3780</v>
      </c>
      <c r="C175" s="7">
        <v>1</v>
      </c>
      <c r="D175" s="39" t="s">
        <v>3781</v>
      </c>
      <c r="E175" s="7">
        <v>4060</v>
      </c>
      <c r="F175" s="7" t="s">
        <v>3782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950.5</v>
      </c>
      <c r="S175" s="18">
        <f t="shared" si="34"/>
        <v>950.5</v>
      </c>
      <c r="T175" s="19">
        <f t="shared" si="35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950.5</v>
      </c>
      <c r="AV175" s="37">
        <f t="shared" si="39"/>
        <v>950.5</v>
      </c>
      <c r="AW175" s="37"/>
    </row>
    <row r="176" spans="1:49" ht="15.75" hidden="1" customHeight="1" x14ac:dyDescent="0.25">
      <c r="A176" s="6" t="s">
        <v>3783</v>
      </c>
      <c r="B176" s="21" t="s">
        <v>3784</v>
      </c>
      <c r="C176" s="7">
        <v>1</v>
      </c>
      <c r="D176" s="39" t="s">
        <v>3781</v>
      </c>
      <c r="E176" s="7">
        <v>4061</v>
      </c>
      <c r="F176" s="7" t="s">
        <v>3785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3783</v>
      </c>
      <c r="B177" s="21" t="s">
        <v>3784</v>
      </c>
      <c r="C177" s="7">
        <v>1</v>
      </c>
      <c r="D177" s="39" t="s">
        <v>3781</v>
      </c>
      <c r="E177" s="7">
        <v>4062</v>
      </c>
      <c r="F177" s="7" t="s">
        <v>3785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33"/>
        <v>675.7</v>
      </c>
      <c r="S177" s="18">
        <f t="shared" si="34"/>
        <v>675.7</v>
      </c>
      <c r="T177" s="19">
        <f t="shared" si="35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675.7</v>
      </c>
      <c r="AV177" s="37">
        <f t="shared" si="39"/>
        <v>675.7</v>
      </c>
      <c r="AW177" s="37"/>
    </row>
    <row r="178" spans="1:49" ht="15.75" hidden="1" customHeight="1" x14ac:dyDescent="0.25">
      <c r="A178" s="6" t="s">
        <v>3786</v>
      </c>
      <c r="B178" s="21" t="s">
        <v>3787</v>
      </c>
      <c r="C178" s="7">
        <v>2</v>
      </c>
      <c r="D178" s="39" t="s">
        <v>3788</v>
      </c>
      <c r="E178" s="7">
        <v>4063</v>
      </c>
      <c r="F178" s="7" t="s">
        <v>3789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3790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0.52</v>
      </c>
      <c r="S178" s="18">
        <f t="shared" si="34"/>
        <v>0</v>
      </c>
      <c r="T178" s="19">
        <f t="shared" si="35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3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7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0</v>
      </c>
      <c r="AV178" s="37">
        <f t="shared" si="39"/>
        <v>0</v>
      </c>
      <c r="AW178" s="37"/>
    </row>
    <row r="179" spans="1:49" ht="15.75" hidden="1" customHeight="1" x14ac:dyDescent="0.25">
      <c r="A179" s="6" t="s">
        <v>3786</v>
      </c>
      <c r="B179" s="21" t="s">
        <v>3791</v>
      </c>
      <c r="C179" s="7">
        <v>2</v>
      </c>
      <c r="D179" s="39" t="s">
        <v>3788</v>
      </c>
      <c r="E179" s="7">
        <v>4064</v>
      </c>
      <c r="F179" s="7" t="s">
        <v>3789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3790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33"/>
        <v>0.66</v>
      </c>
      <c r="S179" s="18">
        <f t="shared" si="34"/>
        <v>0</v>
      </c>
      <c r="T179" s="19">
        <f t="shared" si="35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3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7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0</v>
      </c>
      <c r="AV179" s="37">
        <f t="shared" si="39"/>
        <v>0</v>
      </c>
      <c r="AW179" s="37"/>
    </row>
    <row r="180" spans="1:49" ht="15.75" hidden="1" customHeight="1" x14ac:dyDescent="0.25">
      <c r="A180" s="6" t="s">
        <v>3786</v>
      </c>
      <c r="B180" s="21" t="s">
        <v>3792</v>
      </c>
      <c r="C180" s="7">
        <v>4</v>
      </c>
      <c r="D180" s="39" t="s">
        <v>3793</v>
      </c>
      <c r="E180" s="7">
        <v>4065</v>
      </c>
      <c r="F180" s="7" t="s">
        <v>3789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3790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33"/>
        <v>1.02</v>
      </c>
      <c r="S180" s="18">
        <f t="shared" si="34"/>
        <v>0</v>
      </c>
      <c r="T180" s="19">
        <f t="shared" si="35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3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7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</v>
      </c>
      <c r="AV180" s="37">
        <f t="shared" si="39"/>
        <v>0</v>
      </c>
      <c r="AW180" s="37"/>
    </row>
    <row r="181" spans="1:49" ht="15.75" hidden="1" customHeight="1" x14ac:dyDescent="0.25">
      <c r="A181" s="6" t="s">
        <v>3786</v>
      </c>
      <c r="B181" s="21" t="s">
        <v>3794</v>
      </c>
      <c r="C181" s="7">
        <v>8</v>
      </c>
      <c r="D181" s="39" t="s">
        <v>3795</v>
      </c>
      <c r="E181" s="7">
        <v>4066</v>
      </c>
      <c r="F181" s="7" t="s">
        <v>3789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3790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0.2</v>
      </c>
      <c r="S181" s="18">
        <f t="shared" si="34"/>
        <v>0</v>
      </c>
      <c r="T181" s="19">
        <f t="shared" si="35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40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7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0</v>
      </c>
      <c r="AV181" s="37">
        <f t="shared" si="39"/>
        <v>0</v>
      </c>
      <c r="AW181" s="37"/>
    </row>
    <row r="182" spans="1:49" ht="15.75" hidden="1" customHeight="1" x14ac:dyDescent="0.25">
      <c r="A182" s="6" t="s">
        <v>3796</v>
      </c>
      <c r="B182" s="21" t="s">
        <v>3797</v>
      </c>
      <c r="C182" s="7">
        <v>8</v>
      </c>
      <c r="D182" s="39" t="s">
        <v>3798</v>
      </c>
      <c r="E182" s="7">
        <v>4067</v>
      </c>
      <c r="F182" s="7" t="s">
        <v>3789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3790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1.28</v>
      </c>
      <c r="S182" s="18">
        <f t="shared" ref="S182:S245" si="41">IFERROR(H182*AG182,"")</f>
        <v>0</v>
      </c>
      <c r="T182" s="19">
        <f t="shared" si="35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40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7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0</v>
      </c>
      <c r="AV182" s="37">
        <f t="shared" si="39"/>
        <v>0</v>
      </c>
      <c r="AW182" s="37"/>
    </row>
    <row r="183" spans="1:49" ht="15.75" hidden="1" customHeight="1" x14ac:dyDescent="0.25">
      <c r="A183" s="6" t="s">
        <v>3799</v>
      </c>
      <c r="B183" s="21" t="s">
        <v>3800</v>
      </c>
      <c r="C183" s="7">
        <v>8</v>
      </c>
      <c r="D183" s="39" t="s">
        <v>3798</v>
      </c>
      <c r="E183" s="7">
        <v>4068</v>
      </c>
      <c r="F183" s="7" t="s">
        <v>3789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3790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33"/>
        <v>1.56</v>
      </c>
      <c r="S183" s="18">
        <f t="shared" si="41"/>
        <v>0</v>
      </c>
      <c r="T183" s="19">
        <f t="shared" si="35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8"/>
        <v>0</v>
      </c>
      <c r="AV183" s="37">
        <f t="shared" si="39"/>
        <v>0</v>
      </c>
      <c r="AW183" s="37"/>
    </row>
    <row r="184" spans="1:49" ht="15.75" hidden="1" customHeight="1" x14ac:dyDescent="0.25">
      <c r="A184" s="6" t="s">
        <v>3801</v>
      </c>
      <c r="B184" s="21" t="s">
        <v>2996</v>
      </c>
      <c r="C184" s="7">
        <v>2</v>
      </c>
      <c r="D184" s="39" t="s">
        <v>3788</v>
      </c>
      <c r="E184" s="7">
        <v>4069</v>
      </c>
      <c r="F184" s="7" t="s">
        <v>3789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3790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0.53</v>
      </c>
      <c r="S184" s="18">
        <f t="shared" si="41"/>
        <v>0</v>
      </c>
      <c r="T184" s="19">
        <f t="shared" si="35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8"/>
        <v>0</v>
      </c>
      <c r="AV184" s="37">
        <f t="shared" si="39"/>
        <v>0</v>
      </c>
      <c r="AW184" s="37"/>
    </row>
    <row r="185" spans="1:49" ht="15.75" hidden="1" customHeight="1" x14ac:dyDescent="0.25">
      <c r="A185" s="6" t="s">
        <v>3801</v>
      </c>
      <c r="B185" s="21" t="s">
        <v>2997</v>
      </c>
      <c r="C185" s="7">
        <v>2</v>
      </c>
      <c r="D185" s="39" t="s">
        <v>3788</v>
      </c>
      <c r="E185" s="7">
        <v>4070</v>
      </c>
      <c r="F185" s="7" t="s">
        <v>3789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3790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0.74</v>
      </c>
      <c r="S185" s="18">
        <f t="shared" si="41"/>
        <v>0</v>
      </c>
      <c r="T185" s="19">
        <f t="shared" si="35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8"/>
        <v>0</v>
      </c>
      <c r="AV185" s="37">
        <f t="shared" si="39"/>
        <v>0</v>
      </c>
      <c r="AW185" s="37"/>
    </row>
    <row r="186" spans="1:49" ht="15.75" hidden="1" customHeight="1" x14ac:dyDescent="0.25">
      <c r="A186" s="6" t="s">
        <v>3801</v>
      </c>
      <c r="B186" s="21" t="s">
        <v>3800</v>
      </c>
      <c r="C186" s="7">
        <v>2</v>
      </c>
      <c r="D186" s="39" t="s">
        <v>3793</v>
      </c>
      <c r="E186" s="7">
        <v>4071</v>
      </c>
      <c r="F186" s="7" t="s">
        <v>3789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3790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33"/>
        <v>0.51</v>
      </c>
      <c r="S186" s="18">
        <f t="shared" si="41"/>
        <v>0</v>
      </c>
      <c r="T186" s="19">
        <f t="shared" si="35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8"/>
        <v>0</v>
      </c>
      <c r="AV186" s="37">
        <f t="shared" si="39"/>
        <v>0</v>
      </c>
      <c r="AW186" s="37"/>
    </row>
    <row r="187" spans="1:49" ht="15.75" hidden="1" customHeight="1" x14ac:dyDescent="0.25">
      <c r="A187" s="6" t="s">
        <v>3801</v>
      </c>
      <c r="B187" s="21" t="s">
        <v>3797</v>
      </c>
      <c r="C187" s="7">
        <v>6</v>
      </c>
      <c r="D187" s="39" t="s">
        <v>3795</v>
      </c>
      <c r="E187" s="7">
        <v>4072</v>
      </c>
      <c r="F187" s="7" t="s">
        <v>3789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3790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33"/>
        <v>0.15000000000000002</v>
      </c>
      <c r="S187" s="18">
        <f t="shared" si="41"/>
        <v>0</v>
      </c>
      <c r="T187" s="19">
        <f t="shared" si="35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40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7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0</v>
      </c>
      <c r="AV187" s="37">
        <f t="shared" si="39"/>
        <v>0</v>
      </c>
      <c r="AW187" s="37"/>
    </row>
    <row r="188" spans="1:49" ht="15.75" hidden="1" customHeight="1" x14ac:dyDescent="0.25">
      <c r="A188" s="6" t="s">
        <v>3802</v>
      </c>
      <c r="B188" s="21" t="s">
        <v>3803</v>
      </c>
      <c r="C188" s="7">
        <v>2</v>
      </c>
      <c r="D188" s="39" t="s">
        <v>3804</v>
      </c>
      <c r="E188" s="7">
        <v>4073</v>
      </c>
      <c r="F188" s="7" t="s">
        <v>3789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3790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3802</v>
      </c>
      <c r="B189" s="21" t="s">
        <v>3805</v>
      </c>
      <c r="C189" s="7">
        <v>2</v>
      </c>
      <c r="D189" s="39" t="s">
        <v>3806</v>
      </c>
      <c r="E189" s="7">
        <v>4074</v>
      </c>
      <c r="F189" s="7" t="s">
        <v>3789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3790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33"/>
        <v>323.33999999999997</v>
      </c>
      <c r="S189" s="18">
        <f t="shared" si="41"/>
        <v>323.33999999999997</v>
      </c>
      <c r="T189" s="19">
        <f t="shared" si="35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323.33999999999997</v>
      </c>
      <c r="AV189" s="37">
        <f t="shared" si="39"/>
        <v>323.33999999999997</v>
      </c>
      <c r="AW189" s="37"/>
    </row>
    <row r="190" spans="1:49" ht="15.75" hidden="1" customHeight="1" x14ac:dyDescent="0.25">
      <c r="A190" s="6" t="s">
        <v>3802</v>
      </c>
      <c r="B190" s="21" t="s">
        <v>3807</v>
      </c>
      <c r="C190" s="7">
        <v>8</v>
      </c>
      <c r="D190" s="39" t="s">
        <v>3808</v>
      </c>
      <c r="E190" s="7">
        <v>4075</v>
      </c>
      <c r="F190" s="7" t="s">
        <v>3789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3790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33"/>
        <v>189.44</v>
      </c>
      <c r="S190" s="18">
        <f t="shared" si="41"/>
        <v>189.44</v>
      </c>
      <c r="T190" s="19">
        <f t="shared" si="35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189.44</v>
      </c>
      <c r="AV190" s="37">
        <f t="shared" si="39"/>
        <v>189.44</v>
      </c>
      <c r="AW190" s="37"/>
    </row>
    <row r="191" spans="1:49" ht="15.75" hidden="1" customHeight="1" x14ac:dyDescent="0.25">
      <c r="A191" s="6" t="s">
        <v>3802</v>
      </c>
      <c r="B191" s="21" t="s">
        <v>3809</v>
      </c>
      <c r="C191" s="7">
        <v>2</v>
      </c>
      <c r="D191" s="39" t="s">
        <v>3808</v>
      </c>
      <c r="E191" s="7">
        <v>4076</v>
      </c>
      <c r="F191" s="7" t="s">
        <v>3789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3790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33"/>
        <v>51.88</v>
      </c>
      <c r="S191" s="18">
        <f t="shared" si="41"/>
        <v>51.88</v>
      </c>
      <c r="T191" s="19">
        <f t="shared" si="35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51.88</v>
      </c>
      <c r="AV191" s="37">
        <f t="shared" si="39"/>
        <v>51.88</v>
      </c>
      <c r="AW191" s="37"/>
    </row>
    <row r="192" spans="1:49" ht="15.75" hidden="1" customHeight="1" x14ac:dyDescent="0.25">
      <c r="A192" s="6" t="s">
        <v>3802</v>
      </c>
      <c r="B192" s="21" t="s">
        <v>3810</v>
      </c>
      <c r="C192" s="7">
        <v>4</v>
      </c>
      <c r="D192" s="39" t="s">
        <v>3808</v>
      </c>
      <c r="E192" s="7">
        <v>4077</v>
      </c>
      <c r="F192" s="7" t="s">
        <v>3789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3790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33"/>
        <v>133.64000000000001</v>
      </c>
      <c r="S192" s="18">
        <f t="shared" si="41"/>
        <v>133.64000000000001</v>
      </c>
      <c r="T192" s="19">
        <f t="shared" si="35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133.64000000000001</v>
      </c>
      <c r="AV192" s="37">
        <f t="shared" si="39"/>
        <v>133.64000000000001</v>
      </c>
      <c r="AW192" s="37"/>
    </row>
    <row r="193" spans="1:49" ht="15.75" hidden="1" customHeight="1" x14ac:dyDescent="0.25">
      <c r="A193" s="6" t="s">
        <v>3802</v>
      </c>
      <c r="B193" s="21" t="s">
        <v>3811</v>
      </c>
      <c r="C193" s="7">
        <v>2</v>
      </c>
      <c r="D193" s="39" t="s">
        <v>3808</v>
      </c>
      <c r="E193" s="7">
        <v>4078</v>
      </c>
      <c r="F193" s="7" t="s">
        <v>3789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3790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33"/>
        <v>51.88</v>
      </c>
      <c r="S193" s="18">
        <f t="shared" si="41"/>
        <v>51.88</v>
      </c>
      <c r="T193" s="19">
        <f t="shared" si="35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51.88</v>
      </c>
      <c r="AV193" s="37">
        <f t="shared" si="39"/>
        <v>51.88</v>
      </c>
      <c r="AW193" s="37"/>
    </row>
    <row r="194" spans="1:49" ht="15.75" hidden="1" customHeight="1" x14ac:dyDescent="0.25">
      <c r="A194" s="6" t="s">
        <v>3812</v>
      </c>
      <c r="B194" s="21" t="s">
        <v>3813</v>
      </c>
      <c r="C194" s="7">
        <v>4</v>
      </c>
      <c r="D194" s="39" t="s">
        <v>3814</v>
      </c>
      <c r="E194" s="7">
        <v>4079</v>
      </c>
      <c r="F194" s="7" t="s">
        <v>3789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3790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195.76</v>
      </c>
      <c r="S194" s="18">
        <f t="shared" si="41"/>
        <v>195.76</v>
      </c>
      <c r="T194" s="19">
        <f t="shared" si="35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195.76</v>
      </c>
      <c r="AV194" s="37">
        <f t="shared" si="39"/>
        <v>195.76</v>
      </c>
      <c r="AW194" s="37"/>
    </row>
    <row r="195" spans="1:49" ht="15.75" hidden="1" customHeight="1" x14ac:dyDescent="0.25">
      <c r="A195" s="6" t="s">
        <v>3812</v>
      </c>
      <c r="B195" s="21" t="s">
        <v>3815</v>
      </c>
      <c r="C195" s="7">
        <v>4</v>
      </c>
      <c r="D195" s="39" t="s">
        <v>3816</v>
      </c>
      <c r="E195" s="7">
        <v>4080</v>
      </c>
      <c r="F195" s="7" t="s">
        <v>3789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3790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327.64</v>
      </c>
      <c r="S195" s="18">
        <f t="shared" si="41"/>
        <v>327.64</v>
      </c>
      <c r="T195" s="19">
        <f t="shared" si="35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327.64</v>
      </c>
      <c r="AV195" s="37">
        <f t="shared" si="39"/>
        <v>327.64</v>
      </c>
      <c r="AW195" s="37"/>
    </row>
    <row r="196" spans="1:49" ht="15.75" hidden="1" customHeight="1" x14ac:dyDescent="0.25">
      <c r="A196" s="6" t="s">
        <v>3812</v>
      </c>
      <c r="B196" s="21" t="s">
        <v>3817</v>
      </c>
      <c r="C196" s="7">
        <v>4</v>
      </c>
      <c r="D196" s="39" t="s">
        <v>3818</v>
      </c>
      <c r="E196" s="7">
        <v>4081</v>
      </c>
      <c r="F196" s="7" t="s">
        <v>3789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3790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186.12</v>
      </c>
      <c r="S196" s="18">
        <f t="shared" si="41"/>
        <v>186.12</v>
      </c>
      <c r="T196" s="19">
        <f t="shared" si="35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0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7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8"/>
        <v>186.12</v>
      </c>
      <c r="AV196" s="37">
        <f t="shared" si="39"/>
        <v>186.12</v>
      </c>
      <c r="AW196" s="37"/>
    </row>
    <row r="197" spans="1:49" ht="15.75" hidden="1" customHeight="1" x14ac:dyDescent="0.25">
      <c r="A197" s="6" t="s">
        <v>3812</v>
      </c>
      <c r="B197" s="21" t="s">
        <v>3819</v>
      </c>
      <c r="C197" s="7">
        <v>4</v>
      </c>
      <c r="D197" s="39" t="s">
        <v>3820</v>
      </c>
      <c r="E197" s="7">
        <v>4082</v>
      </c>
      <c r="F197" s="7" t="s">
        <v>3789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3790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33"/>
        <v>199.48</v>
      </c>
      <c r="S197" s="18">
        <f t="shared" si="41"/>
        <v>0</v>
      </c>
      <c r="T197" s="19">
        <f t="shared" si="35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40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7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42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8"/>
        <v>0</v>
      </c>
      <c r="AV197" s="37">
        <f t="shared" si="39"/>
        <v>0</v>
      </c>
      <c r="AW197" s="37"/>
    </row>
    <row r="198" spans="1:49" ht="15.75" hidden="1" customHeight="1" x14ac:dyDescent="0.25">
      <c r="A198" s="6" t="s">
        <v>3821</v>
      </c>
      <c r="B198" s="21" t="s">
        <v>3822</v>
      </c>
      <c r="C198" s="7">
        <v>2</v>
      </c>
      <c r="D198" s="39" t="s">
        <v>3804</v>
      </c>
      <c r="E198" s="7">
        <v>4083</v>
      </c>
      <c r="F198" s="7" t="s">
        <v>3789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3790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3821</v>
      </c>
      <c r="B199" s="21" t="s">
        <v>3823</v>
      </c>
      <c r="C199" s="7">
        <v>2</v>
      </c>
      <c r="D199" s="39" t="s">
        <v>3806</v>
      </c>
      <c r="E199" s="7">
        <v>4084</v>
      </c>
      <c r="F199" s="7" t="s">
        <v>3789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3790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318.5</v>
      </c>
      <c r="S199" s="18">
        <f t="shared" si="41"/>
        <v>318.5</v>
      </c>
      <c r="T199" s="19">
        <f t="shared" si="35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318.5</v>
      </c>
      <c r="AV199" s="37">
        <f t="shared" si="39"/>
        <v>318.5</v>
      </c>
      <c r="AW199" s="37"/>
    </row>
    <row r="200" spans="1:49" ht="15.75" hidden="1" customHeight="1" x14ac:dyDescent="0.25">
      <c r="A200" s="6" t="s">
        <v>3821</v>
      </c>
      <c r="B200" s="21" t="s">
        <v>3824</v>
      </c>
      <c r="C200" s="7">
        <v>2</v>
      </c>
      <c r="D200" s="39" t="s">
        <v>3808</v>
      </c>
      <c r="E200" s="7">
        <v>4085</v>
      </c>
      <c r="F200" s="7" t="s">
        <v>3789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3790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66.819999999999993</v>
      </c>
      <c r="S200" s="18">
        <f t="shared" si="41"/>
        <v>66.819999999999993</v>
      </c>
      <c r="T200" s="19">
        <f t="shared" si="35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66.819999999999993</v>
      </c>
      <c r="AV200" s="37">
        <f t="shared" si="39"/>
        <v>66.819999999999993</v>
      </c>
      <c r="AW200" s="37"/>
    </row>
    <row r="201" spans="1:49" ht="15.75" hidden="1" customHeight="1" x14ac:dyDescent="0.25">
      <c r="A201" s="6" t="s">
        <v>3821</v>
      </c>
      <c r="B201" s="21" t="s">
        <v>3825</v>
      </c>
      <c r="C201" s="7">
        <v>2</v>
      </c>
      <c r="D201" s="39" t="s">
        <v>3808</v>
      </c>
      <c r="E201" s="7">
        <v>4086</v>
      </c>
      <c r="F201" s="7" t="s">
        <v>3789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3790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33"/>
        <v>47.36</v>
      </c>
      <c r="S201" s="18">
        <f t="shared" si="41"/>
        <v>47.36</v>
      </c>
      <c r="T201" s="19">
        <f t="shared" si="35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47.36</v>
      </c>
      <c r="AV201" s="37">
        <f t="shared" si="39"/>
        <v>47.36</v>
      </c>
      <c r="AW201" s="37"/>
    </row>
    <row r="202" spans="1:49" ht="15.75" hidden="1" customHeight="1" x14ac:dyDescent="0.25">
      <c r="A202" s="6" t="s">
        <v>3821</v>
      </c>
      <c r="B202" s="21" t="s">
        <v>3826</v>
      </c>
      <c r="C202" s="7">
        <v>6</v>
      </c>
      <c r="D202" s="39" t="s">
        <v>3808</v>
      </c>
      <c r="E202" s="7">
        <v>4087</v>
      </c>
      <c r="F202" s="7" t="s">
        <v>3789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3790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33"/>
        <v>142.07999999999998</v>
      </c>
      <c r="S202" s="18">
        <f t="shared" si="41"/>
        <v>142.07999999999998</v>
      </c>
      <c r="T202" s="19">
        <f t="shared" si="35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142.07999999999998</v>
      </c>
      <c r="AV202" s="37">
        <f t="shared" si="39"/>
        <v>142.07999999999998</v>
      </c>
      <c r="AW202" s="37"/>
    </row>
    <row r="203" spans="1:49" ht="15.75" hidden="1" customHeight="1" x14ac:dyDescent="0.25">
      <c r="A203" s="6" t="s">
        <v>3821</v>
      </c>
      <c r="B203" s="21" t="s">
        <v>3827</v>
      </c>
      <c r="C203" s="7">
        <v>4</v>
      </c>
      <c r="D203" s="39" t="s">
        <v>3808</v>
      </c>
      <c r="E203" s="7">
        <v>4088</v>
      </c>
      <c r="F203" s="7" t="s">
        <v>3789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3790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103.76</v>
      </c>
      <c r="S203" s="18">
        <f t="shared" si="41"/>
        <v>103.76</v>
      </c>
      <c r="T203" s="19">
        <f t="shared" si="35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103.76</v>
      </c>
      <c r="AV203" s="37">
        <f t="shared" si="39"/>
        <v>103.76</v>
      </c>
      <c r="AW203" s="37"/>
    </row>
    <row r="204" spans="1:49" ht="15.75" hidden="1" customHeight="1" x14ac:dyDescent="0.25">
      <c r="A204" s="6" t="s">
        <v>3828</v>
      </c>
      <c r="B204" s="21" t="s">
        <v>3829</v>
      </c>
      <c r="C204" s="7">
        <v>4</v>
      </c>
      <c r="D204" s="39" t="s">
        <v>3814</v>
      </c>
      <c r="E204" s="7">
        <v>4089</v>
      </c>
      <c r="F204" s="7" t="s">
        <v>3789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3790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308</v>
      </c>
      <c r="S204" s="18">
        <f t="shared" si="41"/>
        <v>308</v>
      </c>
      <c r="T204" s="19">
        <f t="shared" si="35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308</v>
      </c>
      <c r="AV204" s="37">
        <f t="shared" si="39"/>
        <v>308</v>
      </c>
      <c r="AW204" s="37"/>
    </row>
    <row r="205" spans="1:49" ht="15.75" hidden="1" customHeight="1" x14ac:dyDescent="0.25">
      <c r="A205" s="6" t="s">
        <v>3828</v>
      </c>
      <c r="B205" s="21" t="s">
        <v>3830</v>
      </c>
      <c r="C205" s="7">
        <v>4</v>
      </c>
      <c r="D205" s="39" t="s">
        <v>3816</v>
      </c>
      <c r="E205" s="7">
        <v>4090</v>
      </c>
      <c r="F205" s="7" t="s">
        <v>3789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3790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340</v>
      </c>
      <c r="S205" s="18">
        <f t="shared" si="41"/>
        <v>340</v>
      </c>
      <c r="T205" s="19">
        <f t="shared" si="35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0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7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8"/>
        <v>340</v>
      </c>
      <c r="AV205" s="37">
        <f t="shared" si="39"/>
        <v>340</v>
      </c>
      <c r="AW205" s="37"/>
    </row>
    <row r="206" spans="1:49" ht="15.75" hidden="1" customHeight="1" x14ac:dyDescent="0.25">
      <c r="A206" s="6" t="s">
        <v>3828</v>
      </c>
      <c r="B206" s="21" t="s">
        <v>3831</v>
      </c>
      <c r="C206" s="7">
        <v>4</v>
      </c>
      <c r="D206" s="39" t="s">
        <v>3818</v>
      </c>
      <c r="E206" s="7">
        <v>4091</v>
      </c>
      <c r="F206" s="7" t="s">
        <v>3789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3790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33"/>
        <v>200</v>
      </c>
      <c r="S206" s="18">
        <f t="shared" si="41"/>
        <v>0</v>
      </c>
      <c r="T206" s="19">
        <f t="shared" si="35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40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7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0</v>
      </c>
      <c r="AV206" s="37">
        <f t="shared" si="39"/>
        <v>0</v>
      </c>
      <c r="AW206" s="37"/>
    </row>
    <row r="207" spans="1:49" ht="15.75" hidden="1" customHeight="1" x14ac:dyDescent="0.25">
      <c r="A207" s="6" t="s">
        <v>3832</v>
      </c>
      <c r="B207" s="21" t="s">
        <v>3833</v>
      </c>
      <c r="C207" s="7">
        <v>2</v>
      </c>
      <c r="D207" s="39" t="s">
        <v>3814</v>
      </c>
      <c r="E207" s="7">
        <v>4092</v>
      </c>
      <c r="F207" s="7" t="s">
        <v>3789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3790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163.36000000000001</v>
      </c>
      <c r="S207" s="18">
        <f t="shared" si="41"/>
        <v>163.36000000000001</v>
      </c>
      <c r="T207" s="19">
        <f t="shared" si="35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163.36000000000001</v>
      </c>
      <c r="AV207" s="37">
        <f t="shared" si="39"/>
        <v>163.36000000000001</v>
      </c>
      <c r="AW207" s="37"/>
    </row>
    <row r="208" spans="1:49" ht="15.75" hidden="1" customHeight="1" x14ac:dyDescent="0.25">
      <c r="A208" s="6" t="s">
        <v>3832</v>
      </c>
      <c r="B208" s="21" t="s">
        <v>3834</v>
      </c>
      <c r="C208" s="7">
        <v>2</v>
      </c>
      <c r="D208" s="39" t="s">
        <v>3816</v>
      </c>
      <c r="E208" s="7">
        <v>4093</v>
      </c>
      <c r="F208" s="7" t="s">
        <v>3789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3790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166.34</v>
      </c>
      <c r="S208" s="18">
        <f t="shared" si="41"/>
        <v>166.34</v>
      </c>
      <c r="T208" s="19">
        <f t="shared" si="35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166.34</v>
      </c>
      <c r="AV208" s="37">
        <f t="shared" si="39"/>
        <v>166.34</v>
      </c>
      <c r="AW208" s="37"/>
    </row>
    <row r="209" spans="1:49" ht="15.75" hidden="1" customHeight="1" x14ac:dyDescent="0.25">
      <c r="A209" s="6" t="s">
        <v>3832</v>
      </c>
      <c r="B209" s="21" t="s">
        <v>3835</v>
      </c>
      <c r="C209" s="7">
        <v>2</v>
      </c>
      <c r="D209" s="39" t="s">
        <v>3818</v>
      </c>
      <c r="E209" s="7">
        <v>4094</v>
      </c>
      <c r="F209" s="7" t="s">
        <v>3789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3790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230.2</v>
      </c>
      <c r="S209" s="18">
        <f t="shared" si="41"/>
        <v>230.2</v>
      </c>
      <c r="T209" s="19">
        <f t="shared" si="35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230.2</v>
      </c>
      <c r="AV209" s="37">
        <f t="shared" si="39"/>
        <v>230.2</v>
      </c>
      <c r="AW209" s="37"/>
    </row>
    <row r="210" spans="1:49" ht="15.75" hidden="1" customHeight="1" x14ac:dyDescent="0.25">
      <c r="A210" s="6" t="s">
        <v>3832</v>
      </c>
      <c r="B210" s="21" t="s">
        <v>3836</v>
      </c>
      <c r="C210" s="7">
        <v>2</v>
      </c>
      <c r="D210" s="39" t="s">
        <v>3820</v>
      </c>
      <c r="E210" s="7">
        <v>4095</v>
      </c>
      <c r="F210" s="7" t="s">
        <v>3789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3790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88.64</v>
      </c>
      <c r="S210" s="18">
        <f t="shared" si="41"/>
        <v>88.64</v>
      </c>
      <c r="T210" s="19">
        <f t="shared" si="35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88.64</v>
      </c>
      <c r="AV210" s="37">
        <f t="shared" si="39"/>
        <v>88.64</v>
      </c>
      <c r="AW210" s="37"/>
    </row>
    <row r="211" spans="1:49" ht="15.75" hidden="1" customHeight="1" x14ac:dyDescent="0.25">
      <c r="A211" s="6" t="s">
        <v>3837</v>
      </c>
      <c r="B211" s="21" t="s">
        <v>3838</v>
      </c>
      <c r="C211" s="7">
        <v>2</v>
      </c>
      <c r="D211" s="39" t="s">
        <v>3814</v>
      </c>
      <c r="E211" s="7">
        <v>4096</v>
      </c>
      <c r="F211" s="7" t="s">
        <v>3789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3790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33"/>
        <v>203.5</v>
      </c>
      <c r="S211" s="18">
        <f t="shared" si="41"/>
        <v>203.5</v>
      </c>
      <c r="T211" s="19">
        <f t="shared" si="35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203.5</v>
      </c>
      <c r="AV211" s="37">
        <f t="shared" si="39"/>
        <v>203.5</v>
      </c>
      <c r="AW211" s="37"/>
    </row>
    <row r="212" spans="1:49" ht="15.75" hidden="1" customHeight="1" x14ac:dyDescent="0.25">
      <c r="A212" s="6" t="s">
        <v>3837</v>
      </c>
      <c r="B212" s="21" t="s">
        <v>3839</v>
      </c>
      <c r="C212" s="7">
        <v>4</v>
      </c>
      <c r="D212" s="39" t="s">
        <v>3816</v>
      </c>
      <c r="E212" s="7">
        <v>4097</v>
      </c>
      <c r="F212" s="7" t="s">
        <v>3789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3790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33"/>
        <v>125.56</v>
      </c>
      <c r="S212" s="18">
        <f t="shared" si="41"/>
        <v>125.56</v>
      </c>
      <c r="T212" s="19">
        <f t="shared" si="35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125.56</v>
      </c>
      <c r="AV212" s="37">
        <f t="shared" si="39"/>
        <v>125.56</v>
      </c>
      <c r="AW212" s="37"/>
    </row>
    <row r="213" spans="1:49" ht="15.75" hidden="1" customHeight="1" x14ac:dyDescent="0.25">
      <c r="A213" s="6" t="s">
        <v>3837</v>
      </c>
      <c r="B213" s="21" t="s">
        <v>3840</v>
      </c>
      <c r="C213" s="7">
        <v>2</v>
      </c>
      <c r="D213" s="39" t="s">
        <v>3818</v>
      </c>
      <c r="E213" s="7">
        <v>4098</v>
      </c>
      <c r="F213" s="7" t="s">
        <v>3789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3790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124.24</v>
      </c>
      <c r="S213" s="18">
        <f t="shared" si="41"/>
        <v>124.24</v>
      </c>
      <c r="T213" s="19">
        <f t="shared" si="35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124.24</v>
      </c>
      <c r="AV213" s="37">
        <f t="shared" si="39"/>
        <v>124.24</v>
      </c>
      <c r="AW213" s="37"/>
    </row>
    <row r="214" spans="1:49" ht="15.75" hidden="1" customHeight="1" x14ac:dyDescent="0.25">
      <c r="A214" s="6" t="s">
        <v>3837</v>
      </c>
      <c r="B214" s="21" t="s">
        <v>3841</v>
      </c>
      <c r="C214" s="7">
        <v>2</v>
      </c>
      <c r="D214" s="39" t="s">
        <v>3820</v>
      </c>
      <c r="E214" s="7">
        <v>4099</v>
      </c>
      <c r="F214" s="7" t="s">
        <v>3789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3790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81.64</v>
      </c>
      <c r="S214" s="18">
        <f t="shared" si="41"/>
        <v>81.64</v>
      </c>
      <c r="T214" s="19">
        <f t="shared" si="35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81.64</v>
      </c>
      <c r="AV214" s="37">
        <f t="shared" si="39"/>
        <v>81.64</v>
      </c>
      <c r="AW214" s="37"/>
    </row>
    <row r="215" spans="1:49" ht="15.75" hidden="1" customHeight="1" x14ac:dyDescent="0.25">
      <c r="A215" s="6" t="s">
        <v>3842</v>
      </c>
      <c r="B215" s="21" t="s">
        <v>3843</v>
      </c>
      <c r="C215" s="7">
        <v>2</v>
      </c>
      <c r="D215" s="39" t="s">
        <v>3844</v>
      </c>
      <c r="E215" s="7">
        <v>4100</v>
      </c>
      <c r="F215" s="7" t="s">
        <v>3789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3790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33"/>
        <v>78.760000000000005</v>
      </c>
      <c r="S215" s="18">
        <f t="shared" si="41"/>
        <v>78.760000000000005</v>
      </c>
      <c r="T215" s="19">
        <f t="shared" si="35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78.760000000000005</v>
      </c>
      <c r="AV215" s="37">
        <f t="shared" si="39"/>
        <v>78.760000000000005</v>
      </c>
      <c r="AW215" s="37"/>
    </row>
    <row r="216" spans="1:49" ht="15.75" hidden="1" customHeight="1" x14ac:dyDescent="0.25">
      <c r="A216" s="6" t="s">
        <v>3842</v>
      </c>
      <c r="B216" s="21" t="s">
        <v>3845</v>
      </c>
      <c r="C216" s="7">
        <v>4</v>
      </c>
      <c r="D216" s="39" t="s">
        <v>3846</v>
      </c>
      <c r="E216" s="7">
        <v>4101</v>
      </c>
      <c r="F216" s="7" t="s">
        <v>3789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3790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159.12</v>
      </c>
      <c r="S216" s="18">
        <f t="shared" si="41"/>
        <v>159.12</v>
      </c>
      <c r="T216" s="19">
        <f t="shared" si="35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159.12</v>
      </c>
      <c r="AV216" s="37">
        <f t="shared" si="39"/>
        <v>159.12</v>
      </c>
      <c r="AW216" s="37"/>
    </row>
    <row r="217" spans="1:49" ht="15.75" hidden="1" customHeight="1" x14ac:dyDescent="0.25">
      <c r="A217" s="6" t="s">
        <v>3842</v>
      </c>
      <c r="B217" s="21" t="s">
        <v>3847</v>
      </c>
      <c r="C217" s="7">
        <v>4</v>
      </c>
      <c r="D217" s="39" t="s">
        <v>3848</v>
      </c>
      <c r="E217" s="7">
        <v>4102</v>
      </c>
      <c r="F217" s="7" t="s">
        <v>3789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3790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33"/>
        <v>539.91999999999996</v>
      </c>
      <c r="S217" s="18">
        <f t="shared" si="41"/>
        <v>539.91999999999996</v>
      </c>
      <c r="T217" s="19">
        <f t="shared" si="35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539.91999999999996</v>
      </c>
      <c r="AV217" s="37">
        <f t="shared" si="39"/>
        <v>539.91999999999996</v>
      </c>
      <c r="AW217" s="37"/>
    </row>
    <row r="218" spans="1:49" ht="15.75" hidden="1" customHeight="1" x14ac:dyDescent="0.25">
      <c r="A218" s="6" t="s">
        <v>3849</v>
      </c>
      <c r="B218" s="21" t="s">
        <v>3850</v>
      </c>
      <c r="C218" s="7">
        <v>4</v>
      </c>
      <c r="D218" s="39" t="s">
        <v>3814</v>
      </c>
      <c r="E218" s="7">
        <v>4103</v>
      </c>
      <c r="F218" s="7" t="s">
        <v>3789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3790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43">IFERROR(H218*((AA218*0.25)+(AC218*0.25)+(AD218*0.225)+(AE218*0.225)+(AF218*0.05)),"")</f>
        <v>189.88</v>
      </c>
      <c r="S218" s="18">
        <f t="shared" si="41"/>
        <v>189.88</v>
      </c>
      <c r="T218" s="19">
        <f t="shared" ref="T218:T281" si="44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189.88</v>
      </c>
      <c r="AV218" s="37">
        <f t="shared" si="39"/>
        <v>189.88</v>
      </c>
      <c r="AW218" s="37"/>
    </row>
    <row r="219" spans="1:49" ht="15.75" hidden="1" customHeight="1" x14ac:dyDescent="0.25">
      <c r="A219" s="6" t="s">
        <v>3849</v>
      </c>
      <c r="B219" s="21" t="s">
        <v>3851</v>
      </c>
      <c r="C219" s="7">
        <v>2</v>
      </c>
      <c r="D219" s="39" t="s">
        <v>3816</v>
      </c>
      <c r="E219" s="7">
        <v>4104</v>
      </c>
      <c r="F219" s="7" t="s">
        <v>3789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3790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101.64</v>
      </c>
      <c r="S219" s="18">
        <f t="shared" si="41"/>
        <v>101.64</v>
      </c>
      <c r="T219" s="19">
        <f t="shared" si="44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7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101.64</v>
      </c>
      <c r="AV219" s="37">
        <f t="shared" si="39"/>
        <v>101.64</v>
      </c>
      <c r="AW219" s="37"/>
    </row>
    <row r="220" spans="1:49" ht="15.75" hidden="1" customHeight="1" x14ac:dyDescent="0.25">
      <c r="A220" s="6" t="s">
        <v>3849</v>
      </c>
      <c r="B220" s="21" t="s">
        <v>3852</v>
      </c>
      <c r="C220" s="7">
        <v>2</v>
      </c>
      <c r="D220" s="39" t="s">
        <v>3818</v>
      </c>
      <c r="E220" s="7">
        <v>4105</v>
      </c>
      <c r="F220" s="7" t="s">
        <v>3789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3790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111.62</v>
      </c>
      <c r="S220" s="18">
        <f t="shared" si="41"/>
        <v>111.62</v>
      </c>
      <c r="T220" s="19">
        <f t="shared" si="44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5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111.62</v>
      </c>
      <c r="AV220" s="37">
        <f t="shared" si="39"/>
        <v>111.62</v>
      </c>
      <c r="AW220" s="37"/>
    </row>
    <row r="221" spans="1:49" ht="15.75" hidden="1" customHeight="1" x14ac:dyDescent="0.25">
      <c r="A221" s="6" t="s">
        <v>3849</v>
      </c>
      <c r="B221" s="21" t="s">
        <v>3853</v>
      </c>
      <c r="C221" s="7">
        <v>2</v>
      </c>
      <c r="D221" s="39" t="s">
        <v>3820</v>
      </c>
      <c r="E221" s="7">
        <v>4106</v>
      </c>
      <c r="F221" s="7" t="s">
        <v>3789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3790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156.66</v>
      </c>
      <c r="S221" s="18">
        <f t="shared" si="41"/>
        <v>156.66</v>
      </c>
      <c r="T221" s="19">
        <f t="shared" si="44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156.66</v>
      </c>
      <c r="AV221" s="37">
        <f t="shared" si="39"/>
        <v>156.66</v>
      </c>
      <c r="AW221" s="37"/>
    </row>
    <row r="222" spans="1:49" ht="15.75" hidden="1" customHeight="1" x14ac:dyDescent="0.25">
      <c r="A222" s="6" t="s">
        <v>3849</v>
      </c>
      <c r="B222" s="21" t="s">
        <v>3854</v>
      </c>
      <c r="C222" s="7">
        <v>2</v>
      </c>
      <c r="D222" s="39" t="s">
        <v>3844</v>
      </c>
      <c r="E222" s="7">
        <v>4107</v>
      </c>
      <c r="F222" s="7" t="s">
        <v>3789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3790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151.04</v>
      </c>
      <c r="S222" s="18">
        <f t="shared" si="41"/>
        <v>151.04</v>
      </c>
      <c r="T222" s="19">
        <f t="shared" si="44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151.04</v>
      </c>
      <c r="AV222" s="37">
        <f t="shared" si="39"/>
        <v>151.04</v>
      </c>
      <c r="AW222" s="37"/>
    </row>
    <row r="223" spans="1:49" ht="15.75" hidden="1" customHeight="1" x14ac:dyDescent="0.25">
      <c r="A223" s="6" t="s">
        <v>3855</v>
      </c>
      <c r="B223" s="21" t="s">
        <v>3856</v>
      </c>
      <c r="C223" s="7">
        <v>2</v>
      </c>
      <c r="D223" s="39" t="s">
        <v>3857</v>
      </c>
      <c r="E223" s="7">
        <v>4108</v>
      </c>
      <c r="F223" s="7" t="s">
        <v>3789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3790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350.08</v>
      </c>
      <c r="S223" s="18">
        <f t="shared" si="41"/>
        <v>0</v>
      </c>
      <c r="T223" s="19">
        <f t="shared" si="44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40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5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8"/>
        <v>0</v>
      </c>
      <c r="AV223" s="37">
        <f t="shared" si="39"/>
        <v>0</v>
      </c>
      <c r="AW223" s="37"/>
    </row>
    <row r="224" spans="1:49" ht="15.75" hidden="1" customHeight="1" x14ac:dyDescent="0.25">
      <c r="A224" s="6" t="s">
        <v>3858</v>
      </c>
      <c r="B224" s="21" t="s">
        <v>3859</v>
      </c>
      <c r="C224" s="7">
        <v>2</v>
      </c>
      <c r="D224" s="39" t="s">
        <v>3804</v>
      </c>
      <c r="E224" s="7">
        <v>4109</v>
      </c>
      <c r="F224" s="7" t="s">
        <v>3789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3790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3858</v>
      </c>
      <c r="B225" s="21" t="s">
        <v>3860</v>
      </c>
      <c r="C225" s="7">
        <v>2</v>
      </c>
      <c r="D225" s="39" t="s">
        <v>3806</v>
      </c>
      <c r="E225" s="7">
        <v>4110</v>
      </c>
      <c r="F225" s="7" t="s">
        <v>3789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3790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43"/>
        <v>304.44</v>
      </c>
      <c r="S225" s="18">
        <f t="shared" si="41"/>
        <v>304.44</v>
      </c>
      <c r="T225" s="19">
        <f t="shared" si="44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304.44</v>
      </c>
      <c r="AV225" s="37">
        <f t="shared" si="39"/>
        <v>304.44</v>
      </c>
      <c r="AW225" s="37"/>
    </row>
    <row r="226" spans="1:49" ht="15.75" hidden="1" customHeight="1" x14ac:dyDescent="0.25">
      <c r="A226" s="6" t="s">
        <v>3858</v>
      </c>
      <c r="B226" s="21" t="s">
        <v>3861</v>
      </c>
      <c r="C226" s="7">
        <v>10</v>
      </c>
      <c r="D226" s="39" t="s">
        <v>3808</v>
      </c>
      <c r="E226" s="7">
        <v>4111</v>
      </c>
      <c r="F226" s="7" t="s">
        <v>3789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3790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43"/>
        <v>279</v>
      </c>
      <c r="S226" s="18">
        <f t="shared" si="41"/>
        <v>279</v>
      </c>
      <c r="T226" s="19">
        <f t="shared" si="44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279</v>
      </c>
      <c r="AV226" s="37">
        <f t="shared" si="39"/>
        <v>279</v>
      </c>
      <c r="AW226" s="37"/>
    </row>
    <row r="227" spans="1:49" ht="15.75" hidden="1" customHeight="1" x14ac:dyDescent="0.25">
      <c r="A227" s="6" t="s">
        <v>3858</v>
      </c>
      <c r="B227" s="21" t="s">
        <v>3862</v>
      </c>
      <c r="C227" s="7">
        <v>2</v>
      </c>
      <c r="D227" s="39" t="s">
        <v>3808</v>
      </c>
      <c r="E227" s="7">
        <v>4112</v>
      </c>
      <c r="F227" s="7" t="s">
        <v>3789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3790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50.04</v>
      </c>
      <c r="S227" s="18">
        <f t="shared" si="41"/>
        <v>50.04</v>
      </c>
      <c r="T227" s="19">
        <f t="shared" si="44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50.04</v>
      </c>
      <c r="AV227" s="37">
        <f t="shared" si="39"/>
        <v>50.04</v>
      </c>
      <c r="AW227" s="37"/>
    </row>
    <row r="228" spans="1:49" ht="15.75" hidden="1" customHeight="1" x14ac:dyDescent="0.25">
      <c r="A228" s="6" t="s">
        <v>3858</v>
      </c>
      <c r="B228" s="21" t="s">
        <v>3863</v>
      </c>
      <c r="C228" s="7">
        <v>2</v>
      </c>
      <c r="D228" s="39" t="s">
        <v>3808</v>
      </c>
      <c r="E228" s="7">
        <v>4113</v>
      </c>
      <c r="F228" s="7" t="s">
        <v>3789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3790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47.36</v>
      </c>
      <c r="S228" s="18">
        <f t="shared" si="41"/>
        <v>47.36</v>
      </c>
      <c r="T228" s="19">
        <f t="shared" si="44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8"/>
        <v>47.36</v>
      </c>
      <c r="AV228" s="37">
        <f t="shared" si="39"/>
        <v>47.36</v>
      </c>
      <c r="AW228" s="37"/>
    </row>
    <row r="229" spans="1:49" ht="15.75" hidden="1" customHeight="1" x14ac:dyDescent="0.25">
      <c r="A229" s="6" t="s">
        <v>3864</v>
      </c>
      <c r="B229" s="21" t="s">
        <v>3865</v>
      </c>
      <c r="C229" s="7">
        <v>2</v>
      </c>
      <c r="D229" s="39" t="s">
        <v>3804</v>
      </c>
      <c r="E229" s="7">
        <v>4114</v>
      </c>
      <c r="F229" s="7" t="s">
        <v>3789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3790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6">IF(AH229="",0,IF(ISTEXT(AH229),H229*VALUE(SUBSTITUTE(AH229,"%",""))/100,H229*AH229))</f>
        <v>245.96</v>
      </c>
      <c r="AV229" s="37">
        <f t="shared" ref="AV229:AV292" si="47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3864</v>
      </c>
      <c r="B230" s="21" t="s">
        <v>3866</v>
      </c>
      <c r="C230" s="7">
        <v>2</v>
      </c>
      <c r="D230" s="39" t="s">
        <v>3806</v>
      </c>
      <c r="E230" s="7">
        <v>4115</v>
      </c>
      <c r="F230" s="7" t="s">
        <v>3789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3790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245.96</v>
      </c>
      <c r="S230" s="18">
        <f t="shared" si="41"/>
        <v>245.96</v>
      </c>
      <c r="T230" s="19">
        <f t="shared" si="44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245.96</v>
      </c>
      <c r="AV230" s="37">
        <f t="shared" si="47"/>
        <v>245.96</v>
      </c>
      <c r="AW230" s="37"/>
    </row>
    <row r="231" spans="1:49" ht="15.75" hidden="1" customHeight="1" x14ac:dyDescent="0.25">
      <c r="A231" s="6" t="s">
        <v>3864</v>
      </c>
      <c r="B231" s="21" t="s">
        <v>3867</v>
      </c>
      <c r="C231" s="7">
        <v>2</v>
      </c>
      <c r="D231" s="39" t="s">
        <v>3808</v>
      </c>
      <c r="E231" s="7">
        <v>4116</v>
      </c>
      <c r="F231" s="7" t="s">
        <v>3789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3790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68.8</v>
      </c>
      <c r="S231" s="18">
        <f t="shared" si="41"/>
        <v>68.8</v>
      </c>
      <c r="T231" s="19">
        <f t="shared" si="44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68.8</v>
      </c>
      <c r="AV231" s="37">
        <f t="shared" si="47"/>
        <v>68.8</v>
      </c>
      <c r="AW231" s="37"/>
    </row>
    <row r="232" spans="1:49" ht="15.75" hidden="1" customHeight="1" x14ac:dyDescent="0.25">
      <c r="A232" s="6" t="s">
        <v>3864</v>
      </c>
      <c r="B232" s="21" t="s">
        <v>3868</v>
      </c>
      <c r="C232" s="7">
        <v>2</v>
      </c>
      <c r="D232" s="39" t="s">
        <v>3808</v>
      </c>
      <c r="E232" s="7">
        <v>4117</v>
      </c>
      <c r="F232" s="7" t="s">
        <v>3789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3790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3864</v>
      </c>
      <c r="B233" s="21" t="s">
        <v>3869</v>
      </c>
      <c r="C233" s="7">
        <v>2</v>
      </c>
      <c r="D233" s="39" t="s">
        <v>3808</v>
      </c>
      <c r="E233" s="7">
        <v>4118</v>
      </c>
      <c r="F233" s="7" t="s">
        <v>3789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3790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68.739999999999995</v>
      </c>
      <c r="S233" s="18">
        <f t="shared" si="41"/>
        <v>68.739999999999995</v>
      </c>
      <c r="T233" s="19">
        <f t="shared" si="44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68.739999999999995</v>
      </c>
      <c r="AV233" s="37">
        <f t="shared" si="47"/>
        <v>68.739999999999995</v>
      </c>
      <c r="AW233" s="37"/>
    </row>
    <row r="234" spans="1:49" ht="15.75" hidden="1" customHeight="1" x14ac:dyDescent="0.25">
      <c r="A234" s="6" t="s">
        <v>3864</v>
      </c>
      <c r="B234" s="21" t="s">
        <v>3870</v>
      </c>
      <c r="C234" s="7">
        <v>2</v>
      </c>
      <c r="D234" s="39" t="s">
        <v>3808</v>
      </c>
      <c r="E234" s="7">
        <v>4119</v>
      </c>
      <c r="F234" s="7" t="s">
        <v>3789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3790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3864</v>
      </c>
      <c r="B235" s="21" t="s">
        <v>3871</v>
      </c>
      <c r="C235" s="7">
        <v>2</v>
      </c>
      <c r="D235" s="39" t="s">
        <v>3808</v>
      </c>
      <c r="E235" s="7">
        <v>4120</v>
      </c>
      <c r="F235" s="7" t="s">
        <v>3789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3790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43"/>
        <v>54.02</v>
      </c>
      <c r="S235" s="18">
        <f t="shared" si="41"/>
        <v>54.02</v>
      </c>
      <c r="T235" s="19">
        <f t="shared" si="44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54.02</v>
      </c>
      <c r="AV235" s="37">
        <f t="shared" si="47"/>
        <v>54.02</v>
      </c>
      <c r="AW235" s="37"/>
    </row>
    <row r="236" spans="1:49" ht="15.75" hidden="1" customHeight="1" x14ac:dyDescent="0.25">
      <c r="A236" s="6" t="s">
        <v>3864</v>
      </c>
      <c r="B236" s="21" t="s">
        <v>3872</v>
      </c>
      <c r="C236" s="7">
        <v>4</v>
      </c>
      <c r="D236" s="39" t="s">
        <v>3808</v>
      </c>
      <c r="E236" s="7">
        <v>4121</v>
      </c>
      <c r="F236" s="7" t="s">
        <v>3789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3790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43"/>
        <v>95</v>
      </c>
      <c r="S236" s="18">
        <f t="shared" si="41"/>
        <v>95</v>
      </c>
      <c r="T236" s="19">
        <f t="shared" si="44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95</v>
      </c>
      <c r="AV236" s="37">
        <f t="shared" si="47"/>
        <v>95</v>
      </c>
      <c r="AW236" s="37"/>
    </row>
    <row r="237" spans="1:49" ht="15.75" hidden="1" customHeight="1" x14ac:dyDescent="0.25">
      <c r="A237" s="6" t="s">
        <v>3873</v>
      </c>
      <c r="B237" s="21" t="s">
        <v>3829</v>
      </c>
      <c r="C237" s="7">
        <v>2</v>
      </c>
      <c r="D237" s="39" t="s">
        <v>3804</v>
      </c>
      <c r="E237" s="7">
        <v>4122</v>
      </c>
      <c r="F237" s="7" t="s">
        <v>3789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3790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3873</v>
      </c>
      <c r="B238" s="21" t="s">
        <v>3830</v>
      </c>
      <c r="C238" s="7">
        <v>2</v>
      </c>
      <c r="D238" s="39" t="s">
        <v>3806</v>
      </c>
      <c r="E238" s="7">
        <v>4123</v>
      </c>
      <c r="F238" s="7" t="s">
        <v>3789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3790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43"/>
        <v>258.18</v>
      </c>
      <c r="S238" s="18">
        <f t="shared" si="41"/>
        <v>258.18</v>
      </c>
      <c r="T238" s="19">
        <f t="shared" si="44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258.18</v>
      </c>
      <c r="AV238" s="37">
        <f t="shared" si="47"/>
        <v>258.18</v>
      </c>
      <c r="AW238" s="37"/>
    </row>
    <row r="239" spans="1:49" ht="15.75" hidden="1" customHeight="1" x14ac:dyDescent="0.25">
      <c r="A239" s="6" t="s">
        <v>3873</v>
      </c>
      <c r="B239" s="21" t="s">
        <v>3874</v>
      </c>
      <c r="C239" s="7">
        <v>12</v>
      </c>
      <c r="D239" s="39" t="s">
        <v>3808</v>
      </c>
      <c r="E239" s="7">
        <v>4124</v>
      </c>
      <c r="F239" s="7" t="s">
        <v>3789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3790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43"/>
        <v>284.15999999999997</v>
      </c>
      <c r="S239" s="18">
        <f t="shared" si="41"/>
        <v>284.15999999999997</v>
      </c>
      <c r="T239" s="19">
        <f t="shared" si="44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284.15999999999997</v>
      </c>
      <c r="AV239" s="37">
        <f t="shared" si="47"/>
        <v>284.15999999999997</v>
      </c>
      <c r="AW239" s="37"/>
    </row>
    <row r="240" spans="1:49" ht="15.75" hidden="1" customHeight="1" x14ac:dyDescent="0.25">
      <c r="A240" s="6" t="s">
        <v>3873</v>
      </c>
      <c r="B240" s="21" t="s">
        <v>3830</v>
      </c>
      <c r="C240" s="7">
        <v>4</v>
      </c>
      <c r="D240" s="39" t="s">
        <v>3814</v>
      </c>
      <c r="E240" s="7">
        <v>4125</v>
      </c>
      <c r="F240" s="7" t="s">
        <v>3789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3790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3873</v>
      </c>
      <c r="B241" s="21" t="s">
        <v>3831</v>
      </c>
      <c r="C241" s="7">
        <v>4</v>
      </c>
      <c r="D241" s="39" t="s">
        <v>3816</v>
      </c>
      <c r="E241" s="7">
        <v>4126</v>
      </c>
      <c r="F241" s="7" t="s">
        <v>3789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3790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43"/>
        <v>285.76</v>
      </c>
      <c r="S241" s="18">
        <f t="shared" si="41"/>
        <v>285.76</v>
      </c>
      <c r="T241" s="19">
        <f t="shared" si="44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285.76</v>
      </c>
      <c r="AV241" s="37">
        <f t="shared" si="47"/>
        <v>285.76</v>
      </c>
      <c r="AW241" s="37"/>
    </row>
    <row r="242" spans="1:49" ht="15.75" hidden="1" customHeight="1" x14ac:dyDescent="0.25">
      <c r="A242" s="6" t="s">
        <v>3875</v>
      </c>
      <c r="B242" s="21" t="s">
        <v>3876</v>
      </c>
      <c r="C242" s="7">
        <v>2</v>
      </c>
      <c r="D242" s="39" t="s">
        <v>3804</v>
      </c>
      <c r="E242" s="7">
        <v>4127</v>
      </c>
      <c r="F242" s="7" t="s">
        <v>3789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3790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3875</v>
      </c>
      <c r="B243" s="21" t="s">
        <v>3877</v>
      </c>
      <c r="C243" s="7">
        <v>2</v>
      </c>
      <c r="D243" s="39" t="s">
        <v>3806</v>
      </c>
      <c r="E243" s="7">
        <v>4128</v>
      </c>
      <c r="F243" s="7" t="s">
        <v>3789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3790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43"/>
        <v>257.72000000000003</v>
      </c>
      <c r="S243" s="18">
        <f t="shared" si="41"/>
        <v>257.72000000000003</v>
      </c>
      <c r="T243" s="19">
        <f t="shared" si="44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257.72000000000003</v>
      </c>
      <c r="AV243" s="37">
        <f t="shared" si="47"/>
        <v>257.72000000000003</v>
      </c>
      <c r="AW243" s="37"/>
    </row>
    <row r="244" spans="1:49" ht="15.75" hidden="1" customHeight="1" x14ac:dyDescent="0.25">
      <c r="A244" s="6" t="s">
        <v>3875</v>
      </c>
      <c r="B244" s="21" t="s">
        <v>3878</v>
      </c>
      <c r="C244" s="7">
        <v>12</v>
      </c>
      <c r="D244" s="39" t="s">
        <v>3808</v>
      </c>
      <c r="E244" s="7">
        <v>4129</v>
      </c>
      <c r="F244" s="7" t="s">
        <v>3789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3790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43"/>
        <v>284.15999999999997</v>
      </c>
      <c r="S244" s="18">
        <f t="shared" si="41"/>
        <v>284.15999999999997</v>
      </c>
      <c r="T244" s="19">
        <f t="shared" si="44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0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284.15999999999997</v>
      </c>
      <c r="AV244" s="37">
        <f t="shared" si="47"/>
        <v>284.15999999999997</v>
      </c>
      <c r="AW244" s="37"/>
    </row>
    <row r="245" spans="1:49" ht="15.75" hidden="1" customHeight="1" x14ac:dyDescent="0.25">
      <c r="A245" s="6" t="s">
        <v>3875</v>
      </c>
      <c r="B245" s="21" t="s">
        <v>3830</v>
      </c>
      <c r="C245" s="7">
        <v>8</v>
      </c>
      <c r="D245" s="39" t="s">
        <v>3879</v>
      </c>
      <c r="E245" s="7">
        <v>4130</v>
      </c>
      <c r="F245" s="7" t="s">
        <v>3789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3790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43"/>
        <v>571.52</v>
      </c>
      <c r="S245" s="18">
        <f t="shared" si="41"/>
        <v>571.52</v>
      </c>
      <c r="T245" s="19">
        <f t="shared" si="44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8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571.52</v>
      </c>
      <c r="AV245" s="37">
        <f t="shared" si="47"/>
        <v>571.52</v>
      </c>
      <c r="AW245" s="37"/>
    </row>
    <row r="246" spans="1:49" ht="15.75" hidden="1" customHeight="1" x14ac:dyDescent="0.25">
      <c r="A246" s="6" t="s">
        <v>3880</v>
      </c>
      <c r="B246" s="21" t="s">
        <v>3881</v>
      </c>
      <c r="C246" s="7">
        <v>1</v>
      </c>
      <c r="D246" s="39" t="s">
        <v>3882</v>
      </c>
      <c r="E246" s="7">
        <v>4131</v>
      </c>
      <c r="F246" s="7" t="s">
        <v>3883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43"/>
        <v>383.4</v>
      </c>
      <c r="S246" s="18">
        <f t="shared" ref="S246:S309" si="49">IFERROR(H246*AG246,"")</f>
        <v>383.4</v>
      </c>
      <c r="T246" s="19">
        <f t="shared" si="44"/>
        <v>0</v>
      </c>
      <c r="U246" s="207">
        <v>1</v>
      </c>
      <c r="V246" s="12">
        <f>IFERROR(VLOOKUP(Tabela1[[#This Row],[COD.MDE]],'LISTA DE EMBARQUE'!B:L,11,0),"")</f>
        <v>0</v>
      </c>
      <c r="W246" s="13"/>
      <c r="X246" s="14">
        <f>IFERROR(Tabela1[[#This Row],[QIANTIDADE EXPEDIDA]]*Tabela1[[#This Row],[PESO UNI]],"")</f>
        <v>383.4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383.4</v>
      </c>
      <c r="AV246" s="37">
        <f t="shared" si="47"/>
        <v>383.4</v>
      </c>
      <c r="AW246" s="37"/>
    </row>
    <row r="247" spans="1:49" ht="15.75" hidden="1" customHeight="1" x14ac:dyDescent="0.25">
      <c r="A247" s="6" t="s">
        <v>3880</v>
      </c>
      <c r="B247" s="21" t="s">
        <v>3884</v>
      </c>
      <c r="C247" s="7">
        <v>4</v>
      </c>
      <c r="D247" s="39" t="s">
        <v>3885</v>
      </c>
      <c r="E247" s="7">
        <v>4132</v>
      </c>
      <c r="F247" s="7" t="s">
        <v>3883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43"/>
        <v>1.2</v>
      </c>
      <c r="S247" s="18">
        <f t="shared" si="49"/>
        <v>1.2</v>
      </c>
      <c r="T247" s="19">
        <f t="shared" si="44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1.2</v>
      </c>
      <c r="AV247" s="37">
        <f t="shared" si="47"/>
        <v>1.2</v>
      </c>
      <c r="AW247" s="37"/>
    </row>
    <row r="248" spans="1:49" ht="15.75" hidden="1" customHeight="1" x14ac:dyDescent="0.25">
      <c r="A248" s="6" t="s">
        <v>3880</v>
      </c>
      <c r="B248" s="21" t="s">
        <v>3881</v>
      </c>
      <c r="C248" s="7">
        <v>1</v>
      </c>
      <c r="D248" s="39" t="s">
        <v>3882</v>
      </c>
      <c r="E248" s="7">
        <v>4133</v>
      </c>
      <c r="F248" s="7" t="s">
        <v>3883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43"/>
        <v>383.4</v>
      </c>
      <c r="S248" s="18">
        <f t="shared" si="49"/>
        <v>383.4</v>
      </c>
      <c r="T248" s="19">
        <f t="shared" si="44"/>
        <v>0</v>
      </c>
      <c r="U248" s="207">
        <v>1</v>
      </c>
      <c r="V248" s="12">
        <f>IFERROR(VLOOKUP(Tabela1[[#This Row],[COD.MDE]],'LISTA DE EMBARQUE'!B:L,11,0),"")</f>
        <v>0</v>
      </c>
      <c r="W248" s="13"/>
      <c r="X248" s="14">
        <f>IFERROR(Tabela1[[#This Row],[QIANTIDADE EXPEDIDA]]*Tabela1[[#This Row],[PESO UNI]],"")</f>
        <v>383.4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383.4</v>
      </c>
      <c r="AV248" s="37">
        <f t="shared" si="47"/>
        <v>383.4</v>
      </c>
      <c r="AW248" s="37"/>
    </row>
    <row r="249" spans="1:49" ht="15.75" hidden="1" customHeight="1" x14ac:dyDescent="0.25">
      <c r="A249" s="6" t="s">
        <v>3880</v>
      </c>
      <c r="B249" s="21" t="s">
        <v>3884</v>
      </c>
      <c r="C249" s="7">
        <v>4</v>
      </c>
      <c r="D249" s="39" t="s">
        <v>3885</v>
      </c>
      <c r="E249" s="7">
        <v>4134</v>
      </c>
      <c r="F249" s="7" t="s">
        <v>3883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43"/>
        <v>1.2</v>
      </c>
      <c r="S249" s="18">
        <f t="shared" si="49"/>
        <v>1.2</v>
      </c>
      <c r="T249" s="19">
        <f t="shared" si="44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1.2</v>
      </c>
      <c r="AV249" s="37">
        <f t="shared" si="47"/>
        <v>1.2</v>
      </c>
      <c r="AW249" s="37"/>
    </row>
    <row r="250" spans="1:49" ht="15.75" hidden="1" customHeight="1" x14ac:dyDescent="0.25">
      <c r="A250" s="6" t="s">
        <v>3886</v>
      </c>
      <c r="B250" s="21" t="s">
        <v>3887</v>
      </c>
      <c r="C250" s="7">
        <v>1</v>
      </c>
      <c r="D250" s="39" t="s">
        <v>3888</v>
      </c>
      <c r="E250" s="7">
        <v>4135</v>
      </c>
      <c r="F250" s="7" t="s">
        <v>3889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43"/>
        <v>577.39</v>
      </c>
      <c r="S250" s="18">
        <f t="shared" si="49"/>
        <v>0</v>
      </c>
      <c r="T250" s="19">
        <f t="shared" si="44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8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5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0</v>
      </c>
      <c r="AV250" s="37">
        <f t="shared" si="47"/>
        <v>0</v>
      </c>
      <c r="AW250" s="37"/>
    </row>
    <row r="251" spans="1:49" ht="15.75" hidden="1" customHeight="1" x14ac:dyDescent="0.25">
      <c r="A251" s="6" t="s">
        <v>3886</v>
      </c>
      <c r="B251" s="21" t="s">
        <v>3890</v>
      </c>
      <c r="C251" s="7">
        <v>4</v>
      </c>
      <c r="D251" s="39" t="s">
        <v>3891</v>
      </c>
      <c r="E251" s="7">
        <v>4136</v>
      </c>
      <c r="F251" s="7" t="s">
        <v>3889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16.29</v>
      </c>
      <c r="S251" s="18">
        <f t="shared" si="49"/>
        <v>0</v>
      </c>
      <c r="T251" s="19">
        <f t="shared" si="44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8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5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0</v>
      </c>
      <c r="AV251" s="37">
        <f t="shared" si="47"/>
        <v>0</v>
      </c>
      <c r="AW251" s="37"/>
    </row>
    <row r="252" spans="1:49" ht="15.75" hidden="1" customHeight="1" x14ac:dyDescent="0.25">
      <c r="A252" s="6" t="s">
        <v>3886</v>
      </c>
      <c r="B252" s="21" t="s">
        <v>3892</v>
      </c>
      <c r="C252" s="7">
        <v>4</v>
      </c>
      <c r="D252" s="39" t="s">
        <v>3893</v>
      </c>
      <c r="E252" s="7">
        <v>4137</v>
      </c>
      <c r="F252" s="7" t="s">
        <v>3889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43"/>
        <v>20.995999999999999</v>
      </c>
      <c r="S252" s="18">
        <f t="shared" si="49"/>
        <v>0</v>
      </c>
      <c r="T252" s="19">
        <f t="shared" si="44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8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5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</v>
      </c>
      <c r="AV252" s="37">
        <f t="shared" si="47"/>
        <v>0</v>
      </c>
      <c r="AW252" s="37"/>
    </row>
    <row r="253" spans="1:49" ht="15.75" hidden="1" customHeight="1" x14ac:dyDescent="0.25">
      <c r="A253" s="6" t="s">
        <v>3886</v>
      </c>
      <c r="B253" s="21" t="s">
        <v>3894</v>
      </c>
      <c r="C253" s="7">
        <v>8</v>
      </c>
      <c r="D253" s="39" t="s">
        <v>3895</v>
      </c>
      <c r="E253" s="7">
        <v>4138</v>
      </c>
      <c r="F253" s="7" t="s">
        <v>3889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0.4</v>
      </c>
      <c r="S253" s="18">
        <f t="shared" si="49"/>
        <v>0</v>
      </c>
      <c r="T253" s="19">
        <f t="shared" si="44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8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5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</v>
      </c>
      <c r="AV253" s="37">
        <f t="shared" si="47"/>
        <v>0</v>
      </c>
      <c r="AW253" s="37"/>
    </row>
    <row r="254" spans="1:49" ht="15.75" hidden="1" customHeight="1" x14ac:dyDescent="0.25">
      <c r="A254" s="6" t="s">
        <v>3886</v>
      </c>
      <c r="B254" s="21" t="s">
        <v>3896</v>
      </c>
      <c r="C254" s="7">
        <v>8</v>
      </c>
      <c r="D254" s="39" t="s">
        <v>3897</v>
      </c>
      <c r="E254" s="7">
        <v>4139</v>
      </c>
      <c r="F254" s="7" t="s">
        <v>3889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43"/>
        <v>0.4</v>
      </c>
      <c r="S254" s="18">
        <f t="shared" si="49"/>
        <v>0</v>
      </c>
      <c r="T254" s="19">
        <f t="shared" si="44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8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5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</v>
      </c>
      <c r="AV254" s="37">
        <f t="shared" si="47"/>
        <v>0</v>
      </c>
      <c r="AW254" s="37"/>
    </row>
    <row r="255" spans="1:49" ht="15.75" hidden="1" customHeight="1" x14ac:dyDescent="0.25">
      <c r="A255" s="6" t="s">
        <v>3886</v>
      </c>
      <c r="B255" s="21" t="s">
        <v>3898</v>
      </c>
      <c r="C255" s="7">
        <v>4</v>
      </c>
      <c r="D255" s="39" t="s">
        <v>3897</v>
      </c>
      <c r="E255" s="7">
        <v>4140</v>
      </c>
      <c r="F255" s="7" t="s">
        <v>3889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0.2</v>
      </c>
      <c r="S255" s="18">
        <f t="shared" si="49"/>
        <v>0</v>
      </c>
      <c r="T255" s="19">
        <f t="shared" si="44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8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5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</v>
      </c>
      <c r="AV255" s="37">
        <f t="shared" si="47"/>
        <v>0</v>
      </c>
      <c r="AW255" s="37"/>
    </row>
    <row r="256" spans="1:49" ht="15.75" hidden="1" customHeight="1" x14ac:dyDescent="0.25">
      <c r="A256" s="6" t="s">
        <v>3886</v>
      </c>
      <c r="B256" s="21" t="s">
        <v>3899</v>
      </c>
      <c r="C256" s="7">
        <v>4</v>
      </c>
      <c r="D256" s="39" t="s">
        <v>3897</v>
      </c>
      <c r="E256" s="7">
        <v>4141</v>
      </c>
      <c r="F256" s="7" t="s">
        <v>3889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43"/>
        <v>0.2</v>
      </c>
      <c r="S256" s="18">
        <f t="shared" si="49"/>
        <v>0</v>
      </c>
      <c r="T256" s="19">
        <f t="shared" si="44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8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5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0</v>
      </c>
      <c r="AV256" s="37">
        <f t="shared" si="47"/>
        <v>0</v>
      </c>
      <c r="AW256" s="37"/>
    </row>
    <row r="257" spans="1:49" ht="15.75" hidden="1" customHeight="1" x14ac:dyDescent="0.25">
      <c r="A257" s="6" t="s">
        <v>3886</v>
      </c>
      <c r="B257" s="21" t="s">
        <v>3887</v>
      </c>
      <c r="C257" s="7">
        <v>1</v>
      </c>
      <c r="D257" s="39" t="s">
        <v>3888</v>
      </c>
      <c r="E257" s="7">
        <v>4142</v>
      </c>
      <c r="F257" s="7" t="s">
        <v>3889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43"/>
        <v>577.39</v>
      </c>
      <c r="S257" s="18">
        <f t="shared" si="49"/>
        <v>0</v>
      </c>
      <c r="T257" s="19">
        <f t="shared" si="44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8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5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0</v>
      </c>
      <c r="AV257" s="37">
        <f t="shared" si="47"/>
        <v>0</v>
      </c>
      <c r="AW257" s="37"/>
    </row>
    <row r="258" spans="1:49" ht="15.75" hidden="1" customHeight="1" x14ac:dyDescent="0.25">
      <c r="A258" s="6" t="s">
        <v>3886</v>
      </c>
      <c r="B258" s="21" t="s">
        <v>3890</v>
      </c>
      <c r="C258" s="7">
        <v>4</v>
      </c>
      <c r="D258" s="39" t="s">
        <v>3891</v>
      </c>
      <c r="E258" s="7">
        <v>4143</v>
      </c>
      <c r="F258" s="7" t="s">
        <v>3889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16.29</v>
      </c>
      <c r="S258" s="18">
        <f t="shared" si="49"/>
        <v>0</v>
      </c>
      <c r="T258" s="19">
        <f t="shared" si="44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8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5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0</v>
      </c>
      <c r="AV258" s="37">
        <f t="shared" si="47"/>
        <v>0</v>
      </c>
      <c r="AW258" s="37"/>
    </row>
    <row r="259" spans="1:49" ht="15.75" hidden="1" customHeight="1" x14ac:dyDescent="0.25">
      <c r="A259" s="6" t="s">
        <v>3886</v>
      </c>
      <c r="B259" s="21" t="s">
        <v>3892</v>
      </c>
      <c r="C259" s="7">
        <v>4</v>
      </c>
      <c r="D259" s="39" t="s">
        <v>3893</v>
      </c>
      <c r="E259" s="7">
        <v>4144</v>
      </c>
      <c r="F259" s="7" t="s">
        <v>3889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43"/>
        <v>20.995999999999999</v>
      </c>
      <c r="S259" s="18">
        <f t="shared" si="49"/>
        <v>0</v>
      </c>
      <c r="T259" s="19">
        <f t="shared" si="44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8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5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</v>
      </c>
      <c r="AV259" s="37">
        <f t="shared" si="47"/>
        <v>0</v>
      </c>
      <c r="AW259" s="37"/>
    </row>
    <row r="260" spans="1:49" ht="15.75" hidden="1" customHeight="1" x14ac:dyDescent="0.25">
      <c r="A260" s="6" t="s">
        <v>3886</v>
      </c>
      <c r="B260" s="21" t="s">
        <v>3894</v>
      </c>
      <c r="C260" s="7">
        <v>8</v>
      </c>
      <c r="D260" s="39" t="s">
        <v>3895</v>
      </c>
      <c r="E260" s="7">
        <v>4145</v>
      </c>
      <c r="F260" s="7" t="s">
        <v>3889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0.57999999999999996</v>
      </c>
      <c r="S260" s="18">
        <f t="shared" si="49"/>
        <v>0</v>
      </c>
      <c r="T260" s="19">
        <f t="shared" si="44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8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5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42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</v>
      </c>
      <c r="AV260" s="37">
        <f t="shared" si="47"/>
        <v>0</v>
      </c>
      <c r="AW260" s="37"/>
    </row>
    <row r="261" spans="1:49" ht="15.75" hidden="1" customHeight="1" x14ac:dyDescent="0.25">
      <c r="A261" s="6" t="s">
        <v>3886</v>
      </c>
      <c r="B261" s="21" t="s">
        <v>3896</v>
      </c>
      <c r="C261" s="7">
        <v>8</v>
      </c>
      <c r="D261" s="39" t="s">
        <v>3897</v>
      </c>
      <c r="E261" s="7">
        <v>4146</v>
      </c>
      <c r="F261" s="7" t="s">
        <v>3889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43"/>
        <v>0.4</v>
      </c>
      <c r="S261" s="18">
        <f t="shared" si="49"/>
        <v>0</v>
      </c>
      <c r="T261" s="19">
        <f t="shared" si="44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8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5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0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</v>
      </c>
      <c r="AV261" s="37">
        <f t="shared" si="47"/>
        <v>0</v>
      </c>
      <c r="AW261" s="37"/>
    </row>
    <row r="262" spans="1:49" ht="15.75" hidden="1" customHeight="1" x14ac:dyDescent="0.25">
      <c r="A262" s="6" t="s">
        <v>3886</v>
      </c>
      <c r="B262" s="21" t="s">
        <v>3898</v>
      </c>
      <c r="C262" s="7">
        <v>4</v>
      </c>
      <c r="D262" s="39" t="s">
        <v>3897</v>
      </c>
      <c r="E262" s="7">
        <v>4147</v>
      </c>
      <c r="F262" s="7" t="s">
        <v>3889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0.2</v>
      </c>
      <c r="S262" s="18">
        <f t="shared" si="49"/>
        <v>0</v>
      </c>
      <c r="T262" s="19">
        <f t="shared" si="44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8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5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</v>
      </c>
      <c r="AV262" s="37">
        <f t="shared" si="47"/>
        <v>0</v>
      </c>
      <c r="AW262" s="37"/>
    </row>
    <row r="263" spans="1:49" ht="15.75" hidden="1" customHeight="1" x14ac:dyDescent="0.25">
      <c r="A263" s="6" t="s">
        <v>3886</v>
      </c>
      <c r="B263" s="21" t="s">
        <v>3899</v>
      </c>
      <c r="C263" s="7">
        <v>4</v>
      </c>
      <c r="D263" s="39" t="s">
        <v>3897</v>
      </c>
      <c r="E263" s="7">
        <v>4148</v>
      </c>
      <c r="F263" s="7" t="s">
        <v>3889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43"/>
        <v>0.2</v>
      </c>
      <c r="S263" s="18">
        <f t="shared" si="49"/>
        <v>0</v>
      </c>
      <c r="T263" s="19">
        <f t="shared" si="44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8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5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0</v>
      </c>
      <c r="AV263" s="37">
        <f t="shared" si="47"/>
        <v>0</v>
      </c>
      <c r="AW263" s="37"/>
    </row>
    <row r="264" spans="1:49" ht="15.75" hidden="1" customHeight="1" x14ac:dyDescent="0.25">
      <c r="A264" s="6" t="s">
        <v>3900</v>
      </c>
      <c r="B264" s="21" t="s">
        <v>3901</v>
      </c>
      <c r="C264" s="7">
        <v>1</v>
      </c>
      <c r="D264" s="39" t="s">
        <v>3902</v>
      </c>
      <c r="E264" s="7">
        <v>4149</v>
      </c>
      <c r="F264" s="7" t="s">
        <v>3903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3900</v>
      </c>
      <c r="B265" s="21" t="s">
        <v>3901</v>
      </c>
      <c r="C265" s="7">
        <v>1</v>
      </c>
      <c r="D265" s="39" t="s">
        <v>3902</v>
      </c>
      <c r="E265" s="7">
        <v>4150</v>
      </c>
      <c r="F265" s="7" t="s">
        <v>3903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300.39999999999998</v>
      </c>
      <c r="S265" s="18">
        <f t="shared" si="49"/>
        <v>300.39999999999998</v>
      </c>
      <c r="T265" s="19">
        <f t="shared" si="44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300.39999999999998</v>
      </c>
      <c r="AV265" s="37">
        <f t="shared" si="47"/>
        <v>300.39999999999998</v>
      </c>
      <c r="AW265" s="37"/>
    </row>
    <row r="266" spans="1:49" ht="15.75" hidden="1" customHeight="1" x14ac:dyDescent="0.25">
      <c r="A266" s="6" t="s">
        <v>3904</v>
      </c>
      <c r="B266" s="21" t="s">
        <v>3905</v>
      </c>
      <c r="C266" s="7">
        <v>1</v>
      </c>
      <c r="D266" s="39" t="s">
        <v>3906</v>
      </c>
      <c r="E266" s="7">
        <v>4151</v>
      </c>
      <c r="F266" s="7" t="s">
        <v>3903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273.2</v>
      </c>
      <c r="S266" s="18">
        <f t="shared" si="49"/>
        <v>273.2</v>
      </c>
      <c r="T266" s="19">
        <f t="shared" si="44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273.2</v>
      </c>
      <c r="AV266" s="37">
        <f t="shared" si="47"/>
        <v>273.2</v>
      </c>
      <c r="AW266" s="37"/>
    </row>
    <row r="267" spans="1:49" ht="15.75" hidden="1" customHeight="1" x14ac:dyDescent="0.25">
      <c r="A267" s="6" t="s">
        <v>3904</v>
      </c>
      <c r="B267" s="21" t="s">
        <v>3907</v>
      </c>
      <c r="C267" s="7">
        <v>1</v>
      </c>
      <c r="D267" s="39" t="s">
        <v>3908</v>
      </c>
      <c r="E267" s="7">
        <v>4152</v>
      </c>
      <c r="F267" s="7" t="s">
        <v>3903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97.8</v>
      </c>
      <c r="S267" s="18">
        <f t="shared" si="49"/>
        <v>97.8</v>
      </c>
      <c r="T267" s="19">
        <f t="shared" si="44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97.8</v>
      </c>
      <c r="AV267" s="37">
        <f t="shared" si="47"/>
        <v>97.8</v>
      </c>
      <c r="AW267" s="37"/>
    </row>
    <row r="268" spans="1:49" ht="15.75" hidden="1" customHeight="1" x14ac:dyDescent="0.25">
      <c r="A268" s="6" t="s">
        <v>3904</v>
      </c>
      <c r="B268" s="21" t="s">
        <v>3905</v>
      </c>
      <c r="C268" s="7">
        <v>1</v>
      </c>
      <c r="D268" s="39" t="s">
        <v>3906</v>
      </c>
      <c r="E268" s="7">
        <v>4153</v>
      </c>
      <c r="F268" s="7" t="s">
        <v>3903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273.2</v>
      </c>
      <c r="S268" s="18">
        <f t="shared" si="49"/>
        <v>0</v>
      </c>
      <c r="T268" s="19">
        <f t="shared" si="44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8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5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6"/>
        <v>0</v>
      </c>
      <c r="AV268" s="37">
        <f t="shared" si="47"/>
        <v>0</v>
      </c>
      <c r="AW268" s="37"/>
    </row>
    <row r="269" spans="1:49" ht="15.75" hidden="1" customHeight="1" x14ac:dyDescent="0.25">
      <c r="A269" s="6" t="s">
        <v>3904</v>
      </c>
      <c r="B269" s="21" t="s">
        <v>3907</v>
      </c>
      <c r="C269" s="7">
        <v>1</v>
      </c>
      <c r="D269" s="39" t="s">
        <v>3908</v>
      </c>
      <c r="E269" s="7">
        <v>4154</v>
      </c>
      <c r="F269" s="7" t="s">
        <v>3903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97.8</v>
      </c>
      <c r="S269" s="18">
        <f t="shared" si="49"/>
        <v>97.8</v>
      </c>
      <c r="T269" s="19">
        <f t="shared" si="44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97.8</v>
      </c>
      <c r="AV269" s="37">
        <f t="shared" si="47"/>
        <v>97.8</v>
      </c>
      <c r="AW269" s="37"/>
    </row>
    <row r="270" spans="1:49" ht="15.75" hidden="1" customHeight="1" x14ac:dyDescent="0.25">
      <c r="A270" s="6" t="s">
        <v>3909</v>
      </c>
      <c r="B270" s="21" t="s">
        <v>3910</v>
      </c>
      <c r="C270" s="7">
        <v>1</v>
      </c>
      <c r="D270" s="39" t="s">
        <v>3911</v>
      </c>
      <c r="E270" s="7">
        <v>4155</v>
      </c>
      <c r="F270" s="7" t="s">
        <v>3903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20.350000000000001</v>
      </c>
      <c r="S270" s="18">
        <f t="shared" si="49"/>
        <v>20.350000000000001</v>
      </c>
      <c r="T270" s="19">
        <f t="shared" si="44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20.350000000000001</v>
      </c>
      <c r="AV270" s="37">
        <f t="shared" si="47"/>
        <v>20.350000000000001</v>
      </c>
      <c r="AW270" s="37"/>
    </row>
    <row r="271" spans="1:49" ht="15.75" hidden="1" customHeight="1" x14ac:dyDescent="0.25">
      <c r="A271" s="6" t="s">
        <v>3909</v>
      </c>
      <c r="B271" s="21" t="s">
        <v>2996</v>
      </c>
      <c r="C271" s="7">
        <v>1</v>
      </c>
      <c r="D271" s="39" t="s">
        <v>3912</v>
      </c>
      <c r="E271" s="7">
        <v>4156</v>
      </c>
      <c r="F271" s="7" t="s">
        <v>3903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1</v>
      </c>
      <c r="S271" s="18">
        <f t="shared" si="49"/>
        <v>1</v>
      </c>
      <c r="T271" s="19">
        <f t="shared" si="44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1</v>
      </c>
      <c r="AV271" s="37">
        <f t="shared" si="47"/>
        <v>1</v>
      </c>
      <c r="AW271" s="37"/>
    </row>
    <row r="272" spans="1:49" ht="15.75" hidden="1" customHeight="1" x14ac:dyDescent="0.25">
      <c r="A272" s="6" t="s">
        <v>3909</v>
      </c>
      <c r="B272" s="21" t="s">
        <v>3910</v>
      </c>
      <c r="C272" s="7">
        <v>1</v>
      </c>
      <c r="D272" s="39" t="s">
        <v>3911</v>
      </c>
      <c r="E272" s="7">
        <v>4157</v>
      </c>
      <c r="F272" s="7" t="s">
        <v>3903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20.350000000000001</v>
      </c>
      <c r="S272" s="18">
        <f t="shared" si="49"/>
        <v>20.350000000000001</v>
      </c>
      <c r="T272" s="19">
        <f t="shared" si="44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20.350000000000001</v>
      </c>
      <c r="AV272" s="37">
        <f t="shared" si="47"/>
        <v>20.350000000000001</v>
      </c>
      <c r="AW272" s="37"/>
    </row>
    <row r="273" spans="1:49" ht="15.75" hidden="1" customHeight="1" x14ac:dyDescent="0.25">
      <c r="A273" s="6" t="s">
        <v>3909</v>
      </c>
      <c r="B273" s="21" t="s">
        <v>2996</v>
      </c>
      <c r="C273" s="7">
        <v>1</v>
      </c>
      <c r="D273" s="39" t="s">
        <v>3912</v>
      </c>
      <c r="E273" s="7">
        <v>4158</v>
      </c>
      <c r="F273" s="7" t="s">
        <v>3903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43"/>
        <v>1</v>
      </c>
      <c r="S273" s="18">
        <f t="shared" si="49"/>
        <v>1</v>
      </c>
      <c r="T273" s="19">
        <f t="shared" si="44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1</v>
      </c>
      <c r="AV273" s="37">
        <f t="shared" si="47"/>
        <v>1</v>
      </c>
      <c r="AW273" s="37"/>
    </row>
    <row r="274" spans="1:49" ht="15.75" hidden="1" customHeight="1" x14ac:dyDescent="0.25">
      <c r="A274" s="6" t="s">
        <v>3913</v>
      </c>
      <c r="B274" s="21" t="s">
        <v>3914</v>
      </c>
      <c r="C274" s="7">
        <v>30</v>
      </c>
      <c r="D274" s="39" t="s">
        <v>3915</v>
      </c>
      <c r="E274" s="7">
        <v>4159</v>
      </c>
      <c r="F274" s="7" t="s">
        <v>3916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3790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3913</v>
      </c>
      <c r="B275" s="21" t="s">
        <v>3917</v>
      </c>
      <c r="C275" s="7">
        <v>30</v>
      </c>
      <c r="D275" s="39" t="s">
        <v>3918</v>
      </c>
      <c r="E275" s="7">
        <v>4160</v>
      </c>
      <c r="F275" s="7" t="s">
        <v>3916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3790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43"/>
        <v>266.09999999999997</v>
      </c>
      <c r="S275" s="18">
        <f t="shared" si="49"/>
        <v>266.09999999999997</v>
      </c>
      <c r="T275" s="19">
        <f t="shared" si="44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266.09999999999997</v>
      </c>
      <c r="AV275" s="37">
        <f t="shared" si="47"/>
        <v>266.09999999999997</v>
      </c>
      <c r="AW275" s="37"/>
    </row>
    <row r="276" spans="1:49" ht="15.75" hidden="1" customHeight="1" x14ac:dyDescent="0.25">
      <c r="A276" s="6" t="s">
        <v>3913</v>
      </c>
      <c r="B276" s="21" t="s">
        <v>3919</v>
      </c>
      <c r="C276" s="7">
        <v>40</v>
      </c>
      <c r="D276" s="39" t="s">
        <v>3920</v>
      </c>
      <c r="E276" s="7">
        <v>4161</v>
      </c>
      <c r="F276" s="7" t="s">
        <v>3916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3790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43"/>
        <v>172.39999999999998</v>
      </c>
      <c r="S276" s="18">
        <f t="shared" si="49"/>
        <v>172.39999999999998</v>
      </c>
      <c r="T276" s="19">
        <f t="shared" si="44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172.39999999999998</v>
      </c>
      <c r="AV276" s="37">
        <f t="shared" si="47"/>
        <v>172.39999999999998</v>
      </c>
      <c r="AW276" s="37"/>
    </row>
    <row r="277" spans="1:49" ht="15.75" hidden="1" customHeight="1" x14ac:dyDescent="0.25">
      <c r="A277" s="6" t="s">
        <v>3913</v>
      </c>
      <c r="B277" s="21" t="s">
        <v>3921</v>
      </c>
      <c r="C277" s="7">
        <v>10</v>
      </c>
      <c r="D277" s="39" t="s">
        <v>3922</v>
      </c>
      <c r="E277" s="7">
        <v>4162</v>
      </c>
      <c r="F277" s="7" t="s">
        <v>3916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3790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3913</v>
      </c>
      <c r="B278" s="21" t="s">
        <v>3923</v>
      </c>
      <c r="C278" s="7">
        <v>10</v>
      </c>
      <c r="D278" s="39" t="s">
        <v>3924</v>
      </c>
      <c r="E278" s="7">
        <v>4163</v>
      </c>
      <c r="F278" s="7" t="s">
        <v>3916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3790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43"/>
        <v>836</v>
      </c>
      <c r="S278" s="18">
        <f t="shared" si="49"/>
        <v>836</v>
      </c>
      <c r="T278" s="19">
        <f t="shared" si="44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836</v>
      </c>
      <c r="AV278" s="37">
        <f t="shared" si="47"/>
        <v>836</v>
      </c>
      <c r="AW278" s="37"/>
    </row>
    <row r="279" spans="1:49" ht="15.75" hidden="1" customHeight="1" x14ac:dyDescent="0.25">
      <c r="A279" s="6" t="s">
        <v>3913</v>
      </c>
      <c r="B279" s="21" t="s">
        <v>3925</v>
      </c>
      <c r="C279" s="7">
        <v>22</v>
      </c>
      <c r="D279" s="39" t="s">
        <v>3926</v>
      </c>
      <c r="E279" s="7">
        <v>4164</v>
      </c>
      <c r="F279" s="7" t="s">
        <v>3916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3790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43"/>
        <v>62.7</v>
      </c>
      <c r="S279" s="18">
        <f t="shared" si="49"/>
        <v>62.7</v>
      </c>
      <c r="T279" s="19">
        <f t="shared" si="44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62.7</v>
      </c>
      <c r="AV279" s="37">
        <f t="shared" si="47"/>
        <v>62.7</v>
      </c>
      <c r="AW279" s="37"/>
    </row>
    <row r="280" spans="1:49" ht="15.75" hidden="1" customHeight="1" x14ac:dyDescent="0.25">
      <c r="A280" s="6" t="s">
        <v>3913</v>
      </c>
      <c r="B280" s="21" t="s">
        <v>3927</v>
      </c>
      <c r="C280" s="7">
        <v>2</v>
      </c>
      <c r="D280" s="39" t="s">
        <v>3928</v>
      </c>
      <c r="E280" s="7">
        <v>4165</v>
      </c>
      <c r="F280" s="7" t="s">
        <v>3916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3790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43"/>
        <v>46</v>
      </c>
      <c r="S280" s="18">
        <f t="shared" si="49"/>
        <v>46</v>
      </c>
      <c r="T280" s="19">
        <f t="shared" si="44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46</v>
      </c>
      <c r="AV280" s="37">
        <f t="shared" si="47"/>
        <v>46</v>
      </c>
      <c r="AW280" s="37"/>
    </row>
    <row r="281" spans="1:49" ht="15.75" hidden="1" customHeight="1" x14ac:dyDescent="0.25">
      <c r="A281" s="6" t="s">
        <v>3913</v>
      </c>
      <c r="B281" s="21" t="s">
        <v>3929</v>
      </c>
      <c r="C281" s="7">
        <v>60</v>
      </c>
      <c r="D281" s="39" t="s">
        <v>3897</v>
      </c>
      <c r="E281" s="7">
        <v>4166</v>
      </c>
      <c r="F281" s="7" t="s">
        <v>3916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3790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43"/>
        <v>38.4</v>
      </c>
      <c r="S281" s="18">
        <f t="shared" si="49"/>
        <v>38.4</v>
      </c>
      <c r="T281" s="19">
        <f t="shared" si="44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38.4</v>
      </c>
      <c r="AV281" s="37">
        <f t="shared" si="47"/>
        <v>38.4</v>
      </c>
      <c r="AW281" s="37"/>
    </row>
    <row r="282" spans="1:49" ht="15.75" hidden="1" customHeight="1" x14ac:dyDescent="0.25">
      <c r="A282" s="6" t="s">
        <v>3930</v>
      </c>
      <c r="B282" s="21" t="s">
        <v>3931</v>
      </c>
      <c r="C282" s="7">
        <v>1</v>
      </c>
      <c r="D282" s="39" t="s">
        <v>3781</v>
      </c>
      <c r="E282" s="7">
        <v>4167</v>
      </c>
      <c r="F282" s="7" t="s">
        <v>3932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1">IFERROR(H282*((AA282*0.25)+(AC282*0.25)+(AD282*0.225)+(AE282*0.225)+(AF282*0.05)),"")</f>
        <v>466.3</v>
      </c>
      <c r="S282" s="18">
        <f t="shared" si="49"/>
        <v>466.3</v>
      </c>
      <c r="T282" s="19">
        <f t="shared" ref="T282:T345" si="52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3930</v>
      </c>
      <c r="B283" s="21" t="s">
        <v>3931</v>
      </c>
      <c r="C283" s="7">
        <v>1</v>
      </c>
      <c r="D283" s="39" t="s">
        <v>3781</v>
      </c>
      <c r="E283" s="7">
        <v>4168</v>
      </c>
      <c r="F283" s="7" t="s">
        <v>3932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466.3</v>
      </c>
      <c r="S283" s="18">
        <f t="shared" si="49"/>
        <v>466.3</v>
      </c>
      <c r="T283" s="19">
        <f t="shared" si="52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5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466.3</v>
      </c>
      <c r="AV283" s="37">
        <f t="shared" si="47"/>
        <v>466.3</v>
      </c>
      <c r="AW283" s="37"/>
    </row>
    <row r="284" spans="1:49" ht="15.75" hidden="1" customHeight="1" x14ac:dyDescent="0.25">
      <c r="A284" s="6" t="s">
        <v>3933</v>
      </c>
      <c r="B284" s="21" t="s">
        <v>3934</v>
      </c>
      <c r="C284" s="7">
        <v>1</v>
      </c>
      <c r="D284" s="39" t="s">
        <v>3781</v>
      </c>
      <c r="E284" s="7">
        <v>4169</v>
      </c>
      <c r="F284" s="7" t="s">
        <v>3932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53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3933</v>
      </c>
      <c r="B285" s="21" t="s">
        <v>3934</v>
      </c>
      <c r="C285" s="7">
        <v>1</v>
      </c>
      <c r="D285" s="39" t="s">
        <v>3781</v>
      </c>
      <c r="E285" s="7">
        <v>4170</v>
      </c>
      <c r="F285" s="7" t="s">
        <v>3932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320.39999999999998</v>
      </c>
      <c r="S285" s="18">
        <f t="shared" si="49"/>
        <v>320.39999999999998</v>
      </c>
      <c r="T285" s="19">
        <f t="shared" si="52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320.39999999999998</v>
      </c>
      <c r="AV285" s="37">
        <f t="shared" si="47"/>
        <v>320.39999999999998</v>
      </c>
      <c r="AW285" s="37"/>
    </row>
    <row r="286" spans="1:49" ht="15.75" hidden="1" customHeight="1" x14ac:dyDescent="0.25">
      <c r="A286" s="6" t="s">
        <v>3935</v>
      </c>
      <c r="B286" s="21" t="s">
        <v>3936</v>
      </c>
      <c r="C286" s="7">
        <v>1</v>
      </c>
      <c r="D286" s="39" t="s">
        <v>3937</v>
      </c>
      <c r="E286" s="7">
        <v>4171</v>
      </c>
      <c r="F286" s="7" t="s">
        <v>3932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32.9</v>
      </c>
      <c r="S286" s="18">
        <f t="shared" si="49"/>
        <v>32.9</v>
      </c>
      <c r="T286" s="19">
        <f t="shared" si="52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32.9</v>
      </c>
      <c r="AV286" s="37">
        <f t="shared" si="47"/>
        <v>32.9</v>
      </c>
      <c r="AW286" s="37"/>
    </row>
    <row r="287" spans="1:49" ht="15.75" hidden="1" customHeight="1" x14ac:dyDescent="0.25">
      <c r="A287" s="6" t="s">
        <v>3935</v>
      </c>
      <c r="B287" s="21" t="s">
        <v>3938</v>
      </c>
      <c r="C287" s="7">
        <v>1</v>
      </c>
      <c r="D287" s="39" t="s">
        <v>3937</v>
      </c>
      <c r="E287" s="7">
        <v>4172</v>
      </c>
      <c r="F287" s="7" t="s">
        <v>3932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45.6</v>
      </c>
      <c r="S287" s="18">
        <f t="shared" si="49"/>
        <v>45.6</v>
      </c>
      <c r="T287" s="19">
        <f t="shared" si="52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45.6</v>
      </c>
      <c r="AV287" s="37">
        <f t="shared" si="47"/>
        <v>45.6</v>
      </c>
      <c r="AW287" s="37"/>
    </row>
    <row r="288" spans="1:49" ht="15.75" hidden="1" customHeight="1" x14ac:dyDescent="0.25">
      <c r="A288" s="6" t="s">
        <v>3935</v>
      </c>
      <c r="B288" s="21" t="s">
        <v>3939</v>
      </c>
      <c r="C288" s="7">
        <v>1</v>
      </c>
      <c r="D288" s="39" t="s">
        <v>3937</v>
      </c>
      <c r="E288" s="7">
        <v>4173</v>
      </c>
      <c r="F288" s="7" t="s">
        <v>3932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22.2</v>
      </c>
      <c r="S288" s="18">
        <f t="shared" si="49"/>
        <v>22.2</v>
      </c>
      <c r="T288" s="19">
        <f t="shared" si="52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22.2</v>
      </c>
      <c r="AV288" s="37">
        <f t="shared" si="47"/>
        <v>22.2</v>
      </c>
      <c r="AW288" s="37"/>
    </row>
    <row r="289" spans="1:49" ht="15.75" hidden="1" customHeight="1" x14ac:dyDescent="0.25">
      <c r="A289" s="6" t="s">
        <v>3935</v>
      </c>
      <c r="B289" s="21" t="s">
        <v>3940</v>
      </c>
      <c r="C289" s="7">
        <v>1</v>
      </c>
      <c r="D289" s="39" t="s">
        <v>3937</v>
      </c>
      <c r="E289" s="7">
        <v>4174</v>
      </c>
      <c r="F289" s="7" t="s">
        <v>3932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34</v>
      </c>
      <c r="S289" s="18">
        <f t="shared" si="49"/>
        <v>34</v>
      </c>
      <c r="T289" s="19">
        <f t="shared" si="52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34</v>
      </c>
      <c r="AV289" s="37">
        <f t="shared" si="47"/>
        <v>34</v>
      </c>
      <c r="AW289" s="37"/>
    </row>
    <row r="290" spans="1:49" ht="15.75" hidden="1" customHeight="1" x14ac:dyDescent="0.25">
      <c r="A290" s="6" t="s">
        <v>3935</v>
      </c>
      <c r="B290" s="21" t="s">
        <v>3941</v>
      </c>
      <c r="C290" s="7">
        <v>1</v>
      </c>
      <c r="D290" s="39" t="s">
        <v>3937</v>
      </c>
      <c r="E290" s="7">
        <v>4175</v>
      </c>
      <c r="F290" s="7" t="s">
        <v>3932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10.199999999999999</v>
      </c>
      <c r="S290" s="18">
        <f t="shared" si="49"/>
        <v>10.199999999999999</v>
      </c>
      <c r="T290" s="19">
        <f t="shared" si="52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10.199999999999999</v>
      </c>
      <c r="AV290" s="37">
        <f t="shared" si="47"/>
        <v>10.199999999999999</v>
      </c>
      <c r="AW290" s="37"/>
    </row>
    <row r="291" spans="1:49" ht="15.75" hidden="1" customHeight="1" x14ac:dyDescent="0.25">
      <c r="A291" s="6" t="s">
        <v>3935</v>
      </c>
      <c r="B291" s="21" t="s">
        <v>3942</v>
      </c>
      <c r="C291" s="7">
        <v>1</v>
      </c>
      <c r="D291" s="39" t="s">
        <v>3937</v>
      </c>
      <c r="E291" s="7">
        <v>4176</v>
      </c>
      <c r="F291" s="7" t="s">
        <v>3932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49.8</v>
      </c>
      <c r="S291" s="18">
        <f t="shared" si="49"/>
        <v>49.8</v>
      </c>
      <c r="T291" s="19">
        <f t="shared" si="52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49.8</v>
      </c>
      <c r="AV291" s="37">
        <f t="shared" si="47"/>
        <v>49.8</v>
      </c>
      <c r="AW291" s="37"/>
    </row>
    <row r="292" spans="1:49" ht="15.75" hidden="1" customHeight="1" x14ac:dyDescent="0.25">
      <c r="A292" s="6" t="s">
        <v>3935</v>
      </c>
      <c r="B292" s="21" t="s">
        <v>3943</v>
      </c>
      <c r="C292" s="7">
        <v>1</v>
      </c>
      <c r="D292" s="39" t="s">
        <v>3937</v>
      </c>
      <c r="E292" s="7">
        <v>4177</v>
      </c>
      <c r="F292" s="7" t="s">
        <v>3932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1"/>
        <v>24.3</v>
      </c>
      <c r="S292" s="18">
        <f t="shared" si="49"/>
        <v>24.3</v>
      </c>
      <c r="T292" s="19">
        <f t="shared" si="52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6"/>
        <v>24.3</v>
      </c>
      <c r="AV292" s="37">
        <f t="shared" si="47"/>
        <v>24.3</v>
      </c>
      <c r="AW292" s="37"/>
    </row>
    <row r="293" spans="1:49" ht="15.75" hidden="1" customHeight="1" x14ac:dyDescent="0.25">
      <c r="A293" s="6" t="s">
        <v>3935</v>
      </c>
      <c r="B293" s="21" t="s">
        <v>3944</v>
      </c>
      <c r="C293" s="7">
        <v>4</v>
      </c>
      <c r="D293" s="39" t="s">
        <v>3945</v>
      </c>
      <c r="E293" s="7">
        <v>4178</v>
      </c>
      <c r="F293" s="7" t="s">
        <v>3932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1"/>
        <v>108.8</v>
      </c>
      <c r="S293" s="18">
        <f t="shared" si="49"/>
        <v>0</v>
      </c>
      <c r="T293" s="19">
        <f t="shared" si="52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8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53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4">IF(AH293="",0,IF(ISTEXT(AH293),H293*VALUE(SUBSTITUTE(AH293,"%",""))/100,H293*AH293))</f>
        <v>0</v>
      </c>
      <c r="AV293" s="37">
        <f t="shared" ref="AV293:AV356" si="55">IF(AG293="",0,IF(ISTEXT(AG293),H293*VALUE(SUBSTITUTE(AG293,"%",""))/100,H293*AG293))</f>
        <v>0</v>
      </c>
      <c r="AW293" s="37"/>
    </row>
    <row r="294" spans="1:49" ht="15.75" hidden="1" customHeight="1" x14ac:dyDescent="0.25">
      <c r="A294" s="6" t="s">
        <v>3935</v>
      </c>
      <c r="B294" s="21" t="s">
        <v>3936</v>
      </c>
      <c r="C294" s="7">
        <v>1</v>
      </c>
      <c r="D294" s="39" t="s">
        <v>3937</v>
      </c>
      <c r="E294" s="7">
        <v>4179</v>
      </c>
      <c r="F294" s="7" t="s">
        <v>3932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32.9</v>
      </c>
      <c r="S294" s="18">
        <f t="shared" si="49"/>
        <v>32.9</v>
      </c>
      <c r="T294" s="19">
        <f t="shared" si="52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32.9</v>
      </c>
      <c r="AV294" s="37">
        <f t="shared" si="55"/>
        <v>32.9</v>
      </c>
      <c r="AW294" s="37"/>
    </row>
    <row r="295" spans="1:49" ht="15.75" hidden="1" customHeight="1" x14ac:dyDescent="0.25">
      <c r="A295" s="6" t="s">
        <v>3935</v>
      </c>
      <c r="B295" s="21" t="s">
        <v>3938</v>
      </c>
      <c r="C295" s="7">
        <v>1</v>
      </c>
      <c r="D295" s="39" t="s">
        <v>3937</v>
      </c>
      <c r="E295" s="7">
        <v>4180</v>
      </c>
      <c r="F295" s="7" t="s">
        <v>3932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45.6</v>
      </c>
      <c r="S295" s="18">
        <f t="shared" si="49"/>
        <v>45.6</v>
      </c>
      <c r="T295" s="19">
        <f t="shared" si="52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45.6</v>
      </c>
      <c r="AV295" s="37">
        <f t="shared" si="55"/>
        <v>45.6</v>
      </c>
      <c r="AW295" s="37"/>
    </row>
    <row r="296" spans="1:49" ht="15.75" hidden="1" customHeight="1" x14ac:dyDescent="0.25">
      <c r="A296" s="6" t="s">
        <v>3935</v>
      </c>
      <c r="B296" s="21" t="s">
        <v>3939</v>
      </c>
      <c r="C296" s="7">
        <v>1</v>
      </c>
      <c r="D296" s="39" t="s">
        <v>3937</v>
      </c>
      <c r="E296" s="7">
        <v>4181</v>
      </c>
      <c r="F296" s="7" t="s">
        <v>3932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22.2</v>
      </c>
      <c r="S296" s="18">
        <f t="shared" si="49"/>
        <v>22.2</v>
      </c>
      <c r="T296" s="19">
        <f t="shared" si="52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22.2</v>
      </c>
      <c r="AV296" s="37">
        <f t="shared" si="55"/>
        <v>22.2</v>
      </c>
      <c r="AW296" s="37"/>
    </row>
    <row r="297" spans="1:49" ht="15.75" hidden="1" customHeight="1" x14ac:dyDescent="0.25">
      <c r="A297" s="6" t="s">
        <v>3935</v>
      </c>
      <c r="B297" s="21" t="s">
        <v>3940</v>
      </c>
      <c r="C297" s="7">
        <v>1</v>
      </c>
      <c r="D297" s="39" t="s">
        <v>3937</v>
      </c>
      <c r="E297" s="7">
        <v>4182</v>
      </c>
      <c r="F297" s="7" t="s">
        <v>3932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34</v>
      </c>
      <c r="S297" s="18">
        <f t="shared" si="49"/>
        <v>34</v>
      </c>
      <c r="T297" s="19">
        <f t="shared" si="52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34</v>
      </c>
      <c r="AV297" s="37">
        <f t="shared" si="55"/>
        <v>34</v>
      </c>
      <c r="AW297" s="37"/>
    </row>
    <row r="298" spans="1:49" ht="15.75" hidden="1" customHeight="1" x14ac:dyDescent="0.25">
      <c r="A298" s="6" t="s">
        <v>3935</v>
      </c>
      <c r="B298" s="21" t="s">
        <v>3941</v>
      </c>
      <c r="C298" s="7">
        <v>1</v>
      </c>
      <c r="D298" s="39" t="s">
        <v>3937</v>
      </c>
      <c r="E298" s="7">
        <v>4183</v>
      </c>
      <c r="F298" s="7" t="s">
        <v>3932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10.199999999999999</v>
      </c>
      <c r="S298" s="18">
        <f t="shared" si="49"/>
        <v>10.199999999999999</v>
      </c>
      <c r="T298" s="19">
        <f t="shared" si="52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10.199999999999999</v>
      </c>
      <c r="AV298" s="37">
        <f t="shared" si="55"/>
        <v>10.199999999999999</v>
      </c>
      <c r="AW298" s="37"/>
    </row>
    <row r="299" spans="1:49" ht="15.75" hidden="1" customHeight="1" x14ac:dyDescent="0.25">
      <c r="A299" s="6" t="s">
        <v>3935</v>
      </c>
      <c r="B299" s="21" t="s">
        <v>3942</v>
      </c>
      <c r="C299" s="7">
        <v>1</v>
      </c>
      <c r="D299" s="39" t="s">
        <v>3937</v>
      </c>
      <c r="E299" s="7">
        <v>4184</v>
      </c>
      <c r="F299" s="7" t="s">
        <v>3932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49.8</v>
      </c>
      <c r="S299" s="18">
        <f t="shared" si="49"/>
        <v>49.8</v>
      </c>
      <c r="T299" s="19">
        <f t="shared" si="52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49.8</v>
      </c>
      <c r="AV299" s="37">
        <f t="shared" si="55"/>
        <v>49.8</v>
      </c>
      <c r="AW299" s="37"/>
    </row>
    <row r="300" spans="1:49" ht="15.75" hidden="1" customHeight="1" x14ac:dyDescent="0.25">
      <c r="A300" s="6" t="s">
        <v>3935</v>
      </c>
      <c r="B300" s="21" t="s">
        <v>3943</v>
      </c>
      <c r="C300" s="7">
        <v>1</v>
      </c>
      <c r="D300" s="39" t="s">
        <v>3937</v>
      </c>
      <c r="E300" s="7">
        <v>4185</v>
      </c>
      <c r="F300" s="7" t="s">
        <v>3932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1"/>
        <v>24.3</v>
      </c>
      <c r="S300" s="18">
        <f t="shared" si="49"/>
        <v>24.3</v>
      </c>
      <c r="T300" s="19">
        <f t="shared" si="52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24.3</v>
      </c>
      <c r="AV300" s="37">
        <f t="shared" si="55"/>
        <v>24.3</v>
      </c>
      <c r="AW300" s="37"/>
    </row>
    <row r="301" spans="1:49" ht="15.75" hidden="1" customHeight="1" x14ac:dyDescent="0.25">
      <c r="A301" s="6" t="s">
        <v>3935</v>
      </c>
      <c r="B301" s="21" t="s">
        <v>3944</v>
      </c>
      <c r="C301" s="7">
        <v>4</v>
      </c>
      <c r="D301" s="39" t="s">
        <v>3945</v>
      </c>
      <c r="E301" s="7">
        <v>4186</v>
      </c>
      <c r="F301" s="7" t="s">
        <v>3932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1"/>
        <v>108.8</v>
      </c>
      <c r="S301" s="18">
        <f t="shared" si="49"/>
        <v>0</v>
      </c>
      <c r="T301" s="19">
        <f t="shared" si="52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8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53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4"/>
        <v>0</v>
      </c>
      <c r="AV301" s="37">
        <f t="shared" si="55"/>
        <v>0</v>
      </c>
      <c r="AW301" s="37"/>
    </row>
    <row r="302" spans="1:49" ht="15.75" hidden="1" customHeight="1" x14ac:dyDescent="0.25">
      <c r="A302" s="6" t="s">
        <v>3779</v>
      </c>
      <c r="B302" s="21" t="s">
        <v>3946</v>
      </c>
      <c r="C302" s="7">
        <v>2</v>
      </c>
      <c r="D302" s="39" t="s">
        <v>3947</v>
      </c>
      <c r="E302" s="7">
        <v>4187</v>
      </c>
      <c r="F302" s="7" t="s">
        <v>3782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3779</v>
      </c>
      <c r="B303" s="21" t="s">
        <v>3946</v>
      </c>
      <c r="C303" s="7">
        <v>2</v>
      </c>
      <c r="D303" s="39" t="s">
        <v>3947</v>
      </c>
      <c r="E303" s="7">
        <v>4188</v>
      </c>
      <c r="F303" s="7" t="s">
        <v>3782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1"/>
        <v>216.4</v>
      </c>
      <c r="S303" s="18">
        <f t="shared" si="49"/>
        <v>216.4</v>
      </c>
      <c r="T303" s="19">
        <f t="shared" si="52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216.4</v>
      </c>
      <c r="AV303" s="37">
        <f t="shared" si="55"/>
        <v>216.4</v>
      </c>
      <c r="AW303" s="37"/>
    </row>
    <row r="304" spans="1:49" ht="15.75" hidden="1" customHeight="1" x14ac:dyDescent="0.25">
      <c r="A304" s="6" t="s">
        <v>3948</v>
      </c>
      <c r="B304" s="21" t="s">
        <v>3949</v>
      </c>
      <c r="C304" s="7">
        <v>76</v>
      </c>
      <c r="D304" s="39" t="s">
        <v>3950</v>
      </c>
      <c r="E304" s="7">
        <v>4189</v>
      </c>
      <c r="F304" s="7" t="s">
        <v>3951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1"/>
        <v>106.39999999999999</v>
      </c>
      <c r="S304" s="18">
        <f t="shared" si="49"/>
        <v>0</v>
      </c>
      <c r="T304" s="19">
        <f t="shared" si="52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8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53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4"/>
        <v>0</v>
      </c>
      <c r="AV304" s="37">
        <f t="shared" si="55"/>
        <v>0</v>
      </c>
      <c r="AW304" s="37"/>
    </row>
    <row r="305" spans="1:49" ht="15.75" hidden="1" customHeight="1" x14ac:dyDescent="0.25">
      <c r="A305" s="6" t="s">
        <v>3948</v>
      </c>
      <c r="B305" s="21" t="s">
        <v>3952</v>
      </c>
      <c r="C305" s="7">
        <v>8</v>
      </c>
      <c r="D305" s="39" t="s">
        <v>3950</v>
      </c>
      <c r="E305" s="7">
        <v>4190</v>
      </c>
      <c r="F305" s="7" t="s">
        <v>3951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1"/>
        <v>16.239999999999998</v>
      </c>
      <c r="S305" s="18">
        <f t="shared" si="49"/>
        <v>0</v>
      </c>
      <c r="T305" s="19">
        <f t="shared" si="52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8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53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0</v>
      </c>
      <c r="AV305" s="37">
        <f t="shared" si="55"/>
        <v>0</v>
      </c>
      <c r="AW305" s="37"/>
    </row>
    <row r="306" spans="1:49" ht="15.75" hidden="1" customHeight="1" x14ac:dyDescent="0.25">
      <c r="A306" s="6" t="s">
        <v>3948</v>
      </c>
      <c r="B306" s="21" t="s">
        <v>3953</v>
      </c>
      <c r="C306" s="7">
        <v>2</v>
      </c>
      <c r="D306" s="39" t="s">
        <v>3954</v>
      </c>
      <c r="E306" s="7">
        <v>4191</v>
      </c>
      <c r="F306" s="7" t="s">
        <v>3951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1"/>
        <v>34.6</v>
      </c>
      <c r="S306" s="18">
        <f t="shared" si="49"/>
        <v>0</v>
      </c>
      <c r="T306" s="19">
        <f t="shared" si="52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8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53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4"/>
        <v>0</v>
      </c>
      <c r="AV306" s="37">
        <f t="shared" si="55"/>
        <v>0</v>
      </c>
      <c r="AW306" s="37"/>
    </row>
    <row r="307" spans="1:49" ht="15.75" hidden="1" customHeight="1" x14ac:dyDescent="0.25">
      <c r="A307" s="6" t="s">
        <v>3948</v>
      </c>
      <c r="B307" s="21" t="s">
        <v>3955</v>
      </c>
      <c r="C307" s="7">
        <v>4</v>
      </c>
      <c r="D307" s="39" t="s">
        <v>3954</v>
      </c>
      <c r="E307" s="7">
        <v>4192</v>
      </c>
      <c r="F307" s="7" t="s">
        <v>3951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1"/>
        <v>91.2</v>
      </c>
      <c r="S307" s="18">
        <f t="shared" si="49"/>
        <v>0</v>
      </c>
      <c r="T307" s="19">
        <f t="shared" si="52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8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53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4"/>
        <v>0</v>
      </c>
      <c r="AV307" s="32">
        <f t="shared" si="55"/>
        <v>0</v>
      </c>
      <c r="AW307" s="32"/>
    </row>
    <row r="308" spans="1:49" ht="15.75" hidden="1" customHeight="1" x14ac:dyDescent="0.25">
      <c r="A308" s="6" t="s">
        <v>3948</v>
      </c>
      <c r="B308" s="21" t="s">
        <v>3956</v>
      </c>
      <c r="C308" s="7">
        <v>2</v>
      </c>
      <c r="D308" s="39" t="s">
        <v>3954</v>
      </c>
      <c r="E308" s="7">
        <v>4193</v>
      </c>
      <c r="F308" s="7" t="s">
        <v>3951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1"/>
        <v>34.200000000000003</v>
      </c>
      <c r="S308" s="18">
        <f t="shared" si="49"/>
        <v>0</v>
      </c>
      <c r="T308" s="19">
        <f t="shared" si="52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8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53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4"/>
        <v>0</v>
      </c>
      <c r="AV308" s="37">
        <f t="shared" si="55"/>
        <v>0</v>
      </c>
      <c r="AW308" s="37"/>
    </row>
    <row r="309" spans="1:49" ht="15.75" hidden="1" customHeight="1" x14ac:dyDescent="0.25">
      <c r="A309" s="6" t="s">
        <v>3948</v>
      </c>
      <c r="B309" s="21" t="s">
        <v>3957</v>
      </c>
      <c r="C309" s="7">
        <v>4</v>
      </c>
      <c r="D309" s="39" t="s">
        <v>3954</v>
      </c>
      <c r="E309" s="7">
        <v>4194</v>
      </c>
      <c r="F309" s="7" t="s">
        <v>3951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1"/>
        <v>52.4</v>
      </c>
      <c r="S309" s="18">
        <f t="shared" si="49"/>
        <v>0</v>
      </c>
      <c r="T309" s="19">
        <f t="shared" si="52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6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53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4"/>
        <v>0</v>
      </c>
      <c r="AV309" s="37">
        <f t="shared" si="55"/>
        <v>0</v>
      </c>
      <c r="AW309" s="37"/>
    </row>
    <row r="310" spans="1:49" ht="15.75" hidden="1" customHeight="1" x14ac:dyDescent="0.25">
      <c r="A310" s="6" t="s">
        <v>3948</v>
      </c>
      <c r="B310" s="21" t="s">
        <v>3949</v>
      </c>
      <c r="C310" s="7">
        <v>76</v>
      </c>
      <c r="D310" s="39" t="s">
        <v>3950</v>
      </c>
      <c r="E310" s="7">
        <v>4195</v>
      </c>
      <c r="F310" s="7" t="s">
        <v>3951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1"/>
        <v>106.39999999999999</v>
      </c>
      <c r="S310" s="18">
        <f t="shared" ref="S310:S373" si="57">IFERROR(H310*AG310,"")</f>
        <v>0</v>
      </c>
      <c r="T310" s="19">
        <f t="shared" si="52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6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53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4"/>
        <v>0</v>
      </c>
      <c r="AV310" s="37">
        <f t="shared" si="55"/>
        <v>0</v>
      </c>
      <c r="AW310" s="37"/>
    </row>
    <row r="311" spans="1:49" ht="15.75" hidden="1" customHeight="1" x14ac:dyDescent="0.25">
      <c r="A311" s="6" t="s">
        <v>3948</v>
      </c>
      <c r="B311" s="21" t="s">
        <v>3952</v>
      </c>
      <c r="C311" s="7">
        <v>8</v>
      </c>
      <c r="D311" s="39" t="s">
        <v>3950</v>
      </c>
      <c r="E311" s="7">
        <v>4196</v>
      </c>
      <c r="F311" s="7" t="s">
        <v>3951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1"/>
        <v>13.92</v>
      </c>
      <c r="S311" s="18">
        <f t="shared" si="57"/>
        <v>0</v>
      </c>
      <c r="T311" s="19">
        <f t="shared" si="52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6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53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0</v>
      </c>
      <c r="AV311" s="37">
        <f t="shared" si="55"/>
        <v>0</v>
      </c>
      <c r="AW311" s="37"/>
    </row>
    <row r="312" spans="1:49" ht="15.75" hidden="1" customHeight="1" x14ac:dyDescent="0.25">
      <c r="A312" s="6" t="s">
        <v>3948</v>
      </c>
      <c r="B312" s="21" t="s">
        <v>3953</v>
      </c>
      <c r="C312" s="7">
        <v>2</v>
      </c>
      <c r="D312" s="39" t="s">
        <v>3954</v>
      </c>
      <c r="E312" s="7">
        <v>4197</v>
      </c>
      <c r="F312" s="7" t="s">
        <v>3951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1"/>
        <v>34.6</v>
      </c>
      <c r="S312" s="18">
        <f t="shared" si="57"/>
        <v>0</v>
      </c>
      <c r="T312" s="19">
        <f t="shared" si="52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6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53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4"/>
        <v>0</v>
      </c>
      <c r="AV312" s="37">
        <f t="shared" si="55"/>
        <v>0</v>
      </c>
      <c r="AW312" s="37"/>
    </row>
    <row r="313" spans="1:49" ht="15.75" hidden="1" customHeight="1" x14ac:dyDescent="0.25">
      <c r="A313" s="6" t="s">
        <v>3948</v>
      </c>
      <c r="B313" s="21" t="s">
        <v>3955</v>
      </c>
      <c r="C313" s="7">
        <v>4</v>
      </c>
      <c r="D313" s="39" t="s">
        <v>3954</v>
      </c>
      <c r="E313" s="7">
        <v>4198</v>
      </c>
      <c r="F313" s="7" t="s">
        <v>3951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1"/>
        <v>91.2</v>
      </c>
      <c r="S313" s="18">
        <f t="shared" si="57"/>
        <v>0</v>
      </c>
      <c r="T313" s="19">
        <f t="shared" si="52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6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53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4"/>
        <v>0</v>
      </c>
      <c r="AV313" s="37">
        <f t="shared" si="55"/>
        <v>0</v>
      </c>
      <c r="AW313" s="37"/>
    </row>
    <row r="314" spans="1:49" ht="15.75" hidden="1" customHeight="1" x14ac:dyDescent="0.25">
      <c r="A314" s="6" t="s">
        <v>3948</v>
      </c>
      <c r="B314" s="21" t="s">
        <v>3956</v>
      </c>
      <c r="C314" s="7">
        <v>2</v>
      </c>
      <c r="D314" s="39" t="s">
        <v>3954</v>
      </c>
      <c r="E314" s="7">
        <v>4199</v>
      </c>
      <c r="F314" s="7" t="s">
        <v>3951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1"/>
        <v>34.200000000000003</v>
      </c>
      <c r="S314" s="18">
        <f t="shared" si="57"/>
        <v>0</v>
      </c>
      <c r="T314" s="19">
        <f t="shared" si="52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6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53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4"/>
        <v>0</v>
      </c>
      <c r="AV314" s="37">
        <f t="shared" si="55"/>
        <v>0</v>
      </c>
      <c r="AW314" s="37"/>
    </row>
    <row r="315" spans="1:49" ht="15.75" hidden="1" customHeight="1" x14ac:dyDescent="0.25">
      <c r="A315" s="6" t="s">
        <v>3948</v>
      </c>
      <c r="B315" s="21" t="s">
        <v>3957</v>
      </c>
      <c r="C315" s="7">
        <v>4</v>
      </c>
      <c r="D315" s="39" t="s">
        <v>3954</v>
      </c>
      <c r="E315" s="7">
        <v>4200</v>
      </c>
      <c r="F315" s="7" t="s">
        <v>3951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1"/>
        <v>52.4</v>
      </c>
      <c r="S315" s="18">
        <f t="shared" si="57"/>
        <v>0</v>
      </c>
      <c r="T315" s="19">
        <f t="shared" si="52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6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53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4"/>
        <v>0</v>
      </c>
      <c r="AV315" s="37">
        <f t="shared" si="55"/>
        <v>0</v>
      </c>
      <c r="AW315" s="37"/>
    </row>
    <row r="316" spans="1:49" ht="15.75" hidden="1" customHeight="1" x14ac:dyDescent="0.25">
      <c r="A316" s="6" t="s">
        <v>3958</v>
      </c>
      <c r="B316" s="21" t="s">
        <v>3959</v>
      </c>
      <c r="C316" s="7">
        <v>1</v>
      </c>
      <c r="D316" s="39" t="s">
        <v>3960</v>
      </c>
      <c r="E316" s="7">
        <v>4201</v>
      </c>
      <c r="F316" s="7" t="s">
        <v>3961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96.4</v>
      </c>
      <c r="S316" s="18">
        <f t="shared" si="57"/>
        <v>0</v>
      </c>
      <c r="T316" s="19">
        <f t="shared" si="52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6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53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4"/>
        <v>0</v>
      </c>
      <c r="AV316" s="37">
        <f t="shared" si="55"/>
        <v>0</v>
      </c>
      <c r="AW316" s="37"/>
    </row>
    <row r="317" spans="1:49" ht="15.75" hidden="1" customHeight="1" x14ac:dyDescent="0.25">
      <c r="A317" s="6" t="s">
        <v>3958</v>
      </c>
      <c r="B317" s="21" t="s">
        <v>3962</v>
      </c>
      <c r="C317" s="7">
        <v>1</v>
      </c>
      <c r="D317" s="39" t="s">
        <v>3963</v>
      </c>
      <c r="E317" s="7">
        <v>4202</v>
      </c>
      <c r="F317" s="7" t="s">
        <v>3961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1"/>
        <v>25.2</v>
      </c>
      <c r="S317" s="18">
        <f t="shared" si="57"/>
        <v>0</v>
      </c>
      <c r="T317" s="19">
        <f t="shared" si="52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6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53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4"/>
        <v>0</v>
      </c>
      <c r="AV317" s="37">
        <f t="shared" si="55"/>
        <v>0</v>
      </c>
      <c r="AW317" s="37"/>
    </row>
    <row r="318" spans="1:49" ht="15.75" hidden="1" customHeight="1" x14ac:dyDescent="0.25">
      <c r="A318" s="6" t="s">
        <v>3958</v>
      </c>
      <c r="B318" s="21" t="s">
        <v>3964</v>
      </c>
      <c r="C318" s="7">
        <v>2</v>
      </c>
      <c r="D318" s="39" t="s">
        <v>3965</v>
      </c>
      <c r="E318" s="7">
        <v>4203</v>
      </c>
      <c r="F318" s="7" t="s">
        <v>3961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1"/>
        <v>4</v>
      </c>
      <c r="S318" s="18">
        <f t="shared" si="57"/>
        <v>0</v>
      </c>
      <c r="T318" s="19">
        <f t="shared" si="52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6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53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4"/>
        <v>0</v>
      </c>
      <c r="AV318" s="37">
        <f t="shared" si="55"/>
        <v>0</v>
      </c>
      <c r="AW318" s="37"/>
    </row>
    <row r="319" spans="1:49" ht="15.75" hidden="1" customHeight="1" x14ac:dyDescent="0.25">
      <c r="A319" s="6" t="s">
        <v>3958</v>
      </c>
      <c r="B319" s="21" t="s">
        <v>3959</v>
      </c>
      <c r="C319" s="7">
        <v>1</v>
      </c>
      <c r="D319" s="39" t="s">
        <v>3960</v>
      </c>
      <c r="E319" s="7">
        <v>4204</v>
      </c>
      <c r="F319" s="7" t="s">
        <v>3961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96.4</v>
      </c>
      <c r="S319" s="18">
        <f t="shared" si="57"/>
        <v>0</v>
      </c>
      <c r="T319" s="19">
        <f t="shared" si="52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6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53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4"/>
        <v>0</v>
      </c>
      <c r="AV319" s="37">
        <f t="shared" si="55"/>
        <v>0</v>
      </c>
      <c r="AW319" s="37"/>
    </row>
    <row r="320" spans="1:49" ht="15.75" hidden="1" customHeight="1" x14ac:dyDescent="0.25">
      <c r="A320" s="6" t="s">
        <v>3958</v>
      </c>
      <c r="B320" s="21" t="s">
        <v>3962</v>
      </c>
      <c r="C320" s="7">
        <v>1</v>
      </c>
      <c r="D320" s="39" t="s">
        <v>3963</v>
      </c>
      <c r="E320" s="7">
        <v>4205</v>
      </c>
      <c r="F320" s="7" t="s">
        <v>3961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1"/>
        <v>25.2</v>
      </c>
      <c r="S320" s="18">
        <f t="shared" si="57"/>
        <v>0</v>
      </c>
      <c r="T320" s="19">
        <f t="shared" si="52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6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53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4"/>
        <v>0</v>
      </c>
      <c r="AV320" s="37">
        <f t="shared" si="55"/>
        <v>0</v>
      </c>
      <c r="AW320" s="37"/>
    </row>
    <row r="321" spans="1:49" ht="15.75" hidden="1" customHeight="1" x14ac:dyDescent="0.25">
      <c r="A321" s="6" t="s">
        <v>3958</v>
      </c>
      <c r="B321" s="21" t="s">
        <v>3964</v>
      </c>
      <c r="C321" s="7">
        <v>2</v>
      </c>
      <c r="D321" s="39" t="s">
        <v>3965</v>
      </c>
      <c r="E321" s="7">
        <v>4206</v>
      </c>
      <c r="F321" s="7" t="s">
        <v>3961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1"/>
        <v>4</v>
      </c>
      <c r="S321" s="18">
        <f t="shared" si="57"/>
        <v>0</v>
      </c>
      <c r="T321" s="19">
        <f t="shared" si="52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6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53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4"/>
        <v>0</v>
      </c>
      <c r="AV321" s="37">
        <f t="shared" si="55"/>
        <v>0</v>
      </c>
      <c r="AW321" s="37"/>
    </row>
    <row r="322" spans="1:49" ht="15.75" hidden="1" customHeight="1" x14ac:dyDescent="0.25">
      <c r="A322" s="6" t="s">
        <v>3966</v>
      </c>
      <c r="B322" s="21" t="s">
        <v>3967</v>
      </c>
      <c r="C322" s="7">
        <v>1</v>
      </c>
      <c r="D322" s="39" t="s">
        <v>3968</v>
      </c>
      <c r="E322" s="7">
        <v>4207</v>
      </c>
      <c r="F322" s="7" t="s">
        <v>3961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97.6</v>
      </c>
      <c r="S322" s="18">
        <f t="shared" si="57"/>
        <v>0</v>
      </c>
      <c r="T322" s="19">
        <f t="shared" si="52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6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53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4"/>
        <v>0</v>
      </c>
      <c r="AV322" s="37">
        <f t="shared" si="55"/>
        <v>0</v>
      </c>
      <c r="AW322" s="37"/>
    </row>
    <row r="323" spans="1:49" ht="15.75" hidden="1" customHeight="1" x14ac:dyDescent="0.25">
      <c r="A323" s="6" t="s">
        <v>3966</v>
      </c>
      <c r="B323" s="21" t="s">
        <v>3969</v>
      </c>
      <c r="C323" s="7">
        <v>1</v>
      </c>
      <c r="D323" s="39" t="s">
        <v>3963</v>
      </c>
      <c r="E323" s="7">
        <v>4208</v>
      </c>
      <c r="F323" s="7" t="s">
        <v>3961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1"/>
        <v>25.2</v>
      </c>
      <c r="S323" s="18">
        <f t="shared" si="57"/>
        <v>0</v>
      </c>
      <c r="T323" s="19">
        <f t="shared" si="52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6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53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4"/>
        <v>0</v>
      </c>
      <c r="AV323" s="37">
        <f t="shared" si="55"/>
        <v>0</v>
      </c>
      <c r="AW323" s="37"/>
    </row>
    <row r="324" spans="1:49" ht="15.75" hidden="1" customHeight="1" x14ac:dyDescent="0.25">
      <c r="A324" s="6" t="s">
        <v>3966</v>
      </c>
      <c r="B324" s="21" t="s">
        <v>3970</v>
      </c>
      <c r="C324" s="7">
        <v>2</v>
      </c>
      <c r="D324" s="39" t="s">
        <v>3965</v>
      </c>
      <c r="E324" s="7">
        <v>4209</v>
      </c>
      <c r="F324" s="7" t="s">
        <v>3961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1"/>
        <v>4</v>
      </c>
      <c r="S324" s="18">
        <f t="shared" si="57"/>
        <v>0</v>
      </c>
      <c r="T324" s="19">
        <f t="shared" si="52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6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53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0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4"/>
        <v>0</v>
      </c>
      <c r="AV324" s="37">
        <f t="shared" si="55"/>
        <v>0</v>
      </c>
      <c r="AW324" s="37"/>
    </row>
    <row r="325" spans="1:49" ht="15.75" hidden="1" customHeight="1" x14ac:dyDescent="0.25">
      <c r="A325" s="6" t="s">
        <v>3966</v>
      </c>
      <c r="B325" s="21" t="s">
        <v>3967</v>
      </c>
      <c r="C325" s="7">
        <v>1</v>
      </c>
      <c r="D325" s="39" t="s">
        <v>3968</v>
      </c>
      <c r="E325" s="7">
        <v>4210</v>
      </c>
      <c r="F325" s="7" t="s">
        <v>3961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97.6</v>
      </c>
      <c r="S325" s="18">
        <f t="shared" si="57"/>
        <v>0</v>
      </c>
      <c r="T325" s="19">
        <f t="shared" si="52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6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53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8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4"/>
        <v>0</v>
      </c>
      <c r="AV325" s="37">
        <f t="shared" si="55"/>
        <v>0</v>
      </c>
      <c r="AW325" s="37"/>
    </row>
    <row r="326" spans="1:49" ht="15.75" hidden="1" customHeight="1" x14ac:dyDescent="0.25">
      <c r="A326" s="6" t="s">
        <v>3966</v>
      </c>
      <c r="B326" s="21" t="s">
        <v>3969</v>
      </c>
      <c r="C326" s="7">
        <v>1</v>
      </c>
      <c r="D326" s="39" t="s">
        <v>3963</v>
      </c>
      <c r="E326" s="7">
        <v>4211</v>
      </c>
      <c r="F326" s="7" t="s">
        <v>3961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1"/>
        <v>25.2</v>
      </c>
      <c r="S326" s="18">
        <f t="shared" si="57"/>
        <v>0</v>
      </c>
      <c r="T326" s="19">
        <f t="shared" si="52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6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53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4"/>
        <v>0</v>
      </c>
      <c r="AV326" s="37">
        <f t="shared" si="55"/>
        <v>0</v>
      </c>
      <c r="AW326" s="37"/>
    </row>
    <row r="327" spans="1:49" ht="15.75" hidden="1" customHeight="1" x14ac:dyDescent="0.25">
      <c r="A327" s="6" t="s">
        <v>3966</v>
      </c>
      <c r="B327" s="21" t="s">
        <v>3970</v>
      </c>
      <c r="C327" s="7">
        <v>2</v>
      </c>
      <c r="D327" s="39" t="s">
        <v>3965</v>
      </c>
      <c r="E327" s="7">
        <v>4212</v>
      </c>
      <c r="F327" s="7" t="s">
        <v>3961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1"/>
        <v>4</v>
      </c>
      <c r="S327" s="18">
        <f t="shared" si="57"/>
        <v>0</v>
      </c>
      <c r="T327" s="19">
        <f t="shared" si="52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6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53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4"/>
        <v>0</v>
      </c>
      <c r="AV327" s="37">
        <f t="shared" si="55"/>
        <v>0</v>
      </c>
      <c r="AW327" s="37"/>
    </row>
    <row r="328" spans="1:49" ht="15.75" hidden="1" customHeight="1" x14ac:dyDescent="0.25">
      <c r="A328" s="6" t="s">
        <v>3971</v>
      </c>
      <c r="B328" s="21" t="s">
        <v>3972</v>
      </c>
      <c r="C328" s="7">
        <v>1</v>
      </c>
      <c r="D328" s="39" t="s">
        <v>3973</v>
      </c>
      <c r="E328" s="7">
        <v>4213</v>
      </c>
      <c r="F328" s="7" t="s">
        <v>3974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1"/>
        <v>704.9</v>
      </c>
      <c r="S328" s="18">
        <f t="shared" si="57"/>
        <v>704.9</v>
      </c>
      <c r="T328" s="19">
        <f t="shared" si="52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704.9</v>
      </c>
      <c r="AV328" s="37">
        <f t="shared" si="55"/>
        <v>704.9</v>
      </c>
      <c r="AW328" s="37"/>
    </row>
    <row r="329" spans="1:49" ht="15.75" hidden="1" customHeight="1" x14ac:dyDescent="0.25">
      <c r="A329" s="6" t="s">
        <v>3971</v>
      </c>
      <c r="B329" s="21" t="s">
        <v>3975</v>
      </c>
      <c r="C329" s="7">
        <v>8</v>
      </c>
      <c r="D329" s="39" t="s">
        <v>3976</v>
      </c>
      <c r="E329" s="7">
        <v>4214</v>
      </c>
      <c r="F329" s="7" t="s">
        <v>3974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1"/>
        <v>20.8</v>
      </c>
      <c r="S329" s="18">
        <f t="shared" si="57"/>
        <v>20.8</v>
      </c>
      <c r="T329" s="19">
        <f t="shared" si="52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20.8</v>
      </c>
      <c r="AV329" s="37">
        <f t="shared" si="55"/>
        <v>20.8</v>
      </c>
      <c r="AW329" s="37"/>
    </row>
    <row r="330" spans="1:49" ht="15.75" hidden="1" customHeight="1" x14ac:dyDescent="0.25">
      <c r="A330" s="6" t="s">
        <v>3971</v>
      </c>
      <c r="B330" s="21" t="s">
        <v>3977</v>
      </c>
      <c r="C330" s="7">
        <v>2</v>
      </c>
      <c r="D330" s="39" t="s">
        <v>3978</v>
      </c>
      <c r="E330" s="7">
        <v>4215</v>
      </c>
      <c r="F330" s="7" t="s">
        <v>3974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1"/>
        <v>74.400000000000006</v>
      </c>
      <c r="S330" s="18">
        <f t="shared" si="57"/>
        <v>74.400000000000006</v>
      </c>
      <c r="T330" s="19">
        <f t="shared" si="52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74.400000000000006</v>
      </c>
      <c r="AV330" s="37">
        <f t="shared" si="55"/>
        <v>74.400000000000006</v>
      </c>
      <c r="AW330" s="37"/>
    </row>
    <row r="331" spans="1:49" ht="15.75" hidden="1" customHeight="1" x14ac:dyDescent="0.25">
      <c r="A331" s="6" t="s">
        <v>3971</v>
      </c>
      <c r="B331" s="21" t="s">
        <v>3972</v>
      </c>
      <c r="C331" s="7">
        <v>1</v>
      </c>
      <c r="D331" s="39" t="s">
        <v>3973</v>
      </c>
      <c r="E331" s="7">
        <v>4216</v>
      </c>
      <c r="F331" s="7" t="s">
        <v>3974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1"/>
        <v>704.9</v>
      </c>
      <c r="S331" s="18">
        <f t="shared" si="57"/>
        <v>704.9</v>
      </c>
      <c r="T331" s="19">
        <f t="shared" si="52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704.9</v>
      </c>
      <c r="AV331" s="37">
        <f t="shared" si="55"/>
        <v>704.9</v>
      </c>
      <c r="AW331" s="37"/>
    </row>
    <row r="332" spans="1:49" ht="15.75" hidden="1" customHeight="1" x14ac:dyDescent="0.25">
      <c r="A332" s="6" t="s">
        <v>3971</v>
      </c>
      <c r="B332" s="21" t="s">
        <v>3975</v>
      </c>
      <c r="C332" s="7">
        <v>8</v>
      </c>
      <c r="D332" s="39" t="s">
        <v>3976</v>
      </c>
      <c r="E332" s="7">
        <v>4217</v>
      </c>
      <c r="F332" s="7" t="s">
        <v>3974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1"/>
        <v>20.8</v>
      </c>
      <c r="S332" s="18">
        <f t="shared" si="57"/>
        <v>20.8</v>
      </c>
      <c r="T332" s="19">
        <f t="shared" si="52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20.8</v>
      </c>
      <c r="AV332" s="37">
        <f t="shared" si="55"/>
        <v>20.8</v>
      </c>
      <c r="AW332" s="37"/>
    </row>
    <row r="333" spans="1:49" ht="15.75" hidden="1" customHeight="1" x14ac:dyDescent="0.25">
      <c r="A333" s="6" t="s">
        <v>3971</v>
      </c>
      <c r="B333" s="21" t="s">
        <v>3977</v>
      </c>
      <c r="C333" s="7">
        <v>2</v>
      </c>
      <c r="D333" s="39" t="s">
        <v>3978</v>
      </c>
      <c r="E333" s="7">
        <v>4218</v>
      </c>
      <c r="F333" s="7" t="s">
        <v>3974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1"/>
        <v>74.400000000000006</v>
      </c>
      <c r="S333" s="18">
        <f t="shared" si="57"/>
        <v>74.400000000000006</v>
      </c>
      <c r="T333" s="19">
        <f t="shared" si="52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74.400000000000006</v>
      </c>
      <c r="AV333" s="37">
        <f t="shared" si="55"/>
        <v>74.400000000000006</v>
      </c>
      <c r="AW333" s="37"/>
    </row>
    <row r="334" spans="1:49" ht="15.75" hidden="1" customHeight="1" x14ac:dyDescent="0.25">
      <c r="A334" s="6" t="s">
        <v>3979</v>
      </c>
      <c r="B334" s="21" t="s">
        <v>3980</v>
      </c>
      <c r="C334" s="7">
        <v>1</v>
      </c>
      <c r="D334" s="39" t="s">
        <v>3981</v>
      </c>
      <c r="E334" s="7">
        <v>4219</v>
      </c>
      <c r="F334" s="7" t="s">
        <v>3974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1"/>
        <v>62.2</v>
      </c>
      <c r="S334" s="18">
        <f t="shared" si="57"/>
        <v>62.2</v>
      </c>
      <c r="T334" s="19">
        <f t="shared" si="52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62.2</v>
      </c>
      <c r="AV334" s="37">
        <f t="shared" si="55"/>
        <v>62.2</v>
      </c>
      <c r="AW334" s="37"/>
    </row>
    <row r="335" spans="1:49" ht="15.75" hidden="1" customHeight="1" x14ac:dyDescent="0.25">
      <c r="A335" s="6" t="s">
        <v>3979</v>
      </c>
      <c r="B335" s="21" t="s">
        <v>3980</v>
      </c>
      <c r="C335" s="7">
        <v>4</v>
      </c>
      <c r="D335" s="39" t="s">
        <v>3982</v>
      </c>
      <c r="E335" s="7">
        <v>4220</v>
      </c>
      <c r="F335" s="7" t="s">
        <v>3974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1"/>
        <v>10.4</v>
      </c>
      <c r="S335" s="18">
        <f t="shared" si="57"/>
        <v>10.4</v>
      </c>
      <c r="T335" s="19">
        <f t="shared" si="52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10.4</v>
      </c>
      <c r="AV335" s="37">
        <f t="shared" si="55"/>
        <v>10.4</v>
      </c>
      <c r="AW335" s="37"/>
    </row>
    <row r="336" spans="1:49" ht="15.75" hidden="1" customHeight="1" x14ac:dyDescent="0.25">
      <c r="A336" s="6" t="s">
        <v>3979</v>
      </c>
      <c r="B336" s="21" t="s">
        <v>3980</v>
      </c>
      <c r="C336" s="7">
        <v>1</v>
      </c>
      <c r="D336" s="39" t="s">
        <v>3981</v>
      </c>
      <c r="E336" s="7">
        <v>4221</v>
      </c>
      <c r="F336" s="7" t="s">
        <v>3974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1"/>
        <v>62.2</v>
      </c>
      <c r="S336" s="18">
        <f t="shared" si="57"/>
        <v>62.2</v>
      </c>
      <c r="T336" s="19">
        <f t="shared" si="52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62.2</v>
      </c>
      <c r="AV336" s="37">
        <f t="shared" si="55"/>
        <v>62.2</v>
      </c>
      <c r="AW336" s="37"/>
    </row>
    <row r="337" spans="1:49" ht="15.75" hidden="1" customHeight="1" x14ac:dyDescent="0.25">
      <c r="A337" s="6" t="s">
        <v>3979</v>
      </c>
      <c r="B337" s="21" t="s">
        <v>3980</v>
      </c>
      <c r="C337" s="7">
        <v>4</v>
      </c>
      <c r="D337" s="39" t="s">
        <v>3982</v>
      </c>
      <c r="E337" s="7">
        <v>4222</v>
      </c>
      <c r="F337" s="7" t="s">
        <v>3974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1"/>
        <v>10.4</v>
      </c>
      <c r="S337" s="18">
        <f t="shared" si="57"/>
        <v>10.4</v>
      </c>
      <c r="T337" s="19">
        <f t="shared" si="52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10.4</v>
      </c>
      <c r="AV337" s="37">
        <f t="shared" si="55"/>
        <v>10.4</v>
      </c>
      <c r="AW337" s="37"/>
    </row>
    <row r="338" spans="1:49" ht="15.75" hidden="1" customHeight="1" x14ac:dyDescent="0.25">
      <c r="A338" s="6" t="s">
        <v>3773</v>
      </c>
      <c r="B338" s="21" t="s">
        <v>3983</v>
      </c>
      <c r="C338" s="7">
        <v>2</v>
      </c>
      <c r="D338" s="39" t="s">
        <v>3984</v>
      </c>
      <c r="E338" s="7">
        <v>4223</v>
      </c>
      <c r="F338" s="7" t="s">
        <v>3775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6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53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4"/>
        <v>0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3773</v>
      </c>
      <c r="B339" s="21" t="s">
        <v>3983</v>
      </c>
      <c r="C339" s="7">
        <v>2</v>
      </c>
      <c r="D339" s="39" t="s">
        <v>3984</v>
      </c>
      <c r="E339" s="7">
        <v>4224</v>
      </c>
      <c r="F339" s="7" t="s">
        <v>3775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1"/>
        <v>27.4</v>
      </c>
      <c r="S339" s="18">
        <f t="shared" si="57"/>
        <v>27.4</v>
      </c>
      <c r="T339" s="19">
        <f t="shared" si="52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6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53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4"/>
        <v>0</v>
      </c>
      <c r="AV339" s="37">
        <f t="shared" si="55"/>
        <v>27.4</v>
      </c>
      <c r="AW339" s="37"/>
    </row>
    <row r="340" spans="1:49" ht="15.75" hidden="1" customHeight="1" x14ac:dyDescent="0.25">
      <c r="A340" s="6" t="s">
        <v>3985</v>
      </c>
      <c r="B340" s="21" t="s">
        <v>3986</v>
      </c>
      <c r="C340" s="7">
        <v>1</v>
      </c>
      <c r="D340" s="39" t="s">
        <v>3987</v>
      </c>
      <c r="E340" s="7">
        <v>4225</v>
      </c>
      <c r="F340" s="7" t="s">
        <v>3988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0</v>
      </c>
      <c r="T340" s="19">
        <f t="shared" si="52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6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53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4"/>
        <v>0</v>
      </c>
      <c r="AV340" s="37">
        <f t="shared" si="55"/>
        <v>0</v>
      </c>
      <c r="AW340" s="37"/>
    </row>
    <row r="341" spans="1:49" ht="15.75" hidden="1" customHeight="1" x14ac:dyDescent="0.25">
      <c r="A341" s="6" t="s">
        <v>3985</v>
      </c>
      <c r="B341" s="21" t="s">
        <v>3986</v>
      </c>
      <c r="C341" s="7">
        <v>1</v>
      </c>
      <c r="D341" s="39" t="s">
        <v>3987</v>
      </c>
      <c r="E341" s="7">
        <v>4226</v>
      </c>
      <c r="F341" s="7" t="s">
        <v>3988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1"/>
        <v>36.6</v>
      </c>
      <c r="S341" s="18">
        <f t="shared" si="57"/>
        <v>0</v>
      </c>
      <c r="T341" s="19">
        <f t="shared" si="52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6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53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4"/>
        <v>0</v>
      </c>
      <c r="AV341" s="37">
        <f t="shared" si="55"/>
        <v>0</v>
      </c>
      <c r="AW341" s="37"/>
    </row>
    <row r="342" spans="1:49" ht="15.75" hidden="1" customHeight="1" x14ac:dyDescent="0.25">
      <c r="A342" s="6" t="s">
        <v>3985</v>
      </c>
      <c r="B342" s="21" t="s">
        <v>3989</v>
      </c>
      <c r="C342" s="7">
        <v>2</v>
      </c>
      <c r="D342" s="39" t="s">
        <v>3990</v>
      </c>
      <c r="E342" s="7">
        <v>4227</v>
      </c>
      <c r="F342" s="7" t="s">
        <v>3988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0</v>
      </c>
      <c r="T342" s="19">
        <f t="shared" si="52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6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53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4"/>
        <v>0</v>
      </c>
      <c r="AV342" s="37">
        <f t="shared" si="55"/>
        <v>0</v>
      </c>
      <c r="AW342" s="37"/>
    </row>
    <row r="343" spans="1:49" ht="15.75" hidden="1" customHeight="1" x14ac:dyDescent="0.25">
      <c r="A343" s="6" t="s">
        <v>3985</v>
      </c>
      <c r="B343" s="21" t="s">
        <v>3989</v>
      </c>
      <c r="C343" s="7">
        <v>2</v>
      </c>
      <c r="D343" s="39" t="s">
        <v>3990</v>
      </c>
      <c r="E343" s="7">
        <v>4228</v>
      </c>
      <c r="F343" s="7" t="s">
        <v>3988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12.6</v>
      </c>
      <c r="S343" s="18">
        <f t="shared" si="57"/>
        <v>0</v>
      </c>
      <c r="T343" s="19">
        <f t="shared" si="52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6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53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4"/>
        <v>0</v>
      </c>
      <c r="AV343" s="37">
        <f t="shared" si="55"/>
        <v>0</v>
      </c>
      <c r="AW343" s="37"/>
    </row>
    <row r="344" spans="1:49" ht="15.75" hidden="1" customHeight="1" x14ac:dyDescent="0.25">
      <c r="A344" s="6" t="s">
        <v>3985</v>
      </c>
      <c r="B344" s="21" t="s">
        <v>3991</v>
      </c>
      <c r="C344" s="7">
        <v>2</v>
      </c>
      <c r="D344" s="39" t="s">
        <v>3992</v>
      </c>
      <c r="E344" s="7">
        <v>4229</v>
      </c>
      <c r="F344" s="7" t="s">
        <v>3988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0</v>
      </c>
      <c r="T344" s="19">
        <f t="shared" si="52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6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53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4"/>
        <v>0</v>
      </c>
      <c r="AV344" s="37">
        <f t="shared" si="55"/>
        <v>0</v>
      </c>
      <c r="AW344" s="37"/>
    </row>
    <row r="345" spans="1:49" ht="15.75" hidden="1" customHeight="1" x14ac:dyDescent="0.25">
      <c r="A345" s="6" t="s">
        <v>3985</v>
      </c>
      <c r="B345" s="21" t="s">
        <v>3991</v>
      </c>
      <c r="C345" s="7">
        <v>2</v>
      </c>
      <c r="D345" s="39" t="s">
        <v>3992</v>
      </c>
      <c r="E345" s="7">
        <v>4230</v>
      </c>
      <c r="F345" s="7" t="s">
        <v>3988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1"/>
        <v>1.4</v>
      </c>
      <c r="S345" s="18">
        <f t="shared" si="57"/>
        <v>0</v>
      </c>
      <c r="T345" s="19">
        <f t="shared" si="52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6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53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4"/>
        <v>0</v>
      </c>
      <c r="AV345" s="37">
        <f t="shared" si="55"/>
        <v>0</v>
      </c>
      <c r="AW345" s="37"/>
    </row>
    <row r="346" spans="1:49" ht="15.75" hidden="1" customHeight="1" x14ac:dyDescent="0.25">
      <c r="A346" s="6" t="s">
        <v>3993</v>
      </c>
      <c r="B346" s="21" t="s">
        <v>3994</v>
      </c>
      <c r="C346" s="7">
        <v>1</v>
      </c>
      <c r="D346" s="39" t="s">
        <v>3995</v>
      </c>
      <c r="E346" s="7">
        <v>4231</v>
      </c>
      <c r="F346" s="7" t="s">
        <v>3996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59">IFERROR(H346*((AA346*0.25)+(AC346*0.25)+(AD346*0.225)+(AE346*0.225)+(AF346*0.05)),"")</f>
        <v>10.734999999999999</v>
      </c>
      <c r="S346" s="18">
        <f t="shared" si="57"/>
        <v>0</v>
      </c>
      <c r="T346" s="19">
        <f t="shared" ref="T346:T355" si="60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6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53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0</v>
      </c>
      <c r="AV346" s="37">
        <f t="shared" si="55"/>
        <v>0</v>
      </c>
      <c r="AW346" s="37"/>
    </row>
    <row r="347" spans="1:49" ht="15.75" hidden="1" customHeight="1" x14ac:dyDescent="0.25">
      <c r="A347" s="6" t="s">
        <v>3993</v>
      </c>
      <c r="B347" s="21" t="s">
        <v>3994</v>
      </c>
      <c r="C347" s="7">
        <v>1</v>
      </c>
      <c r="D347" s="39" t="s">
        <v>3995</v>
      </c>
      <c r="E347" s="7">
        <v>4232</v>
      </c>
      <c r="F347" s="7" t="s">
        <v>3996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10.734999999999999</v>
      </c>
      <c r="S347" s="18">
        <f t="shared" si="57"/>
        <v>0</v>
      </c>
      <c r="T347" s="19">
        <f t="shared" si="60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6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53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0</v>
      </c>
      <c r="AV347" s="37">
        <f t="shared" si="55"/>
        <v>0</v>
      </c>
      <c r="AW347" s="37"/>
    </row>
    <row r="348" spans="1:49" ht="15.75" hidden="1" customHeight="1" x14ac:dyDescent="0.25">
      <c r="A348" s="6" t="s">
        <v>3993</v>
      </c>
      <c r="B348" s="21" t="s">
        <v>3997</v>
      </c>
      <c r="C348" s="7">
        <v>1</v>
      </c>
      <c r="D348" s="39" t="s">
        <v>3995</v>
      </c>
      <c r="E348" s="7">
        <v>4233</v>
      </c>
      <c r="F348" s="7" t="s">
        <v>3996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10.734999999999999</v>
      </c>
      <c r="S348" s="18">
        <f t="shared" si="57"/>
        <v>0</v>
      </c>
      <c r="T348" s="19">
        <f t="shared" si="60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6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61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0</v>
      </c>
      <c r="AV348" s="37">
        <f t="shared" si="55"/>
        <v>0</v>
      </c>
      <c r="AW348" s="37"/>
    </row>
    <row r="349" spans="1:49" ht="15.75" hidden="1" customHeight="1" x14ac:dyDescent="0.25">
      <c r="A349" s="6" t="s">
        <v>3993</v>
      </c>
      <c r="B349" s="21" t="s">
        <v>3997</v>
      </c>
      <c r="C349" s="7">
        <v>1</v>
      </c>
      <c r="D349" s="39" t="s">
        <v>3995</v>
      </c>
      <c r="E349" s="7">
        <v>4234</v>
      </c>
      <c r="F349" s="7" t="s">
        <v>3996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10.734999999999999</v>
      </c>
      <c r="S349" s="18">
        <f t="shared" si="57"/>
        <v>0</v>
      </c>
      <c r="T349" s="19">
        <f t="shared" si="60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6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61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0</v>
      </c>
      <c r="AV349" s="37">
        <f t="shared" si="55"/>
        <v>0</v>
      </c>
      <c r="AW349" s="37"/>
    </row>
    <row r="350" spans="1:49" ht="15.75" hidden="1" customHeight="1" x14ac:dyDescent="0.25">
      <c r="A350" s="6" t="s">
        <v>3993</v>
      </c>
      <c r="B350" s="21" t="s">
        <v>3998</v>
      </c>
      <c r="C350" s="7">
        <v>1</v>
      </c>
      <c r="D350" s="39" t="s">
        <v>3995</v>
      </c>
      <c r="E350" s="7">
        <v>4235</v>
      </c>
      <c r="F350" s="7" t="s">
        <v>3996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18.809999999999999</v>
      </c>
      <c r="S350" s="18">
        <f t="shared" si="57"/>
        <v>0</v>
      </c>
      <c r="T350" s="19">
        <f t="shared" si="60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6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61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0</v>
      </c>
      <c r="AV350" s="37">
        <f t="shared" si="55"/>
        <v>0</v>
      </c>
      <c r="AW350" s="37"/>
    </row>
    <row r="351" spans="1:49" ht="15.75" hidden="1" customHeight="1" x14ac:dyDescent="0.25">
      <c r="A351" s="6" t="s">
        <v>3993</v>
      </c>
      <c r="B351" s="21" t="s">
        <v>3998</v>
      </c>
      <c r="C351" s="7">
        <v>1</v>
      </c>
      <c r="D351" s="39" t="s">
        <v>3995</v>
      </c>
      <c r="E351" s="7">
        <v>4236</v>
      </c>
      <c r="F351" s="7" t="s">
        <v>3996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18.809999999999999</v>
      </c>
      <c r="S351" s="18">
        <f t="shared" si="57"/>
        <v>0</v>
      </c>
      <c r="T351" s="19">
        <f t="shared" si="60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6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61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0</v>
      </c>
      <c r="AV351" s="37">
        <f t="shared" si="55"/>
        <v>0</v>
      </c>
      <c r="AW351" s="37"/>
    </row>
    <row r="352" spans="1:49" ht="15.75" hidden="1" customHeight="1" x14ac:dyDescent="0.25">
      <c r="A352" s="6" t="s">
        <v>3993</v>
      </c>
      <c r="B352" s="21" t="s">
        <v>3999</v>
      </c>
      <c r="C352" s="7">
        <v>1</v>
      </c>
      <c r="D352" s="39" t="s">
        <v>3995</v>
      </c>
      <c r="E352" s="7">
        <v>4237</v>
      </c>
      <c r="F352" s="7" t="s">
        <v>3996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23.654999999999998</v>
      </c>
      <c r="S352" s="18">
        <f t="shared" si="57"/>
        <v>0</v>
      </c>
      <c r="T352" s="19">
        <f t="shared" si="60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6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61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0</v>
      </c>
      <c r="AV352" s="37">
        <f t="shared" si="55"/>
        <v>0</v>
      </c>
      <c r="AW352" s="37"/>
    </row>
    <row r="353" spans="1:49" ht="15.75" hidden="1" customHeight="1" x14ac:dyDescent="0.25">
      <c r="A353" s="6" t="s">
        <v>3993</v>
      </c>
      <c r="B353" s="21" t="s">
        <v>3999</v>
      </c>
      <c r="C353" s="7">
        <v>1</v>
      </c>
      <c r="D353" s="39" t="s">
        <v>3995</v>
      </c>
      <c r="E353" s="7">
        <v>4238</v>
      </c>
      <c r="F353" s="7" t="s">
        <v>3996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59"/>
        <v>23.654999999999998</v>
      </c>
      <c r="S353" s="18">
        <f t="shared" si="57"/>
        <v>0</v>
      </c>
      <c r="T353" s="19">
        <f t="shared" si="60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6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61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0</v>
      </c>
      <c r="AV353" s="37">
        <f t="shared" si="55"/>
        <v>0</v>
      </c>
      <c r="AW353" s="37"/>
    </row>
    <row r="354" spans="1:49" ht="15.75" hidden="1" customHeight="1" x14ac:dyDescent="0.25">
      <c r="A354" s="6" t="s">
        <v>3993</v>
      </c>
      <c r="B354" s="21" t="s">
        <v>4000</v>
      </c>
      <c r="C354" s="7">
        <v>2</v>
      </c>
      <c r="D354" s="39" t="s">
        <v>3995</v>
      </c>
      <c r="E354" s="7">
        <v>4239</v>
      </c>
      <c r="F354" s="7" t="s">
        <v>3996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70.3</v>
      </c>
      <c r="S354" s="18">
        <f t="shared" si="57"/>
        <v>0</v>
      </c>
      <c r="T354" s="19">
        <f t="shared" si="60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6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61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0</v>
      </c>
      <c r="AV354" s="37">
        <f t="shared" si="55"/>
        <v>0</v>
      </c>
      <c r="AW354" s="37"/>
    </row>
    <row r="355" spans="1:49" ht="15.75" hidden="1" customHeight="1" x14ac:dyDescent="0.25">
      <c r="A355" s="6" t="s">
        <v>3993</v>
      </c>
      <c r="B355" s="21" t="s">
        <v>4000</v>
      </c>
      <c r="C355" s="7">
        <v>2</v>
      </c>
      <c r="D355" s="39" t="s">
        <v>3995</v>
      </c>
      <c r="E355" s="7">
        <v>4240</v>
      </c>
      <c r="F355" s="7" t="s">
        <v>3996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70.3</v>
      </c>
      <c r="S355" s="18">
        <f t="shared" si="57"/>
        <v>0</v>
      </c>
      <c r="T355" s="19">
        <f t="shared" si="60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6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61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0</v>
      </c>
      <c r="AV355" s="37">
        <f t="shared" si="55"/>
        <v>0</v>
      </c>
      <c r="AW355" s="37"/>
    </row>
    <row r="356" spans="1:49" ht="15.75" hidden="1" customHeight="1" x14ac:dyDescent="0.25">
      <c r="A356" s="6" t="s">
        <v>3993</v>
      </c>
      <c r="B356" s="21" t="s">
        <v>4001</v>
      </c>
      <c r="C356" s="7">
        <v>2</v>
      </c>
      <c r="D356" s="39" t="s">
        <v>3995</v>
      </c>
      <c r="E356" s="7">
        <v>4241</v>
      </c>
      <c r="F356" s="7" t="s">
        <v>3996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61.75</v>
      </c>
      <c r="S356" s="18">
        <f t="shared" si="57"/>
        <v>0</v>
      </c>
      <c r="T356" s="19">
        <f t="shared" ref="T356:T419" si="62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63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61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4"/>
        <v>0</v>
      </c>
      <c r="AV356" s="37">
        <f t="shared" si="55"/>
        <v>0</v>
      </c>
      <c r="AW356" s="37"/>
    </row>
    <row r="357" spans="1:49" ht="15.75" hidden="1" customHeight="1" x14ac:dyDescent="0.25">
      <c r="A357" s="6" t="s">
        <v>3993</v>
      </c>
      <c r="B357" s="21" t="s">
        <v>4001</v>
      </c>
      <c r="C357" s="7">
        <v>2</v>
      </c>
      <c r="D357" s="39" t="s">
        <v>3995</v>
      </c>
      <c r="E357" s="7">
        <v>4242</v>
      </c>
      <c r="F357" s="7" t="s">
        <v>3996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59"/>
        <v>61.75</v>
      </c>
      <c r="S357" s="18">
        <f t="shared" si="57"/>
        <v>0</v>
      </c>
      <c r="T357" s="19">
        <f t="shared" si="62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63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61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4">IF(AH357="",0,IF(ISTEXT(AH357),H357*VALUE(SUBSTITUTE(AH357,"%",""))/100,H357*AH357))</f>
        <v>0</v>
      </c>
      <c r="AV357" s="37">
        <f t="shared" ref="AV357:AV420" si="65">IF(AG357="",0,IF(ISTEXT(AG357),H357*VALUE(SUBSTITUTE(AG357,"%",""))/100,H357*AG357))</f>
        <v>0</v>
      </c>
      <c r="AW357" s="37"/>
    </row>
    <row r="358" spans="1:49" ht="15.75" hidden="1" customHeight="1" x14ac:dyDescent="0.25">
      <c r="A358" s="6" t="s">
        <v>3773</v>
      </c>
      <c r="B358" s="21" t="s">
        <v>4002</v>
      </c>
      <c r="C358" s="7">
        <v>1</v>
      </c>
      <c r="D358" s="39" t="s">
        <v>4003</v>
      </c>
      <c r="E358" s="7">
        <v>4243</v>
      </c>
      <c r="F358" s="7" t="s">
        <v>3775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3773</v>
      </c>
      <c r="B359" s="21" t="s">
        <v>4002</v>
      </c>
      <c r="C359" s="7">
        <v>1</v>
      </c>
      <c r="D359" s="39" t="s">
        <v>4003</v>
      </c>
      <c r="E359" s="7">
        <v>4244</v>
      </c>
      <c r="F359" s="7" t="s">
        <v>3775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151.80000000000001</v>
      </c>
      <c r="S359" s="18">
        <f t="shared" si="57"/>
        <v>151.80000000000001</v>
      </c>
      <c r="T359" s="19">
        <f t="shared" si="62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151.80000000000001</v>
      </c>
      <c r="AV359" s="37">
        <f t="shared" si="65"/>
        <v>151.80000000000001</v>
      </c>
      <c r="AW359" s="37"/>
    </row>
    <row r="360" spans="1:49" ht="15.75" hidden="1" customHeight="1" x14ac:dyDescent="0.25">
      <c r="A360" s="6" t="s">
        <v>4004</v>
      </c>
      <c r="B360" s="21" t="s">
        <v>4005</v>
      </c>
      <c r="C360" s="7">
        <v>1</v>
      </c>
      <c r="D360" s="39" t="s">
        <v>4006</v>
      </c>
      <c r="E360" s="7">
        <v>4245</v>
      </c>
      <c r="F360" s="7" t="s">
        <v>4007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0</v>
      </c>
      <c r="T360" s="19">
        <f t="shared" si="62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63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61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4"/>
        <v>0</v>
      </c>
      <c r="AV360" s="37">
        <f t="shared" si="65"/>
        <v>0</v>
      </c>
      <c r="AW360" s="37"/>
    </row>
    <row r="361" spans="1:49" ht="15.75" hidden="1" customHeight="1" x14ac:dyDescent="0.25">
      <c r="A361" s="6" t="s">
        <v>4004</v>
      </c>
      <c r="B361" s="21" t="s">
        <v>4005</v>
      </c>
      <c r="C361" s="7">
        <v>1</v>
      </c>
      <c r="D361" s="39" t="s">
        <v>4006</v>
      </c>
      <c r="E361" s="7">
        <v>4246</v>
      </c>
      <c r="F361" s="7" t="s">
        <v>4007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59"/>
        <v>17.899999999999999</v>
      </c>
      <c r="S361" s="18">
        <f t="shared" si="57"/>
        <v>0</v>
      </c>
      <c r="T361" s="19">
        <f t="shared" si="62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63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61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4"/>
        <v>0</v>
      </c>
      <c r="AV361" s="37">
        <f t="shared" si="65"/>
        <v>0</v>
      </c>
      <c r="AW361" s="37"/>
    </row>
    <row r="362" spans="1:49" ht="15.75" hidden="1" customHeight="1" x14ac:dyDescent="0.25">
      <c r="A362" s="6" t="s">
        <v>4004</v>
      </c>
      <c r="B362" s="21" t="s">
        <v>4008</v>
      </c>
      <c r="C362" s="7">
        <v>2</v>
      </c>
      <c r="D362" s="39" t="s">
        <v>4009</v>
      </c>
      <c r="E362" s="7">
        <v>4247</v>
      </c>
      <c r="F362" s="7" t="s">
        <v>4007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0</v>
      </c>
      <c r="T362" s="19">
        <f t="shared" si="62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63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61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4"/>
        <v>0</v>
      </c>
      <c r="AV362" s="37">
        <f t="shared" si="65"/>
        <v>0</v>
      </c>
      <c r="AW362" s="37"/>
    </row>
    <row r="363" spans="1:49" ht="15.75" hidden="1" customHeight="1" x14ac:dyDescent="0.25">
      <c r="A363" s="6" t="s">
        <v>4004</v>
      </c>
      <c r="B363" s="21" t="s">
        <v>4008</v>
      </c>
      <c r="C363" s="7">
        <v>2</v>
      </c>
      <c r="D363" s="39" t="s">
        <v>4009</v>
      </c>
      <c r="E363" s="7">
        <v>4248</v>
      </c>
      <c r="F363" s="7" t="s">
        <v>4007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59"/>
        <v>7</v>
      </c>
      <c r="S363" s="18">
        <f t="shared" si="57"/>
        <v>0</v>
      </c>
      <c r="T363" s="19">
        <f t="shared" si="62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63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61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4"/>
        <v>0</v>
      </c>
      <c r="AV363" s="37">
        <f t="shared" si="65"/>
        <v>0</v>
      </c>
      <c r="AW363" s="37"/>
    </row>
    <row r="364" spans="1:49" ht="15.75" hidden="1" customHeight="1" x14ac:dyDescent="0.25">
      <c r="A364" s="6" t="s">
        <v>4004</v>
      </c>
      <c r="B364" s="21" t="s">
        <v>4010</v>
      </c>
      <c r="C364" s="7">
        <v>1</v>
      </c>
      <c r="D364" s="39" t="s">
        <v>2557</v>
      </c>
      <c r="E364" s="7">
        <v>4249</v>
      </c>
      <c r="F364" s="7" t="s">
        <v>4007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0</v>
      </c>
      <c r="T364" s="19">
        <f t="shared" si="62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63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61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4"/>
        <v>0</v>
      </c>
      <c r="AV364" s="37">
        <f t="shared" si="65"/>
        <v>0</v>
      </c>
      <c r="AW364" s="37"/>
    </row>
    <row r="365" spans="1:49" ht="15.75" hidden="1" customHeight="1" x14ac:dyDescent="0.25">
      <c r="A365" s="6" t="s">
        <v>4004</v>
      </c>
      <c r="B365" s="21" t="s">
        <v>4010</v>
      </c>
      <c r="C365" s="7">
        <v>1</v>
      </c>
      <c r="D365" s="39" t="s">
        <v>2557</v>
      </c>
      <c r="E365" s="7">
        <v>4250</v>
      </c>
      <c r="F365" s="7" t="s">
        <v>4007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8.4</v>
      </c>
      <c r="S365" s="18">
        <f t="shared" si="57"/>
        <v>0</v>
      </c>
      <c r="T365" s="19">
        <f t="shared" si="62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63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61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</v>
      </c>
      <c r="AV365" s="37">
        <f t="shared" si="65"/>
        <v>0</v>
      </c>
      <c r="AW365" s="37"/>
    </row>
    <row r="366" spans="1:49" ht="15.75" hidden="1" customHeight="1" x14ac:dyDescent="0.25">
      <c r="A366" s="6" t="s">
        <v>4004</v>
      </c>
      <c r="B366" s="21" t="s">
        <v>4011</v>
      </c>
      <c r="C366" s="7">
        <v>1</v>
      </c>
      <c r="D366" s="39" t="s">
        <v>4012</v>
      </c>
      <c r="E366" s="7">
        <v>4251</v>
      </c>
      <c r="F366" s="7" t="s">
        <v>4007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</v>
      </c>
      <c r="T366" s="19">
        <f t="shared" si="62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63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61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</v>
      </c>
      <c r="AV366" s="37">
        <f t="shared" si="65"/>
        <v>0</v>
      </c>
      <c r="AW366" s="37"/>
    </row>
    <row r="367" spans="1:49" ht="15.75" hidden="1" customHeight="1" x14ac:dyDescent="0.25">
      <c r="A367" s="6" t="s">
        <v>4004</v>
      </c>
      <c r="B367" s="21" t="s">
        <v>4011</v>
      </c>
      <c r="C367" s="7">
        <v>1</v>
      </c>
      <c r="D367" s="39" t="s">
        <v>4012</v>
      </c>
      <c r="E367" s="7">
        <v>4252</v>
      </c>
      <c r="F367" s="7" t="s">
        <v>4007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59"/>
        <v>0.5</v>
      </c>
      <c r="S367" s="18">
        <f t="shared" si="57"/>
        <v>0</v>
      </c>
      <c r="T367" s="19">
        <f t="shared" si="62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63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61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4"/>
        <v>0</v>
      </c>
      <c r="AV367" s="37">
        <f t="shared" si="65"/>
        <v>0</v>
      </c>
      <c r="AW367" s="37"/>
    </row>
    <row r="368" spans="1:49" ht="15.75" hidden="1" customHeight="1" x14ac:dyDescent="0.25">
      <c r="A368" s="6" t="s">
        <v>4004</v>
      </c>
      <c r="B368" s="21" t="s">
        <v>4013</v>
      </c>
      <c r="C368" s="7">
        <v>2</v>
      </c>
      <c r="D368" s="39" t="s">
        <v>4014</v>
      </c>
      <c r="E368" s="7">
        <v>4253</v>
      </c>
      <c r="F368" s="7" t="s">
        <v>4007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0</v>
      </c>
      <c r="T368" s="19">
        <f t="shared" si="62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63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61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4"/>
        <v>0</v>
      </c>
      <c r="AV368" s="37">
        <f t="shared" si="65"/>
        <v>0</v>
      </c>
      <c r="AW368" s="37"/>
    </row>
    <row r="369" spans="1:49" ht="15.75" hidden="1" customHeight="1" x14ac:dyDescent="0.25">
      <c r="A369" s="6" t="s">
        <v>4004</v>
      </c>
      <c r="B369" s="21" t="s">
        <v>4013</v>
      </c>
      <c r="C369" s="7">
        <v>2</v>
      </c>
      <c r="D369" s="39" t="s">
        <v>4014</v>
      </c>
      <c r="E369" s="7">
        <v>4254</v>
      </c>
      <c r="F369" s="7" t="s">
        <v>4007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59"/>
        <v>6</v>
      </c>
      <c r="S369" s="18">
        <f t="shared" si="57"/>
        <v>0</v>
      </c>
      <c r="T369" s="19">
        <f t="shared" si="62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63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61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</v>
      </c>
      <c r="AV369" s="37">
        <f t="shared" si="65"/>
        <v>0</v>
      </c>
      <c r="AW369" s="37"/>
    </row>
    <row r="370" spans="1:49" ht="15.75" hidden="1" customHeight="1" x14ac:dyDescent="0.25">
      <c r="A370" s="6" t="s">
        <v>4015</v>
      </c>
      <c r="B370" s="21" t="s">
        <v>4016</v>
      </c>
      <c r="C370" s="7">
        <v>1</v>
      </c>
      <c r="D370" s="39" t="s">
        <v>4017</v>
      </c>
      <c r="E370" s="7">
        <v>4255</v>
      </c>
      <c r="F370" s="7" t="s">
        <v>4018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</v>
      </c>
      <c r="T370" s="19">
        <f t="shared" si="62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63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61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</v>
      </c>
      <c r="AV370" s="37">
        <f t="shared" si="65"/>
        <v>0</v>
      </c>
      <c r="AW370" s="37"/>
    </row>
    <row r="371" spans="1:49" ht="15.75" hidden="1" customHeight="1" x14ac:dyDescent="0.25">
      <c r="A371" s="6" t="s">
        <v>4015</v>
      </c>
      <c r="B371" s="21" t="s">
        <v>4016</v>
      </c>
      <c r="C371" s="7">
        <v>1</v>
      </c>
      <c r="D371" s="39" t="s">
        <v>4017</v>
      </c>
      <c r="E371" s="7">
        <v>4256</v>
      </c>
      <c r="F371" s="7" t="s">
        <v>4018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</v>
      </c>
      <c r="T371" s="19">
        <f t="shared" si="62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63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61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</v>
      </c>
      <c r="AV371" s="37">
        <f t="shared" si="65"/>
        <v>0</v>
      </c>
      <c r="AW371" s="37"/>
    </row>
    <row r="372" spans="1:49" ht="15.75" hidden="1" customHeight="1" x14ac:dyDescent="0.25">
      <c r="A372" s="6" t="s">
        <v>4015</v>
      </c>
      <c r="B372" s="21" t="s">
        <v>4019</v>
      </c>
      <c r="C372" s="7">
        <v>1</v>
      </c>
      <c r="D372" s="39" t="s">
        <v>4020</v>
      </c>
      <c r="E372" s="7">
        <v>4257</v>
      </c>
      <c r="F372" s="7" t="s">
        <v>4018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</v>
      </c>
      <c r="T372" s="19">
        <f t="shared" si="62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63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61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</v>
      </c>
      <c r="AV372" s="37">
        <f t="shared" si="65"/>
        <v>0</v>
      </c>
      <c r="AW372" s="37"/>
    </row>
    <row r="373" spans="1:49" ht="15.75" hidden="1" customHeight="1" x14ac:dyDescent="0.25">
      <c r="A373" s="6" t="s">
        <v>4015</v>
      </c>
      <c r="B373" s="21" t="s">
        <v>4019</v>
      </c>
      <c r="C373" s="7">
        <v>1</v>
      </c>
      <c r="D373" s="39" t="s">
        <v>4020</v>
      </c>
      <c r="E373" s="7">
        <v>4258</v>
      </c>
      <c r="F373" s="7" t="s">
        <v>4018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0.4</v>
      </c>
      <c r="S373" s="18">
        <f t="shared" si="57"/>
        <v>0</v>
      </c>
      <c r="T373" s="19">
        <f t="shared" si="62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63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61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</v>
      </c>
      <c r="AV373" s="37">
        <f t="shared" si="65"/>
        <v>0</v>
      </c>
      <c r="AW373" s="37"/>
    </row>
    <row r="374" spans="1:49" ht="15.75" hidden="1" customHeight="1" x14ac:dyDescent="0.25">
      <c r="A374" s="6" t="s">
        <v>4015</v>
      </c>
      <c r="B374" s="21" t="s">
        <v>4021</v>
      </c>
      <c r="C374" s="7">
        <v>1</v>
      </c>
      <c r="D374" s="39" t="s">
        <v>4022</v>
      </c>
      <c r="E374" s="7">
        <v>4259</v>
      </c>
      <c r="F374" s="7" t="s">
        <v>4018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ref="S374:S437" si="66">IFERROR(H374*AG374,"")</f>
        <v>0</v>
      </c>
      <c r="T374" s="19">
        <f t="shared" si="62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63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61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</v>
      </c>
      <c r="AV374" s="37">
        <f t="shared" si="65"/>
        <v>0</v>
      </c>
      <c r="AW374" s="37"/>
    </row>
    <row r="375" spans="1:49" ht="15.75" hidden="1" customHeight="1" x14ac:dyDescent="0.25">
      <c r="A375" s="6" t="s">
        <v>4015</v>
      </c>
      <c r="B375" s="21" t="s">
        <v>4021</v>
      </c>
      <c r="C375" s="7">
        <v>1</v>
      </c>
      <c r="D375" s="39" t="s">
        <v>4022</v>
      </c>
      <c r="E375" s="7">
        <v>4260</v>
      </c>
      <c r="F375" s="7" t="s">
        <v>4018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59"/>
        <v>0.2</v>
      </c>
      <c r="S375" s="18">
        <f t="shared" si="66"/>
        <v>0</v>
      </c>
      <c r="T375" s="19">
        <f t="shared" si="62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63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61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4"/>
        <v>0</v>
      </c>
      <c r="AV375" s="37">
        <f t="shared" si="65"/>
        <v>0</v>
      </c>
      <c r="AW375" s="37"/>
    </row>
    <row r="376" spans="1:49" ht="15.75" hidden="1" customHeight="1" x14ac:dyDescent="0.25">
      <c r="A376" s="6" t="s">
        <v>4015</v>
      </c>
      <c r="B376" s="21" t="s">
        <v>4023</v>
      </c>
      <c r="C376" s="7">
        <v>2</v>
      </c>
      <c r="D376" s="39" t="s">
        <v>4024</v>
      </c>
      <c r="E376" s="7">
        <v>4261</v>
      </c>
      <c r="F376" s="7" t="s">
        <v>4018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0</v>
      </c>
      <c r="T376" s="19">
        <f t="shared" si="62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63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61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4"/>
        <v>0</v>
      </c>
      <c r="AV376" s="37">
        <f t="shared" si="65"/>
        <v>0</v>
      </c>
      <c r="AW376" s="37"/>
    </row>
    <row r="377" spans="1:49" ht="15.75" hidden="1" customHeight="1" x14ac:dyDescent="0.25">
      <c r="A377" s="6" t="s">
        <v>4015</v>
      </c>
      <c r="B377" s="21" t="s">
        <v>4023</v>
      </c>
      <c r="C377" s="7">
        <v>2</v>
      </c>
      <c r="D377" s="39" t="s">
        <v>4024</v>
      </c>
      <c r="E377" s="7">
        <v>4262</v>
      </c>
      <c r="F377" s="7" t="s">
        <v>4018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59"/>
        <v>7.8</v>
      </c>
      <c r="S377" s="18">
        <f t="shared" si="66"/>
        <v>0</v>
      </c>
      <c r="T377" s="19">
        <f t="shared" si="62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63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61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4"/>
        <v>0</v>
      </c>
      <c r="AV377" s="37">
        <f t="shared" si="65"/>
        <v>0</v>
      </c>
      <c r="AW377" s="37"/>
    </row>
    <row r="378" spans="1:49" ht="15.75" hidden="1" customHeight="1" x14ac:dyDescent="0.25">
      <c r="A378" s="6" t="s">
        <v>4015</v>
      </c>
      <c r="B378" s="21" t="s">
        <v>4025</v>
      </c>
      <c r="C378" s="7">
        <v>4</v>
      </c>
      <c r="D378" s="39" t="s">
        <v>4026</v>
      </c>
      <c r="E378" s="7">
        <v>4263</v>
      </c>
      <c r="F378" s="7" t="s">
        <v>4018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0</v>
      </c>
      <c r="T378" s="19">
        <f t="shared" si="62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63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61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4"/>
        <v>0</v>
      </c>
      <c r="AV378" s="37">
        <f t="shared" si="65"/>
        <v>0</v>
      </c>
      <c r="AW378" s="37"/>
    </row>
    <row r="379" spans="1:49" ht="15.75" hidden="1" customHeight="1" x14ac:dyDescent="0.25">
      <c r="A379" s="6" t="s">
        <v>4015</v>
      </c>
      <c r="B379" s="21" t="s">
        <v>4025</v>
      </c>
      <c r="C379" s="7">
        <v>4</v>
      </c>
      <c r="D379" s="39" t="s">
        <v>4026</v>
      </c>
      <c r="E379" s="7">
        <v>4264</v>
      </c>
      <c r="F379" s="7" t="s">
        <v>4018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59"/>
        <v>9.1999999999999993</v>
      </c>
      <c r="S379" s="18">
        <f t="shared" si="66"/>
        <v>0</v>
      </c>
      <c r="T379" s="19">
        <f t="shared" si="62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63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61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4"/>
        <v>0</v>
      </c>
      <c r="AV379" s="37">
        <f t="shared" si="65"/>
        <v>0</v>
      </c>
      <c r="AW379" s="37"/>
    </row>
    <row r="380" spans="1:49" ht="15.75" hidden="1" customHeight="1" x14ac:dyDescent="0.25">
      <c r="A380" s="6" t="s">
        <v>4015</v>
      </c>
      <c r="B380" s="21" t="s">
        <v>4027</v>
      </c>
      <c r="C380" s="7">
        <v>1</v>
      </c>
      <c r="D380" s="39" t="s">
        <v>4028</v>
      </c>
      <c r="E380" s="7">
        <v>4265</v>
      </c>
      <c r="F380" s="7" t="s">
        <v>4018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0</v>
      </c>
      <c r="T380" s="19">
        <f t="shared" si="62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63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61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4"/>
        <v>0</v>
      </c>
      <c r="AV380" s="37">
        <f t="shared" si="65"/>
        <v>0</v>
      </c>
      <c r="AW380" s="37"/>
    </row>
    <row r="381" spans="1:49" ht="15.75" hidden="1" customHeight="1" x14ac:dyDescent="0.25">
      <c r="A381" s="6" t="s">
        <v>4015</v>
      </c>
      <c r="B381" s="21" t="s">
        <v>4027</v>
      </c>
      <c r="C381" s="7">
        <v>1</v>
      </c>
      <c r="D381" s="39" t="s">
        <v>4028</v>
      </c>
      <c r="E381" s="7">
        <v>4266</v>
      </c>
      <c r="F381" s="7" t="s">
        <v>4018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4.3</v>
      </c>
      <c r="S381" s="18">
        <f t="shared" si="66"/>
        <v>0</v>
      </c>
      <c r="T381" s="19">
        <f t="shared" si="62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63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61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4"/>
        <v>0</v>
      </c>
      <c r="AV381" s="37">
        <f t="shared" si="65"/>
        <v>0</v>
      </c>
      <c r="AW381" s="37"/>
    </row>
    <row r="382" spans="1:49" ht="15.75" hidden="1" customHeight="1" x14ac:dyDescent="0.25">
      <c r="A382" s="6" t="s">
        <v>4015</v>
      </c>
      <c r="B382" s="21" t="s">
        <v>4029</v>
      </c>
      <c r="C382" s="7">
        <v>1</v>
      </c>
      <c r="D382" s="39" t="s">
        <v>4028</v>
      </c>
      <c r="E382" s="7">
        <v>4267</v>
      </c>
      <c r="F382" s="7" t="s">
        <v>4018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0</v>
      </c>
      <c r="T382" s="19">
        <f t="shared" si="62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63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61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4"/>
        <v>0</v>
      </c>
      <c r="AV382" s="37">
        <f t="shared" si="65"/>
        <v>0</v>
      </c>
      <c r="AW382" s="37"/>
    </row>
    <row r="383" spans="1:49" ht="15.75" hidden="1" customHeight="1" x14ac:dyDescent="0.25">
      <c r="A383" s="6" t="s">
        <v>4015</v>
      </c>
      <c r="B383" s="21" t="s">
        <v>4029</v>
      </c>
      <c r="C383" s="7">
        <v>1</v>
      </c>
      <c r="D383" s="39" t="s">
        <v>4028</v>
      </c>
      <c r="E383" s="7">
        <v>4268</v>
      </c>
      <c r="F383" s="7" t="s">
        <v>4018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4</v>
      </c>
      <c r="S383" s="18">
        <f t="shared" si="66"/>
        <v>0</v>
      </c>
      <c r="T383" s="19">
        <f t="shared" si="62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63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61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4"/>
        <v>0</v>
      </c>
      <c r="AV383" s="37">
        <f t="shared" si="65"/>
        <v>0</v>
      </c>
      <c r="AW383" s="37"/>
    </row>
    <row r="384" spans="1:49" ht="15.75" hidden="1" customHeight="1" x14ac:dyDescent="0.25">
      <c r="A384" s="6" t="s">
        <v>4030</v>
      </c>
      <c r="B384" s="21" t="s">
        <v>4031</v>
      </c>
      <c r="C384" s="7">
        <v>1</v>
      </c>
      <c r="D384" s="39" t="s">
        <v>4032</v>
      </c>
      <c r="E384" s="7">
        <v>4269</v>
      </c>
      <c r="F384" s="7" t="s">
        <v>3996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11.21</v>
      </c>
      <c r="S384" s="18">
        <f t="shared" si="66"/>
        <v>0</v>
      </c>
      <c r="T384" s="19">
        <f t="shared" si="62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63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61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0</v>
      </c>
      <c r="AV384" s="37">
        <f t="shared" si="65"/>
        <v>0</v>
      </c>
      <c r="AW384" s="37"/>
    </row>
    <row r="385" spans="1:49" ht="15.75" hidden="1" customHeight="1" x14ac:dyDescent="0.25">
      <c r="A385" s="6" t="s">
        <v>4030</v>
      </c>
      <c r="B385" s="21" t="s">
        <v>4031</v>
      </c>
      <c r="C385" s="7">
        <v>1</v>
      </c>
      <c r="D385" s="39" t="s">
        <v>4032</v>
      </c>
      <c r="E385" s="7">
        <v>4270</v>
      </c>
      <c r="F385" s="7" t="s">
        <v>3996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11.21</v>
      </c>
      <c r="S385" s="18">
        <f t="shared" si="66"/>
        <v>0</v>
      </c>
      <c r="T385" s="19">
        <f t="shared" si="62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63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61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0</v>
      </c>
      <c r="AV385" s="37">
        <f t="shared" si="65"/>
        <v>0</v>
      </c>
      <c r="AW385" s="37"/>
    </row>
    <row r="386" spans="1:49" ht="15.75" hidden="1" customHeight="1" x14ac:dyDescent="0.25">
      <c r="A386" s="6" t="s">
        <v>4030</v>
      </c>
      <c r="B386" s="21" t="s">
        <v>4033</v>
      </c>
      <c r="C386" s="7">
        <v>1</v>
      </c>
      <c r="D386" s="39" t="s">
        <v>4032</v>
      </c>
      <c r="E386" s="7">
        <v>4271</v>
      </c>
      <c r="F386" s="7" t="s">
        <v>3996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10.639999999999999</v>
      </c>
      <c r="S386" s="18">
        <f t="shared" si="66"/>
        <v>0</v>
      </c>
      <c r="T386" s="19">
        <f t="shared" si="62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63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61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0</v>
      </c>
      <c r="AV386" s="37">
        <f t="shared" si="65"/>
        <v>0</v>
      </c>
      <c r="AW386" s="37"/>
    </row>
    <row r="387" spans="1:49" ht="15.75" hidden="1" customHeight="1" x14ac:dyDescent="0.25">
      <c r="A387" s="6" t="s">
        <v>4030</v>
      </c>
      <c r="B387" s="21" t="s">
        <v>4033</v>
      </c>
      <c r="C387" s="7">
        <v>1</v>
      </c>
      <c r="D387" s="39" t="s">
        <v>4032</v>
      </c>
      <c r="E387" s="7">
        <v>4272</v>
      </c>
      <c r="F387" s="7" t="s">
        <v>3996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59"/>
        <v>10.639999999999999</v>
      </c>
      <c r="S387" s="18">
        <f t="shared" si="66"/>
        <v>0</v>
      </c>
      <c r="T387" s="19">
        <f t="shared" si="62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63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61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0</v>
      </c>
      <c r="AV387" s="37">
        <f t="shared" si="65"/>
        <v>0</v>
      </c>
      <c r="AW387" s="37"/>
    </row>
    <row r="388" spans="1:49" ht="15.75" hidden="1" customHeight="1" x14ac:dyDescent="0.25">
      <c r="A388" s="6" t="s">
        <v>4030</v>
      </c>
      <c r="B388" s="21" t="s">
        <v>4034</v>
      </c>
      <c r="C388" s="7">
        <v>2</v>
      </c>
      <c r="D388" s="39" t="s">
        <v>4032</v>
      </c>
      <c r="E388" s="7">
        <v>4273</v>
      </c>
      <c r="F388" s="7" t="s">
        <v>3996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30.21</v>
      </c>
      <c r="S388" s="18">
        <f t="shared" si="66"/>
        <v>0</v>
      </c>
      <c r="T388" s="19">
        <f t="shared" si="62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63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61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8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0</v>
      </c>
      <c r="AV388" s="37">
        <f t="shared" si="65"/>
        <v>0</v>
      </c>
      <c r="AW388" s="37"/>
    </row>
    <row r="389" spans="1:49" ht="15.75" hidden="1" customHeight="1" x14ac:dyDescent="0.25">
      <c r="A389" s="6" t="s">
        <v>4030</v>
      </c>
      <c r="B389" s="21" t="s">
        <v>4034</v>
      </c>
      <c r="C389" s="7">
        <v>2</v>
      </c>
      <c r="D389" s="39" t="s">
        <v>4032</v>
      </c>
      <c r="E389" s="7">
        <v>4274</v>
      </c>
      <c r="F389" s="7" t="s">
        <v>3996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59"/>
        <v>30.21</v>
      </c>
      <c r="S389" s="18">
        <f t="shared" si="66"/>
        <v>0</v>
      </c>
      <c r="T389" s="19">
        <f t="shared" si="62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63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61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7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0</v>
      </c>
      <c r="AV389" s="37">
        <f t="shared" si="65"/>
        <v>0</v>
      </c>
      <c r="AW389" s="37"/>
    </row>
    <row r="390" spans="1:49" ht="15.75" hidden="1" customHeight="1" x14ac:dyDescent="0.25">
      <c r="A390" s="6" t="s">
        <v>4030</v>
      </c>
      <c r="B390" s="21" t="s">
        <v>4035</v>
      </c>
      <c r="C390" s="7">
        <v>3</v>
      </c>
      <c r="D390" s="39" t="s">
        <v>3781</v>
      </c>
      <c r="E390" s="7">
        <v>4275</v>
      </c>
      <c r="F390" s="7" t="s">
        <v>3996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0</v>
      </c>
      <c r="T390" s="19">
        <f t="shared" si="62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63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61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4"/>
        <v>0</v>
      </c>
      <c r="AV390" s="37">
        <f t="shared" si="65"/>
        <v>0</v>
      </c>
      <c r="AW390" s="37"/>
    </row>
    <row r="391" spans="1:49" ht="15.75" hidden="1" customHeight="1" x14ac:dyDescent="0.25">
      <c r="A391" s="6" t="s">
        <v>4030</v>
      </c>
      <c r="B391" s="21" t="s">
        <v>4035</v>
      </c>
      <c r="C391" s="7">
        <v>3</v>
      </c>
      <c r="D391" s="39" t="s">
        <v>3781</v>
      </c>
      <c r="E391" s="7">
        <v>4276</v>
      </c>
      <c r="F391" s="7" t="s">
        <v>3996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59"/>
        <v>58.199999999999996</v>
      </c>
      <c r="S391" s="18">
        <f t="shared" si="66"/>
        <v>0</v>
      </c>
      <c r="T391" s="19">
        <f t="shared" si="62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63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61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4"/>
        <v>0</v>
      </c>
      <c r="AV391" s="37">
        <f t="shared" si="65"/>
        <v>0</v>
      </c>
      <c r="AW391" s="37"/>
    </row>
    <row r="392" spans="1:49" ht="15.75" hidden="1" customHeight="1" x14ac:dyDescent="0.25">
      <c r="A392" s="6" t="s">
        <v>4030</v>
      </c>
      <c r="B392" s="21" t="s">
        <v>4036</v>
      </c>
      <c r="C392" s="7">
        <v>1</v>
      </c>
      <c r="D392" s="39" t="s">
        <v>3781</v>
      </c>
      <c r="E392" s="7">
        <v>4277</v>
      </c>
      <c r="F392" s="7" t="s">
        <v>3996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0</v>
      </c>
      <c r="T392" s="19">
        <f t="shared" si="62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63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61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4"/>
        <v>0</v>
      </c>
      <c r="AV392" s="37">
        <f t="shared" si="65"/>
        <v>0</v>
      </c>
      <c r="AW392" s="37"/>
    </row>
    <row r="393" spans="1:49" ht="15.75" hidden="1" customHeight="1" x14ac:dyDescent="0.25">
      <c r="A393" s="6" t="s">
        <v>4030</v>
      </c>
      <c r="B393" s="21" t="s">
        <v>4036</v>
      </c>
      <c r="C393" s="7">
        <v>1</v>
      </c>
      <c r="D393" s="39" t="s">
        <v>3781</v>
      </c>
      <c r="E393" s="7">
        <v>4278</v>
      </c>
      <c r="F393" s="7" t="s">
        <v>3996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59"/>
        <v>19.399999999999999</v>
      </c>
      <c r="S393" s="18">
        <f t="shared" si="66"/>
        <v>0</v>
      </c>
      <c r="T393" s="19">
        <f t="shared" si="62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63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61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4"/>
        <v>0</v>
      </c>
      <c r="AV393" s="37">
        <f t="shared" si="65"/>
        <v>0</v>
      </c>
      <c r="AW393" s="37"/>
    </row>
    <row r="394" spans="1:49" ht="15.75" hidden="1" customHeight="1" x14ac:dyDescent="0.25">
      <c r="A394" s="6" t="s">
        <v>4030</v>
      </c>
      <c r="B394" s="21" t="s">
        <v>4037</v>
      </c>
      <c r="C394" s="7">
        <v>18</v>
      </c>
      <c r="D394" s="39" t="s">
        <v>3415</v>
      </c>
      <c r="E394" s="7">
        <v>4279</v>
      </c>
      <c r="F394" s="7" t="s">
        <v>3996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0</v>
      </c>
      <c r="T394" s="19">
        <f t="shared" si="62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63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61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4"/>
        <v>0</v>
      </c>
      <c r="AV394" s="37">
        <f t="shared" si="65"/>
        <v>0</v>
      </c>
      <c r="AW394" s="37"/>
    </row>
    <row r="395" spans="1:49" ht="15.75" hidden="1" customHeight="1" x14ac:dyDescent="0.25">
      <c r="A395" s="6" t="s">
        <v>4030</v>
      </c>
      <c r="B395" s="21" t="s">
        <v>4037</v>
      </c>
      <c r="C395" s="7">
        <v>18</v>
      </c>
      <c r="D395" s="39" t="s">
        <v>3415</v>
      </c>
      <c r="E395" s="7">
        <v>4280</v>
      </c>
      <c r="F395" s="7" t="s">
        <v>3996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59"/>
        <v>2.6999999999999997</v>
      </c>
      <c r="S395" s="18">
        <f t="shared" si="66"/>
        <v>0</v>
      </c>
      <c r="T395" s="19">
        <f t="shared" si="62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63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61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4"/>
        <v>0</v>
      </c>
      <c r="AV395" s="37">
        <f t="shared" si="65"/>
        <v>0</v>
      </c>
      <c r="AW395" s="37"/>
    </row>
    <row r="396" spans="1:49" ht="15.75" hidden="1" customHeight="1" x14ac:dyDescent="0.25">
      <c r="A396" s="6" t="s">
        <v>4038</v>
      </c>
      <c r="B396" s="21" t="s">
        <v>4039</v>
      </c>
      <c r="C396" s="7">
        <v>1</v>
      </c>
      <c r="D396" s="39" t="s">
        <v>4040</v>
      </c>
      <c r="E396" s="7">
        <v>4281</v>
      </c>
      <c r="F396" s="7" t="s">
        <v>4007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252.60499999999996</v>
      </c>
      <c r="S396" s="18">
        <f t="shared" si="66"/>
        <v>0</v>
      </c>
      <c r="T396" s="19">
        <f t="shared" si="62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63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61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0</v>
      </c>
      <c r="AV396" s="37">
        <f t="shared" si="65"/>
        <v>0</v>
      </c>
      <c r="AW396" s="37"/>
    </row>
    <row r="397" spans="1:49" ht="15.75" hidden="1" customHeight="1" x14ac:dyDescent="0.25">
      <c r="A397" s="6" t="s">
        <v>4038</v>
      </c>
      <c r="B397" s="21" t="s">
        <v>4039</v>
      </c>
      <c r="C397" s="7">
        <v>1</v>
      </c>
      <c r="D397" s="39" t="s">
        <v>4040</v>
      </c>
      <c r="E397" s="7">
        <v>4282</v>
      </c>
      <c r="F397" s="7" t="s">
        <v>4007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252.60499999999996</v>
      </c>
      <c r="S397" s="18">
        <f t="shared" si="66"/>
        <v>0</v>
      </c>
      <c r="T397" s="19">
        <f t="shared" si="62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63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61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0</v>
      </c>
      <c r="AV397" s="37">
        <f t="shared" si="65"/>
        <v>0</v>
      </c>
      <c r="AW397" s="37"/>
    </row>
    <row r="398" spans="1:49" ht="15.75" hidden="1" customHeight="1" x14ac:dyDescent="0.25">
      <c r="A398" s="6" t="s">
        <v>4041</v>
      </c>
      <c r="B398" s="21" t="s">
        <v>4042</v>
      </c>
      <c r="C398" s="7">
        <v>1</v>
      </c>
      <c r="D398" s="39" t="s">
        <v>4043</v>
      </c>
      <c r="E398" s="7">
        <v>4283</v>
      </c>
      <c r="F398" s="7" t="s">
        <v>4007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0</v>
      </c>
      <c r="T398" s="19">
        <f t="shared" si="62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63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61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4"/>
        <v>0</v>
      </c>
      <c r="AV398" s="37">
        <f t="shared" si="65"/>
        <v>0</v>
      </c>
      <c r="AW398" s="37"/>
    </row>
    <row r="399" spans="1:49" ht="15.75" hidden="1" customHeight="1" x14ac:dyDescent="0.25">
      <c r="A399" s="6" t="s">
        <v>4041</v>
      </c>
      <c r="B399" s="21" t="s">
        <v>4042</v>
      </c>
      <c r="C399" s="7">
        <v>1</v>
      </c>
      <c r="D399" s="39" t="s">
        <v>4043</v>
      </c>
      <c r="E399" s="7">
        <v>4284</v>
      </c>
      <c r="F399" s="7" t="s">
        <v>4007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15.8</v>
      </c>
      <c r="S399" s="18">
        <f t="shared" si="66"/>
        <v>0</v>
      </c>
      <c r="T399" s="19">
        <f t="shared" si="62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63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61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4"/>
        <v>0</v>
      </c>
      <c r="AV399" s="37">
        <f t="shared" si="65"/>
        <v>0</v>
      </c>
      <c r="AW399" s="37"/>
    </row>
    <row r="400" spans="1:49" ht="15.75" hidden="1" customHeight="1" x14ac:dyDescent="0.25">
      <c r="A400" s="6" t="s">
        <v>3773</v>
      </c>
      <c r="B400" s="21" t="s">
        <v>4002</v>
      </c>
      <c r="C400" s="7">
        <v>1</v>
      </c>
      <c r="D400" s="39" t="s">
        <v>4044</v>
      </c>
      <c r="E400" s="7">
        <v>4285</v>
      </c>
      <c r="F400" s="7" t="s">
        <v>3775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3773</v>
      </c>
      <c r="B401" s="21" t="s">
        <v>4002</v>
      </c>
      <c r="C401" s="7">
        <v>1</v>
      </c>
      <c r="D401" s="39" t="s">
        <v>4044</v>
      </c>
      <c r="E401" s="7">
        <v>4286</v>
      </c>
      <c r="F401" s="7" t="s">
        <v>3775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49.5</v>
      </c>
      <c r="S401" s="18">
        <f t="shared" si="66"/>
        <v>49.5</v>
      </c>
      <c r="T401" s="19">
        <f t="shared" si="62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49.5</v>
      </c>
      <c r="AV401" s="37">
        <f t="shared" si="65"/>
        <v>49.5</v>
      </c>
      <c r="AW401" s="37"/>
    </row>
    <row r="402" spans="1:49" ht="15.75" hidden="1" customHeight="1" x14ac:dyDescent="0.25">
      <c r="A402" s="6" t="s">
        <v>3904</v>
      </c>
      <c r="B402" s="21" t="s">
        <v>3905</v>
      </c>
      <c r="C402" s="7">
        <v>1</v>
      </c>
      <c r="D402" s="39" t="s">
        <v>3906</v>
      </c>
      <c r="E402" s="7">
        <v>4287</v>
      </c>
      <c r="F402" s="7" t="s">
        <v>3903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3904</v>
      </c>
      <c r="B403" s="21" t="s">
        <v>3905</v>
      </c>
      <c r="C403" s="7">
        <v>1</v>
      </c>
      <c r="D403" s="39" t="s">
        <v>3906</v>
      </c>
      <c r="E403" s="7">
        <v>4288</v>
      </c>
      <c r="F403" s="7" t="s">
        <v>3903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59"/>
        <v>282</v>
      </c>
      <c r="S403" s="18">
        <f t="shared" si="66"/>
        <v>282</v>
      </c>
      <c r="T403" s="19">
        <f t="shared" si="62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63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1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4"/>
        <v>282</v>
      </c>
      <c r="AV403" s="37">
        <f t="shared" si="65"/>
        <v>282</v>
      </c>
      <c r="AW403" s="37"/>
    </row>
    <row r="404" spans="1:49" ht="15.75" hidden="1" customHeight="1" x14ac:dyDescent="0.25">
      <c r="A404" s="6" t="s">
        <v>3812</v>
      </c>
      <c r="B404" s="21" t="s">
        <v>4045</v>
      </c>
      <c r="C404" s="7">
        <v>4</v>
      </c>
      <c r="D404" s="39" t="s">
        <v>4046</v>
      </c>
      <c r="E404" s="7">
        <v>4289</v>
      </c>
      <c r="F404" s="7" t="s">
        <v>3789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3790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140.13470000000001</v>
      </c>
      <c r="S404" s="18">
        <f t="shared" si="66"/>
        <v>0</v>
      </c>
      <c r="T404" s="19">
        <f t="shared" si="62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4"/>
        <v>0</v>
      </c>
      <c r="AV404" s="37">
        <f t="shared" si="65"/>
        <v>0</v>
      </c>
      <c r="AW404" s="37"/>
    </row>
    <row r="405" spans="1:49" ht="15.75" hidden="1" customHeight="1" x14ac:dyDescent="0.25">
      <c r="A405" s="6" t="s">
        <v>3828</v>
      </c>
      <c r="B405" s="21" t="s">
        <v>4047</v>
      </c>
      <c r="C405" s="7">
        <v>4</v>
      </c>
      <c r="D405" s="39" t="s">
        <v>4048</v>
      </c>
      <c r="E405" s="7">
        <v>4290</v>
      </c>
      <c r="F405" s="7" t="s">
        <v>3789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3790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59"/>
        <v>140.5</v>
      </c>
      <c r="S405" s="18">
        <f t="shared" si="66"/>
        <v>0</v>
      </c>
      <c r="T405" s="19">
        <f t="shared" si="62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63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61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0</v>
      </c>
      <c r="AV405" s="37">
        <f t="shared" si="65"/>
        <v>0</v>
      </c>
      <c r="AW405" s="37"/>
    </row>
    <row r="406" spans="1:49" ht="15.75" hidden="1" customHeight="1" x14ac:dyDescent="0.25">
      <c r="A406" s="6" t="s">
        <v>4049</v>
      </c>
      <c r="B406" s="21" t="s">
        <v>4050</v>
      </c>
      <c r="C406" s="7">
        <v>1</v>
      </c>
      <c r="D406" s="39" t="s">
        <v>4051</v>
      </c>
      <c r="E406" s="7">
        <v>4291</v>
      </c>
      <c r="F406" s="7" t="s">
        <v>4052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0</v>
      </c>
      <c r="T406" s="19">
        <f t="shared" si="62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63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61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4"/>
        <v>0</v>
      </c>
      <c r="AV406" s="37">
        <f t="shared" si="65"/>
        <v>0</v>
      </c>
      <c r="AW406" s="37"/>
    </row>
    <row r="407" spans="1:49" ht="15.75" hidden="1" customHeight="1" x14ac:dyDescent="0.25">
      <c r="A407" s="6" t="s">
        <v>4049</v>
      </c>
      <c r="B407" s="21" t="s">
        <v>4050</v>
      </c>
      <c r="C407" s="7">
        <v>1</v>
      </c>
      <c r="D407" s="39" t="s">
        <v>4051</v>
      </c>
      <c r="E407" s="7">
        <v>4292</v>
      </c>
      <c r="F407" s="7" t="s">
        <v>4052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57.6</v>
      </c>
      <c r="S407" s="18">
        <f t="shared" si="66"/>
        <v>0</v>
      </c>
      <c r="T407" s="19">
        <f t="shared" si="62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63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61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4"/>
        <v>0</v>
      </c>
      <c r="AV407" s="37">
        <f t="shared" si="65"/>
        <v>0</v>
      </c>
      <c r="AW407" s="37"/>
    </row>
    <row r="408" spans="1:49" ht="15.75" hidden="1" customHeight="1" x14ac:dyDescent="0.25">
      <c r="A408" s="6" t="s">
        <v>4049</v>
      </c>
      <c r="B408" s="21" t="s">
        <v>4053</v>
      </c>
      <c r="C408" s="7">
        <v>1</v>
      </c>
      <c r="D408" s="39" t="s">
        <v>4051</v>
      </c>
      <c r="E408" s="7">
        <v>4293</v>
      </c>
      <c r="F408" s="7" t="s">
        <v>4052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0</v>
      </c>
      <c r="T408" s="19">
        <f t="shared" si="62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63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61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4"/>
        <v>0</v>
      </c>
      <c r="AV408" s="37">
        <f t="shared" si="65"/>
        <v>0</v>
      </c>
      <c r="AW408" s="37"/>
    </row>
    <row r="409" spans="1:49" ht="15.75" hidden="1" customHeight="1" x14ac:dyDescent="0.25">
      <c r="A409" s="6" t="s">
        <v>4049</v>
      </c>
      <c r="B409" s="21" t="s">
        <v>4053</v>
      </c>
      <c r="C409" s="7">
        <v>1</v>
      </c>
      <c r="D409" s="39" t="s">
        <v>4051</v>
      </c>
      <c r="E409" s="7">
        <v>4294</v>
      </c>
      <c r="F409" s="7" t="s">
        <v>4052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59"/>
        <v>44.8</v>
      </c>
      <c r="S409" s="18">
        <f t="shared" si="66"/>
        <v>0</v>
      </c>
      <c r="T409" s="19">
        <f t="shared" si="62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63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61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4"/>
        <v>0</v>
      </c>
      <c r="AV409" s="37">
        <f t="shared" si="65"/>
        <v>0</v>
      </c>
      <c r="AW409" s="37"/>
    </row>
    <row r="410" spans="1:49" ht="15.75" hidden="1" customHeight="1" x14ac:dyDescent="0.25">
      <c r="A410" s="6" t="s">
        <v>4049</v>
      </c>
      <c r="B410" s="21" t="s">
        <v>4054</v>
      </c>
      <c r="C410" s="7">
        <v>1</v>
      </c>
      <c r="D410" s="39" t="s">
        <v>4051</v>
      </c>
      <c r="E410" s="7">
        <v>4295</v>
      </c>
      <c r="F410" s="7" t="s">
        <v>4052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68">IFERROR(H410*((AA410*0.25)+(AC410*0.25)+(AD410*0.225)+(AE410*0.225)+(AF410*0.05)),"")</f>
        <v>57.1</v>
      </c>
      <c r="S410" s="18">
        <f t="shared" si="66"/>
        <v>0</v>
      </c>
      <c r="T410" s="19">
        <f t="shared" si="62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63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61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4"/>
        <v>0</v>
      </c>
      <c r="AV410" s="37">
        <f t="shared" si="65"/>
        <v>0</v>
      </c>
      <c r="AW410" s="37"/>
    </row>
    <row r="411" spans="1:49" ht="15.75" hidden="1" customHeight="1" x14ac:dyDescent="0.25">
      <c r="A411" s="6" t="s">
        <v>4049</v>
      </c>
      <c r="B411" s="21" t="s">
        <v>4054</v>
      </c>
      <c r="C411" s="7">
        <v>1</v>
      </c>
      <c r="D411" s="39" t="s">
        <v>4051</v>
      </c>
      <c r="E411" s="7">
        <v>4296</v>
      </c>
      <c r="F411" s="7" t="s">
        <v>4052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57.1</v>
      </c>
      <c r="S411" s="18">
        <f t="shared" si="66"/>
        <v>0</v>
      </c>
      <c r="T411" s="19">
        <f t="shared" si="62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63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61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4"/>
        <v>0</v>
      </c>
      <c r="AV411" s="37">
        <f t="shared" si="65"/>
        <v>0</v>
      </c>
      <c r="AW411" s="37"/>
    </row>
    <row r="412" spans="1:49" ht="15.75" hidden="1" customHeight="1" x14ac:dyDescent="0.25">
      <c r="A412" s="6" t="s">
        <v>4049</v>
      </c>
      <c r="B412" s="21" t="s">
        <v>4055</v>
      </c>
      <c r="C412" s="7">
        <v>1</v>
      </c>
      <c r="D412" s="39" t="s">
        <v>4051</v>
      </c>
      <c r="E412" s="7">
        <v>4297</v>
      </c>
      <c r="F412" s="7" t="s">
        <v>4052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0</v>
      </c>
      <c r="T412" s="19">
        <f t="shared" si="62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63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9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4"/>
        <v>0</v>
      </c>
      <c r="AV412" s="37">
        <f t="shared" si="65"/>
        <v>0</v>
      </c>
      <c r="AW412" s="37"/>
    </row>
    <row r="413" spans="1:49" ht="15.75" hidden="1" customHeight="1" x14ac:dyDescent="0.25">
      <c r="A413" s="6" t="s">
        <v>4049</v>
      </c>
      <c r="B413" s="21" t="s">
        <v>4055</v>
      </c>
      <c r="C413" s="7">
        <v>1</v>
      </c>
      <c r="D413" s="39" t="s">
        <v>4051</v>
      </c>
      <c r="E413" s="7">
        <v>4298</v>
      </c>
      <c r="F413" s="7" t="s">
        <v>4052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42.4</v>
      </c>
      <c r="S413" s="18">
        <f t="shared" si="66"/>
        <v>0</v>
      </c>
      <c r="T413" s="19">
        <f t="shared" si="62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63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9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4"/>
        <v>0</v>
      </c>
      <c r="AV413" s="37">
        <f t="shared" si="65"/>
        <v>0</v>
      </c>
      <c r="AW413" s="37"/>
    </row>
    <row r="414" spans="1:49" ht="15.75" hidden="1" customHeight="1" x14ac:dyDescent="0.25">
      <c r="A414" s="6" t="s">
        <v>4049</v>
      </c>
      <c r="B414" s="21" t="s">
        <v>4056</v>
      </c>
      <c r="C414" s="7">
        <v>1</v>
      </c>
      <c r="D414" s="39" t="s">
        <v>4051</v>
      </c>
      <c r="E414" s="7">
        <v>4299</v>
      </c>
      <c r="F414" s="7" t="s">
        <v>4052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0</v>
      </c>
      <c r="T414" s="19">
        <f t="shared" si="62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63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9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4"/>
        <v>0</v>
      </c>
      <c r="AV414" s="37">
        <f t="shared" si="65"/>
        <v>0</v>
      </c>
      <c r="AW414" s="37"/>
    </row>
    <row r="415" spans="1:49" ht="15.75" hidden="1" customHeight="1" x14ac:dyDescent="0.25">
      <c r="A415" s="6" t="s">
        <v>4049</v>
      </c>
      <c r="B415" s="21" t="s">
        <v>4056</v>
      </c>
      <c r="C415" s="7">
        <v>1</v>
      </c>
      <c r="D415" s="39" t="s">
        <v>4051</v>
      </c>
      <c r="E415" s="7">
        <v>4300</v>
      </c>
      <c r="F415" s="7" t="s">
        <v>4052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40.700000000000003</v>
      </c>
      <c r="S415" s="18">
        <f t="shared" si="66"/>
        <v>0</v>
      </c>
      <c r="T415" s="19">
        <f t="shared" si="62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63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9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4"/>
        <v>0</v>
      </c>
      <c r="AV415" s="37">
        <f t="shared" si="65"/>
        <v>0</v>
      </c>
      <c r="AW415" s="37"/>
    </row>
    <row r="416" spans="1:49" ht="15.75" hidden="1" customHeight="1" x14ac:dyDescent="0.25">
      <c r="A416" s="6" t="s">
        <v>4057</v>
      </c>
      <c r="B416" s="21" t="s">
        <v>4058</v>
      </c>
      <c r="C416" s="7">
        <v>1</v>
      </c>
      <c r="D416" s="39" t="s">
        <v>4051</v>
      </c>
      <c r="E416" s="7">
        <v>4301</v>
      </c>
      <c r="F416" s="7" t="s">
        <v>4052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0</v>
      </c>
      <c r="T416" s="19">
        <f t="shared" si="62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63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9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4"/>
        <v>0</v>
      </c>
      <c r="AV416" s="37">
        <f t="shared" si="65"/>
        <v>0</v>
      </c>
      <c r="AW416" s="37"/>
    </row>
    <row r="417" spans="1:49" ht="15.75" hidden="1" customHeight="1" x14ac:dyDescent="0.25">
      <c r="A417" s="6" t="s">
        <v>4057</v>
      </c>
      <c r="B417" s="21" t="s">
        <v>4058</v>
      </c>
      <c r="C417" s="7">
        <v>1</v>
      </c>
      <c r="D417" s="39" t="s">
        <v>4051</v>
      </c>
      <c r="E417" s="7">
        <v>4302</v>
      </c>
      <c r="F417" s="7" t="s">
        <v>4052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57.7</v>
      </c>
      <c r="S417" s="18">
        <f t="shared" si="66"/>
        <v>0</v>
      </c>
      <c r="T417" s="19">
        <f t="shared" si="62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63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9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4"/>
        <v>0</v>
      </c>
      <c r="AV417" s="37">
        <f t="shared" si="65"/>
        <v>0</v>
      </c>
      <c r="AW417" s="37"/>
    </row>
    <row r="418" spans="1:49" ht="15.75" hidden="1" customHeight="1" x14ac:dyDescent="0.25">
      <c r="A418" s="6" t="s">
        <v>4057</v>
      </c>
      <c r="B418" s="21" t="s">
        <v>4059</v>
      </c>
      <c r="C418" s="7">
        <v>1</v>
      </c>
      <c r="D418" s="39" t="s">
        <v>4051</v>
      </c>
      <c r="E418" s="7">
        <v>4303</v>
      </c>
      <c r="F418" s="7" t="s">
        <v>4052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0</v>
      </c>
      <c r="T418" s="19">
        <f t="shared" si="62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63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9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4"/>
        <v>0</v>
      </c>
      <c r="AV418" s="37">
        <f t="shared" si="65"/>
        <v>0</v>
      </c>
      <c r="AW418" s="37"/>
    </row>
    <row r="419" spans="1:49" ht="15.75" hidden="1" customHeight="1" x14ac:dyDescent="0.25">
      <c r="A419" s="6" t="s">
        <v>4057</v>
      </c>
      <c r="B419" s="21" t="s">
        <v>4059</v>
      </c>
      <c r="C419" s="7">
        <v>1</v>
      </c>
      <c r="D419" s="39" t="s">
        <v>4051</v>
      </c>
      <c r="E419" s="7">
        <v>4304</v>
      </c>
      <c r="F419" s="7" t="s">
        <v>4052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47.2</v>
      </c>
      <c r="S419" s="18">
        <f t="shared" si="66"/>
        <v>0</v>
      </c>
      <c r="T419" s="19">
        <f t="shared" si="62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63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9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4"/>
        <v>0</v>
      </c>
      <c r="AV419" s="37">
        <f t="shared" si="65"/>
        <v>0</v>
      </c>
      <c r="AW419" s="37"/>
    </row>
    <row r="420" spans="1:49" ht="15.75" hidden="1" customHeight="1" x14ac:dyDescent="0.25">
      <c r="A420" s="6" t="s">
        <v>4057</v>
      </c>
      <c r="B420" s="21" t="s">
        <v>4060</v>
      </c>
      <c r="C420" s="7">
        <v>1</v>
      </c>
      <c r="D420" s="39" t="s">
        <v>4051</v>
      </c>
      <c r="E420" s="7">
        <v>4305</v>
      </c>
      <c r="F420" s="7" t="s">
        <v>4052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0</v>
      </c>
      <c r="T420" s="19">
        <f t="shared" ref="T420:T439" si="70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71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9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4"/>
        <v>0</v>
      </c>
      <c r="AV420" s="37">
        <f t="shared" si="65"/>
        <v>0</v>
      </c>
      <c r="AW420" s="37"/>
    </row>
    <row r="421" spans="1:49" ht="15.75" hidden="1" customHeight="1" x14ac:dyDescent="0.25">
      <c r="A421" s="6" t="s">
        <v>4057</v>
      </c>
      <c r="B421" s="21" t="s">
        <v>4060</v>
      </c>
      <c r="C421" s="7">
        <v>1</v>
      </c>
      <c r="D421" s="39" t="s">
        <v>4051</v>
      </c>
      <c r="E421" s="7">
        <v>4306</v>
      </c>
      <c r="F421" s="7" t="s">
        <v>4052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38.4</v>
      </c>
      <c r="S421" s="18">
        <f t="shared" si="66"/>
        <v>0</v>
      </c>
      <c r="T421" s="19">
        <f t="shared" si="70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71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9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72">IF(AH421="",0,IF(ISTEXT(AH421),H421*VALUE(SUBSTITUTE(AH421,"%",""))/100,H421*AH421))</f>
        <v>0</v>
      </c>
      <c r="AV421" s="37">
        <f t="shared" ref="AV421:AV439" si="73">IF(AG421="",0,IF(ISTEXT(AG421),H421*VALUE(SUBSTITUTE(AG421,"%",""))/100,H421*AG421))</f>
        <v>0</v>
      </c>
      <c r="AW421" s="37"/>
    </row>
    <row r="422" spans="1:49" ht="15.75" hidden="1" customHeight="1" x14ac:dyDescent="0.25">
      <c r="A422" s="6" t="s">
        <v>4057</v>
      </c>
      <c r="B422" s="21" t="s">
        <v>4061</v>
      </c>
      <c r="C422" s="7">
        <v>1</v>
      </c>
      <c r="D422" s="39" t="s">
        <v>4051</v>
      </c>
      <c r="E422" s="7">
        <v>4307</v>
      </c>
      <c r="F422" s="7" t="s">
        <v>4052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0</v>
      </c>
      <c r="T422" s="19">
        <f t="shared" si="70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71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9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72"/>
        <v>0</v>
      </c>
      <c r="AV422" s="37">
        <f t="shared" si="73"/>
        <v>0</v>
      </c>
      <c r="AW422" s="37"/>
    </row>
    <row r="423" spans="1:49" ht="15.75" hidden="1" customHeight="1" x14ac:dyDescent="0.25">
      <c r="A423" s="6" t="s">
        <v>4057</v>
      </c>
      <c r="B423" s="21" t="s">
        <v>4061</v>
      </c>
      <c r="C423" s="7">
        <v>1</v>
      </c>
      <c r="D423" s="39" t="s">
        <v>4051</v>
      </c>
      <c r="E423" s="7">
        <v>4308</v>
      </c>
      <c r="F423" s="7" t="s">
        <v>4052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68"/>
        <v>42.7</v>
      </c>
      <c r="S423" s="18">
        <f t="shared" si="66"/>
        <v>0</v>
      </c>
      <c r="T423" s="19">
        <f t="shared" si="70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9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72"/>
        <v>0</v>
      </c>
      <c r="AV423" s="37">
        <f t="shared" si="73"/>
        <v>0</v>
      </c>
      <c r="AW423" s="37"/>
    </row>
    <row r="424" spans="1:49" ht="15.75" hidden="1" customHeight="1" x14ac:dyDescent="0.25">
      <c r="A424" s="6" t="s">
        <v>3764</v>
      </c>
      <c r="B424" s="21" t="s">
        <v>3771</v>
      </c>
      <c r="C424" s="7">
        <v>24</v>
      </c>
      <c r="D424" s="39" t="s">
        <v>3415</v>
      </c>
      <c r="E424" s="7">
        <v>4309</v>
      </c>
      <c r="F424" s="7" t="s">
        <v>3767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72</v>
      </c>
      <c r="S424" s="18">
        <f t="shared" si="66"/>
        <v>0</v>
      </c>
      <c r="T424" s="19">
        <f t="shared" si="70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9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72"/>
        <v>0</v>
      </c>
      <c r="AV424" s="37">
        <f t="shared" si="73"/>
        <v>0</v>
      </c>
      <c r="AW424" s="37"/>
    </row>
    <row r="425" spans="1:49" ht="15.75" hidden="1" customHeight="1" x14ac:dyDescent="0.25">
      <c r="A425" s="6" t="s">
        <v>3764</v>
      </c>
      <c r="B425" s="21" t="s">
        <v>3771</v>
      </c>
      <c r="C425" s="7">
        <v>24</v>
      </c>
      <c r="D425" s="39" t="s">
        <v>3415</v>
      </c>
      <c r="E425" s="7">
        <v>4310</v>
      </c>
      <c r="F425" s="7" t="s">
        <v>3767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68"/>
        <v>36</v>
      </c>
      <c r="S425" s="18">
        <f t="shared" si="66"/>
        <v>0</v>
      </c>
      <c r="T425" s="19">
        <f t="shared" si="70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71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9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72"/>
        <v>0</v>
      </c>
      <c r="AV425" s="37">
        <f t="shared" si="73"/>
        <v>0</v>
      </c>
      <c r="AW425" s="37"/>
    </row>
    <row r="426" spans="1:49" ht="15.75" hidden="1" customHeight="1" x14ac:dyDescent="0.25">
      <c r="A426" s="6" t="s">
        <v>3849</v>
      </c>
      <c r="B426" s="21" t="s">
        <v>4062</v>
      </c>
      <c r="C426" s="7">
        <v>2</v>
      </c>
      <c r="D426" s="39" t="s">
        <v>3415</v>
      </c>
      <c r="E426" s="7">
        <v>4311</v>
      </c>
      <c r="F426" s="7" t="s">
        <v>3789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3790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27.26</v>
      </c>
      <c r="S426" s="18">
        <f t="shared" si="66"/>
        <v>0</v>
      </c>
      <c r="T426" s="19">
        <f t="shared" si="70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71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9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0</v>
      </c>
      <c r="AV426" s="37">
        <f t="shared" si="73"/>
        <v>0</v>
      </c>
      <c r="AW426" s="37"/>
    </row>
    <row r="427" spans="1:49" ht="15.75" hidden="1" customHeight="1" x14ac:dyDescent="0.25">
      <c r="A427" s="6" t="s">
        <v>3849</v>
      </c>
      <c r="B427" s="21" t="s">
        <v>4063</v>
      </c>
      <c r="C427" s="7">
        <v>2</v>
      </c>
      <c r="D427" s="39" t="s">
        <v>3415</v>
      </c>
      <c r="E427" s="7">
        <v>4312</v>
      </c>
      <c r="F427" s="7" t="s">
        <v>3789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3790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68"/>
        <v>41.034999999999997</v>
      </c>
      <c r="S427" s="18">
        <f t="shared" si="66"/>
        <v>0</v>
      </c>
      <c r="T427" s="19">
        <f t="shared" si="70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71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9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0</v>
      </c>
      <c r="AV427" s="37">
        <f t="shared" si="73"/>
        <v>0</v>
      </c>
      <c r="AW427" s="37"/>
    </row>
    <row r="428" spans="1:49" ht="15.75" hidden="1" customHeight="1" x14ac:dyDescent="0.25">
      <c r="A428" s="6" t="s">
        <v>4064</v>
      </c>
      <c r="B428" s="21" t="s">
        <v>3774</v>
      </c>
      <c r="C428" s="7">
        <v>1</v>
      </c>
      <c r="D428" s="39" t="s">
        <v>3777</v>
      </c>
      <c r="E428" s="7">
        <v>4313</v>
      </c>
      <c r="F428" s="7" t="s">
        <v>4065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68"/>
        <v>20.804999999999996</v>
      </c>
      <c r="S428" s="18">
        <f t="shared" si="66"/>
        <v>0</v>
      </c>
      <c r="T428" s="19">
        <f t="shared" si="70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71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9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0</v>
      </c>
      <c r="AV428" s="37">
        <f t="shared" si="73"/>
        <v>0</v>
      </c>
      <c r="AW428" s="37"/>
    </row>
    <row r="429" spans="1:49" ht="15.75" hidden="1" customHeight="1" x14ac:dyDescent="0.25">
      <c r="A429" s="6" t="s">
        <v>4064</v>
      </c>
      <c r="B429" s="21" t="s">
        <v>3776</v>
      </c>
      <c r="C429" s="7">
        <v>4</v>
      </c>
      <c r="D429" s="39" t="s">
        <v>4066</v>
      </c>
      <c r="E429" s="7">
        <v>4314</v>
      </c>
      <c r="F429" s="7" t="s">
        <v>4065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1.2000000000000002</v>
      </c>
      <c r="S429" s="18">
        <f t="shared" si="66"/>
        <v>0</v>
      </c>
      <c r="T429" s="19">
        <f t="shared" si="70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71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9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72"/>
        <v>0</v>
      </c>
      <c r="AV429" s="37">
        <f t="shared" si="73"/>
        <v>0</v>
      </c>
      <c r="AW429" s="37"/>
    </row>
    <row r="430" spans="1:49" ht="15.75" hidden="1" customHeight="1" x14ac:dyDescent="0.25">
      <c r="A430" s="6" t="s">
        <v>4064</v>
      </c>
      <c r="B430" s="21" t="s">
        <v>3778</v>
      </c>
      <c r="C430" s="7">
        <v>4</v>
      </c>
      <c r="D430" s="39" t="s">
        <v>4067</v>
      </c>
      <c r="E430" s="7">
        <v>4315</v>
      </c>
      <c r="F430" s="7" t="s">
        <v>4065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68"/>
        <v>2.7</v>
      </c>
      <c r="S430" s="18">
        <f t="shared" si="66"/>
        <v>0</v>
      </c>
      <c r="T430" s="19">
        <f t="shared" si="70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71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9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72"/>
        <v>0</v>
      </c>
      <c r="AV430" s="37">
        <f t="shared" si="73"/>
        <v>0</v>
      </c>
      <c r="AW430" s="37"/>
    </row>
    <row r="431" spans="1:49" ht="15.75" hidden="1" customHeight="1" x14ac:dyDescent="0.25">
      <c r="A431" s="6" t="s">
        <v>4064</v>
      </c>
      <c r="B431" s="21" t="s">
        <v>3983</v>
      </c>
      <c r="C431" s="7">
        <v>1</v>
      </c>
      <c r="D431" s="39" t="s">
        <v>4068</v>
      </c>
      <c r="E431" s="7">
        <v>4316</v>
      </c>
      <c r="F431" s="7" t="s">
        <v>4065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3.3000000000000003</v>
      </c>
      <c r="S431" s="18">
        <f t="shared" si="66"/>
        <v>0</v>
      </c>
      <c r="T431" s="19">
        <f t="shared" si="70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71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9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72"/>
        <v>0</v>
      </c>
      <c r="AV431" s="37">
        <f t="shared" si="73"/>
        <v>0</v>
      </c>
      <c r="AW431" s="37"/>
    </row>
    <row r="432" spans="1:49" ht="15.75" hidden="1" customHeight="1" x14ac:dyDescent="0.25">
      <c r="A432" s="6" t="s">
        <v>4064</v>
      </c>
      <c r="B432" s="21" t="s">
        <v>4002</v>
      </c>
      <c r="C432" s="7">
        <v>1</v>
      </c>
      <c r="D432" s="39" t="s">
        <v>4068</v>
      </c>
      <c r="E432" s="7">
        <v>4317</v>
      </c>
      <c r="F432" s="7" t="s">
        <v>4065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2.9249999999999998</v>
      </c>
      <c r="S432" s="18">
        <f t="shared" si="66"/>
        <v>0</v>
      </c>
      <c r="T432" s="19">
        <f t="shared" si="70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71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9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72"/>
        <v>0</v>
      </c>
      <c r="AV432" s="37">
        <f t="shared" si="73"/>
        <v>0</v>
      </c>
      <c r="AW432" s="37"/>
    </row>
    <row r="433" spans="1:49" ht="15.75" hidden="1" customHeight="1" x14ac:dyDescent="0.25">
      <c r="A433" s="6" t="s">
        <v>4064</v>
      </c>
      <c r="B433" s="21" t="s">
        <v>3774</v>
      </c>
      <c r="C433" s="7">
        <v>1</v>
      </c>
      <c r="D433" s="39" t="s">
        <v>3777</v>
      </c>
      <c r="E433" s="7">
        <v>4318</v>
      </c>
      <c r="F433" s="7" t="s">
        <v>4065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68"/>
        <v>20.804999999999996</v>
      </c>
      <c r="S433" s="18">
        <f t="shared" si="66"/>
        <v>0</v>
      </c>
      <c r="T433" s="19">
        <f t="shared" si="70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71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9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0</v>
      </c>
      <c r="AV433" s="37">
        <f t="shared" si="73"/>
        <v>0</v>
      </c>
      <c r="AW433" s="37"/>
    </row>
    <row r="434" spans="1:49" ht="15.75" hidden="1" customHeight="1" x14ac:dyDescent="0.25">
      <c r="A434" s="6" t="s">
        <v>4064</v>
      </c>
      <c r="B434" s="21" t="s">
        <v>3776</v>
      </c>
      <c r="C434" s="7">
        <v>4</v>
      </c>
      <c r="D434" s="39" t="s">
        <v>4066</v>
      </c>
      <c r="E434" s="7">
        <v>4319</v>
      </c>
      <c r="F434" s="7" t="s">
        <v>4065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1.6</v>
      </c>
      <c r="S434" s="18">
        <f t="shared" si="66"/>
        <v>0</v>
      </c>
      <c r="T434" s="19">
        <f t="shared" si="70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71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9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72"/>
        <v>0</v>
      </c>
      <c r="AV434" s="37">
        <f t="shared" si="73"/>
        <v>0</v>
      </c>
      <c r="AW434" s="37"/>
    </row>
    <row r="435" spans="1:49" ht="15.75" hidden="1" customHeight="1" x14ac:dyDescent="0.25">
      <c r="A435" s="6" t="s">
        <v>4064</v>
      </c>
      <c r="B435" s="21" t="s">
        <v>3778</v>
      </c>
      <c r="C435" s="7">
        <v>4</v>
      </c>
      <c r="D435" s="39" t="s">
        <v>4067</v>
      </c>
      <c r="E435" s="7">
        <v>4320</v>
      </c>
      <c r="F435" s="7" t="s">
        <v>4065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68"/>
        <v>3.6</v>
      </c>
      <c r="S435" s="18">
        <f t="shared" si="66"/>
        <v>0</v>
      </c>
      <c r="T435" s="19">
        <f t="shared" si="70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71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9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72"/>
        <v>0</v>
      </c>
      <c r="AV435" s="37">
        <f t="shared" si="73"/>
        <v>0</v>
      </c>
      <c r="AW435" s="37"/>
    </row>
    <row r="436" spans="1:49" ht="15.75" hidden="1" customHeight="1" x14ac:dyDescent="0.25">
      <c r="A436" s="6" t="s">
        <v>4064</v>
      </c>
      <c r="B436" s="21" t="s">
        <v>3983</v>
      </c>
      <c r="C436" s="7">
        <v>1</v>
      </c>
      <c r="D436" s="39" t="s">
        <v>4068</v>
      </c>
      <c r="E436" s="7">
        <v>4321</v>
      </c>
      <c r="F436" s="7" t="s">
        <v>4065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3.3000000000000003</v>
      </c>
      <c r="S436" s="18">
        <f t="shared" si="66"/>
        <v>0</v>
      </c>
      <c r="T436" s="19">
        <f t="shared" si="70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71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9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72"/>
        <v>0</v>
      </c>
      <c r="AV436" s="37">
        <f t="shared" si="73"/>
        <v>0</v>
      </c>
      <c r="AW436" s="37"/>
    </row>
    <row r="437" spans="1:49" ht="15.75" hidden="1" customHeight="1" x14ac:dyDescent="0.25">
      <c r="A437" s="6" t="s">
        <v>4064</v>
      </c>
      <c r="B437" s="21" t="s">
        <v>4002</v>
      </c>
      <c r="C437" s="7">
        <v>1</v>
      </c>
      <c r="D437" s="39" t="s">
        <v>4068</v>
      </c>
      <c r="E437" s="7">
        <v>4322</v>
      </c>
      <c r="F437" s="7" t="s">
        <v>4065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68"/>
        <v>2.9249999999999998</v>
      </c>
      <c r="S437" s="18">
        <f t="shared" si="66"/>
        <v>0</v>
      </c>
      <c r="T437" s="19">
        <f t="shared" si="70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71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9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72"/>
        <v>0</v>
      </c>
      <c r="AV437" s="37">
        <f t="shared" si="73"/>
        <v>0</v>
      </c>
      <c r="AW437" s="37"/>
    </row>
    <row r="438" spans="1:49" ht="15.75" hidden="1" customHeight="1" x14ac:dyDescent="0.25">
      <c r="A438" s="6" t="s">
        <v>3864</v>
      </c>
      <c r="B438" s="21" t="s">
        <v>4069</v>
      </c>
      <c r="C438" s="7">
        <v>2</v>
      </c>
      <c r="D438" s="39" t="s">
        <v>4070</v>
      </c>
      <c r="E438" s="7">
        <v>4323</v>
      </c>
      <c r="F438" s="7" t="s">
        <v>3789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3790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6.4960000000000004</v>
      </c>
      <c r="S438" s="18">
        <f t="shared" ref="S438:S509" si="74">IFERROR(H438*AG438,"")</f>
        <v>0</v>
      </c>
      <c r="T438" s="19">
        <f t="shared" si="70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71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9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0</v>
      </c>
      <c r="AV438" s="37">
        <f t="shared" si="73"/>
        <v>0</v>
      </c>
      <c r="AW438" s="37"/>
    </row>
    <row r="439" spans="1:49" ht="15.75" hidden="1" customHeight="1" x14ac:dyDescent="0.25">
      <c r="A439" s="6" t="s">
        <v>3864</v>
      </c>
      <c r="B439" s="21" t="s">
        <v>4071</v>
      </c>
      <c r="C439" s="7">
        <v>2</v>
      </c>
      <c r="D439" s="39" t="s">
        <v>4072</v>
      </c>
      <c r="E439" s="7">
        <v>4324</v>
      </c>
      <c r="F439" s="7" t="s">
        <v>3789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3790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68"/>
        <v>85.106589999999997</v>
      </c>
      <c r="S439" s="18">
        <f t="shared" si="74"/>
        <v>0</v>
      </c>
      <c r="T439" s="19">
        <f t="shared" si="70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71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7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72"/>
        <v>0</v>
      </c>
      <c r="AV439" s="37">
        <f t="shared" si="73"/>
        <v>0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4298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4299</v>
      </c>
      <c r="K440" s="8" t="s">
        <v>23</v>
      </c>
      <c r="L440" s="9" t="s">
        <v>4300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75">IFERROR(H440*((AA440*0.25)+(AC440*0.25)+(AD440*0.225)+(AE440*0.225)+(AF440*0.05)),"")</f>
        <v>51.75</v>
      </c>
      <c r="S440" s="18">
        <f t="shared" si="74"/>
        <v>30</v>
      </c>
      <c r="T440" s="19">
        <f t="shared" ref="T440" si="76">IFERROR(S440-H440,"")</f>
        <v>-30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7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8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30</v>
      </c>
      <c r="AU440" s="37">
        <f t="shared" ref="AU440" si="79">IF(AH440="",0,IF(ISTEXT(AH440),H440*VALUE(SUBSTITUTE(AH440,"%",""))/100,H440*AH440))</f>
        <v>0</v>
      </c>
      <c r="AV440" s="37">
        <f t="shared" ref="AV440" si="80">IF(AG440="",0,IF(ISTEXT(AG440),H440*VALUE(SUBSTITUTE(AG440,"%",""))/100,H440*AG440))</f>
        <v>30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4301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4299</v>
      </c>
      <c r="K441" s="8" t="s">
        <v>23</v>
      </c>
      <c r="L441" s="9" t="s">
        <v>4300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2" si="81">IFERROR(H441*((AA441*0.25)+(AC441*0.25)+(AD441*0.225)+(AE441*0.225)+(AF441*0.05)),"")</f>
        <v>64.6875</v>
      </c>
      <c r="S441" s="18">
        <f t="shared" si="74"/>
        <v>37.5</v>
      </c>
      <c r="T441" s="19">
        <f t="shared" ref="T441:T512" si="82">IFERROR(S441-H441,"")</f>
        <v>-37.5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83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>
        <v>0.5</v>
      </c>
      <c r="AG441" s="33">
        <v>0.5</v>
      </c>
      <c r="AH441" s="33"/>
      <c r="AI441" s="33" t="str">
        <f t="shared" si="69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4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37.5</v>
      </c>
      <c r="AU441" s="37">
        <f t="shared" ref="AU441:AU512" si="85">IF(AH441="",0,IF(ISTEXT(AH441),H441*VALUE(SUBSTITUTE(AH441,"%",""))/100,H441*AH441))</f>
        <v>0</v>
      </c>
      <c r="AV441" s="37">
        <f t="shared" ref="AV441:AV512" si="86">IF(AG441="",0,IF(ISTEXT(AG441),H441*VALUE(SUBSTITUTE(AG441,"%",""))/100,H441*AG441))</f>
        <v>37.5</v>
      </c>
      <c r="AW441" s="37"/>
    </row>
    <row r="442" spans="1:49" ht="15.75" hidden="1" customHeight="1" x14ac:dyDescent="0.25">
      <c r="A442" s="6" t="s">
        <v>4303</v>
      </c>
      <c r="B442" s="21" t="s">
        <v>4304</v>
      </c>
      <c r="C442" s="7">
        <v>4</v>
      </c>
      <c r="D442" s="39" t="s">
        <v>4305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4306</v>
      </c>
      <c r="K442" s="8" t="s">
        <v>32</v>
      </c>
      <c r="L442" s="9" t="s">
        <v>4307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1"/>
        <v>0</v>
      </c>
      <c r="S442" s="18">
        <f t="shared" si="74"/>
        <v>0</v>
      </c>
      <c r="T442" s="19">
        <f t="shared" si="82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4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25">
      <c r="A443" s="6" t="s">
        <v>4311</v>
      </c>
      <c r="B443" s="21" t="s">
        <v>4312</v>
      </c>
      <c r="C443" s="7">
        <v>8</v>
      </c>
      <c r="D443" s="39" t="s">
        <v>4314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4302</v>
      </c>
      <c r="J443" s="8" t="s">
        <v>3045</v>
      </c>
      <c r="K443" s="8" t="s">
        <v>4323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6.96</v>
      </c>
      <c r="S443" s="18">
        <f t="shared" si="74"/>
        <v>0</v>
      </c>
      <c r="T443" s="19">
        <f t="shared" si="82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9.6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customHeight="1" x14ac:dyDescent="0.25">
      <c r="A444" s="6" t="s">
        <v>4311</v>
      </c>
      <c r="B444" s="21" t="s">
        <v>4312</v>
      </c>
      <c r="C444" s="7">
        <v>8</v>
      </c>
      <c r="D444" s="39" t="s">
        <v>4313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4302</v>
      </c>
      <c r="J444" s="8" t="s">
        <v>3045</v>
      </c>
      <c r="K444" s="8" t="s">
        <v>4323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-8</v>
      </c>
      <c r="R444" s="18">
        <f t="shared" si="81"/>
        <v>66.12</v>
      </c>
      <c r="S444" s="18">
        <f t="shared" si="74"/>
        <v>0</v>
      </c>
      <c r="T444" s="19">
        <f t="shared" si="82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-8</v>
      </c>
      <c r="Z444" s="20">
        <f>Tabela1[[#This Row],[PESO TOTAL]]-Tabela1[[#This Row],[Peso Expedido]]</f>
        <v>91.2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25">
      <c r="A445" s="6" t="s">
        <v>4311</v>
      </c>
      <c r="B445" s="21" t="s">
        <v>4312</v>
      </c>
      <c r="C445" s="7">
        <v>4</v>
      </c>
      <c r="D445" s="39" t="s">
        <v>4315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4302</v>
      </c>
      <c r="J445" s="8" t="s">
        <v>3045</v>
      </c>
      <c r="K445" s="8" t="s">
        <v>4323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-4</v>
      </c>
      <c r="R445" s="18">
        <f t="shared" si="81"/>
        <v>51.3</v>
      </c>
      <c r="S445" s="18">
        <f t="shared" si="74"/>
        <v>0</v>
      </c>
      <c r="T445" s="19">
        <f t="shared" si="82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-4</v>
      </c>
      <c r="Z445" s="20">
        <f>Tabela1[[#This Row],[PESO TOTAL]]-Tabela1[[#This Row],[Peso Expedido]]</f>
        <v>205.2</v>
      </c>
      <c r="AA445" s="17">
        <v>1</v>
      </c>
      <c r="AB445" s="33"/>
      <c r="AC445" s="33"/>
      <c r="AD445" s="33"/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25">
      <c r="A446" s="6" t="s">
        <v>4311</v>
      </c>
      <c r="B446" s="21" t="s">
        <v>4312</v>
      </c>
      <c r="C446" s="7">
        <v>8</v>
      </c>
      <c r="D446" s="39" t="s">
        <v>4316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4302</v>
      </c>
      <c r="J446" s="8" t="s">
        <v>3045</v>
      </c>
      <c r="K446" s="8" t="s">
        <v>4323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-8</v>
      </c>
      <c r="R446" s="18">
        <f t="shared" si="81"/>
        <v>27.84</v>
      </c>
      <c r="S446" s="18">
        <f t="shared" si="74"/>
        <v>0</v>
      </c>
      <c r="T446" s="19">
        <f t="shared" si="82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-8</v>
      </c>
      <c r="Z446" s="20">
        <f>Tabela1[[#This Row],[PESO TOTAL]]-Tabela1[[#This Row],[Peso Expedido]]</f>
        <v>38.4</v>
      </c>
      <c r="AA446" s="17">
        <v>1</v>
      </c>
      <c r="AB446" s="33"/>
      <c r="AC446" s="33">
        <v>1</v>
      </c>
      <c r="AD446" s="33">
        <v>1</v>
      </c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25">
      <c r="A447" s="6" t="s">
        <v>4311</v>
      </c>
      <c r="B447" s="21" t="s">
        <v>4312</v>
      </c>
      <c r="C447" s="7">
        <v>4</v>
      </c>
      <c r="D447" s="39" t="s">
        <v>4317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4302</v>
      </c>
      <c r="J447" s="8" t="s">
        <v>3045</v>
      </c>
      <c r="K447" s="8" t="s">
        <v>4323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-4</v>
      </c>
      <c r="R447" s="18">
        <f t="shared" si="81"/>
        <v>0</v>
      </c>
      <c r="S447" s="18">
        <f t="shared" si="74"/>
        <v>0</v>
      </c>
      <c r="T447" s="19">
        <f t="shared" si="82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25">
      <c r="A448" s="6" t="s">
        <v>4311</v>
      </c>
      <c r="B448" s="21" t="s">
        <v>4312</v>
      </c>
      <c r="C448" s="7">
        <v>24</v>
      </c>
      <c r="D448" s="39" t="s">
        <v>4318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4302</v>
      </c>
      <c r="J448" s="8" t="s">
        <v>3045</v>
      </c>
      <c r="K448" s="8" t="s">
        <v>4323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-24</v>
      </c>
      <c r="R448" s="18">
        <f t="shared" si="81"/>
        <v>0</v>
      </c>
      <c r="S448" s="18">
        <f t="shared" si="74"/>
        <v>0</v>
      </c>
      <c r="T448" s="19">
        <f t="shared" si="82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25">
      <c r="A449" s="6" t="s">
        <v>4311</v>
      </c>
      <c r="B449" s="21" t="s">
        <v>4312</v>
      </c>
      <c r="C449" s="7">
        <v>1</v>
      </c>
      <c r="D449" s="39" t="s">
        <v>4319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4302</v>
      </c>
      <c r="J449" s="8" t="s">
        <v>3045</v>
      </c>
      <c r="K449" s="8" t="s">
        <v>4323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-1</v>
      </c>
      <c r="R449" s="18">
        <f t="shared" si="81"/>
        <v>0</v>
      </c>
      <c r="S449" s="18">
        <f t="shared" si="74"/>
        <v>0</v>
      </c>
      <c r="T449" s="19">
        <f t="shared" si="82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83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4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5"/>
        <v>0</v>
      </c>
      <c r="AV449" s="37">
        <f t="shared" si="86"/>
        <v>0</v>
      </c>
      <c r="AW449" s="37"/>
    </row>
    <row r="450" spans="1:49" ht="15.75" customHeight="1" x14ac:dyDescent="0.25">
      <c r="A450" s="6" t="s">
        <v>4311</v>
      </c>
      <c r="B450" s="21" t="s">
        <v>4312</v>
      </c>
      <c r="C450" s="7">
        <v>1</v>
      </c>
      <c r="D450" s="39" t="s">
        <v>4320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4302</v>
      </c>
      <c r="J450" s="8" t="s">
        <v>3045</v>
      </c>
      <c r="K450" s="8" t="s">
        <v>4323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-1</v>
      </c>
      <c r="R450" s="18">
        <f t="shared" si="81"/>
        <v>1.885</v>
      </c>
      <c r="S450" s="18">
        <f t="shared" si="74"/>
        <v>0</v>
      </c>
      <c r="T450" s="19">
        <f t="shared" si="82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83"/>
        <v>-1</v>
      </c>
      <c r="Z450" s="20">
        <f>Tabela1[[#This Row],[PESO TOTAL]]-Tabela1[[#This Row],[Peso Expedido]]</f>
        <v>2.6</v>
      </c>
      <c r="AA450" s="17">
        <v>1</v>
      </c>
      <c r="AB450" s="33"/>
      <c r="AC450" s="33">
        <v>1</v>
      </c>
      <c r="AD450" s="33">
        <v>1</v>
      </c>
      <c r="AE450" s="33"/>
      <c r="AF450" s="33"/>
      <c r="AG450" s="33"/>
      <c r="AH450" s="33"/>
      <c r="AI450" s="33" t="str">
        <f t="shared" si="6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4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5"/>
        <v>0</v>
      </c>
      <c r="AV450" s="37">
        <f t="shared" si="86"/>
        <v>0</v>
      </c>
      <c r="AW450" s="37"/>
    </row>
    <row r="451" spans="1:49" ht="15.75" customHeight="1" x14ac:dyDescent="0.25">
      <c r="A451" s="6" t="s">
        <v>4311</v>
      </c>
      <c r="B451" s="21" t="s">
        <v>4312</v>
      </c>
      <c r="C451" s="7">
        <v>1</v>
      </c>
      <c r="D451" s="39" t="s">
        <v>4321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4302</v>
      </c>
      <c r="J451" s="8" t="s">
        <v>3045</v>
      </c>
      <c r="K451" s="8" t="s">
        <v>4323</v>
      </c>
      <c r="L451" s="9" t="s">
        <v>2984</v>
      </c>
      <c r="M451" s="10">
        <v>46211</v>
      </c>
      <c r="N451" s="8" t="s">
        <v>38</v>
      </c>
      <c r="O451" s="12"/>
      <c r="P451" s="13"/>
      <c r="Q451" s="14">
        <f>Tabela1[[#This Row],[QTDE/ Fabricação]]-Tabela1[[#This Row],[QTE]]</f>
        <v>-1</v>
      </c>
      <c r="R451" s="18">
        <f t="shared" si="81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9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customHeight="1" x14ac:dyDescent="0.25">
      <c r="A452" s="6" t="s">
        <v>4311</v>
      </c>
      <c r="B452" s="21" t="s">
        <v>4312</v>
      </c>
      <c r="C452" s="7">
        <v>2</v>
      </c>
      <c r="D452" s="39" t="s">
        <v>4322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4302</v>
      </c>
      <c r="J452" s="8" t="s">
        <v>3045</v>
      </c>
      <c r="K452" s="8" t="s">
        <v>4323</v>
      </c>
      <c r="L452" s="9" t="s">
        <v>2984</v>
      </c>
      <c r="M452" s="10">
        <v>46211</v>
      </c>
      <c r="N452" s="8" t="s">
        <v>38</v>
      </c>
      <c r="O452" s="12"/>
      <c r="P452" s="13"/>
      <c r="Q452" s="14">
        <f>Tabela1[[#This Row],[QTDE/ Fabricação]]-Tabela1[[#This Row],[QTE]]</f>
        <v>-2</v>
      </c>
      <c r="R452" s="18">
        <f t="shared" si="81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9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customHeight="1" x14ac:dyDescent="0.25">
      <c r="A453" s="6" t="s">
        <v>4420</v>
      </c>
      <c r="B453" s="21" t="s">
        <v>4421</v>
      </c>
      <c r="C453" s="7">
        <v>1</v>
      </c>
      <c r="D453" s="39" t="s">
        <v>4422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4513</v>
      </c>
      <c r="J453" s="8" t="s">
        <v>3045</v>
      </c>
      <c r="K453" s="8" t="s">
        <v>31</v>
      </c>
      <c r="L453" s="9" t="s">
        <v>2984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-1</v>
      </c>
      <c r="R453" s="18">
        <f t="shared" si="81"/>
        <v>491.94150000000002</v>
      </c>
      <c r="S453" s="18">
        <f t="shared" ref="S453:S461" si="87">IFERROR(H453*AG453,"")</f>
        <v>0</v>
      </c>
      <c r="T453" s="19">
        <f t="shared" ref="T453:T461" si="88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9">U453-C453</f>
        <v>-1</v>
      </c>
      <c r="Z453" s="20">
        <f>Tabela1[[#This Row],[PESO TOTAL]]-Tabela1[[#This Row],[Peso Expedido]]</f>
        <v>748.2</v>
      </c>
      <c r="AA453" s="33">
        <v>1</v>
      </c>
      <c r="AB453" s="33"/>
      <c r="AC453" s="33">
        <v>1</v>
      </c>
      <c r="AD453" s="33">
        <v>0.7</v>
      </c>
      <c r="AE453" s="33"/>
      <c r="AF453" s="33"/>
      <c r="AG453" s="33"/>
      <c r="AH453" s="28"/>
      <c r="AI453" s="33" t="str">
        <f t="shared" si="69"/>
        <v/>
      </c>
    </row>
    <row r="454" spans="1:49" ht="15.75" customHeight="1" x14ac:dyDescent="0.25">
      <c r="A454" s="6" t="s">
        <v>4423</v>
      </c>
      <c r="B454" s="21" t="s">
        <v>4424</v>
      </c>
      <c r="C454" s="7">
        <v>5</v>
      </c>
      <c r="D454" s="39" t="s">
        <v>4425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4444</v>
      </c>
      <c r="J454" s="8" t="s">
        <v>3045</v>
      </c>
      <c r="K454" s="8" t="s">
        <v>31</v>
      </c>
      <c r="L454" s="9" t="s">
        <v>2984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-5</v>
      </c>
      <c r="R454" s="18">
        <f t="shared" si="81"/>
        <v>2400.5324999999998</v>
      </c>
      <c r="S454" s="18">
        <f t="shared" si="87"/>
        <v>0</v>
      </c>
      <c r="T454" s="19">
        <f t="shared" si="88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-5</v>
      </c>
      <c r="Z454" s="20">
        <f>Tabela1[[#This Row],[PESO TOTAL]]-Tabela1[[#This Row],[Peso Expedido]]</f>
        <v>3651</v>
      </c>
      <c r="AA454" s="33">
        <v>1</v>
      </c>
      <c r="AB454" s="33"/>
      <c r="AC454" s="33">
        <v>1</v>
      </c>
      <c r="AD454" s="33">
        <v>0.7</v>
      </c>
      <c r="AE454" s="33"/>
      <c r="AF454" s="33"/>
      <c r="AG454" s="33"/>
      <c r="AH454" s="28"/>
      <c r="AI454" s="33" t="str">
        <f t="shared" si="69"/>
        <v/>
      </c>
    </row>
    <row r="455" spans="1:49" ht="15.75" hidden="1" customHeight="1" x14ac:dyDescent="0.25">
      <c r="A455" s="6" t="s">
        <v>101</v>
      </c>
      <c r="B455" s="21"/>
      <c r="C455" s="7">
        <v>18</v>
      </c>
      <c r="D455" s="39" t="s">
        <v>146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4426</v>
      </c>
      <c r="K455" s="8" t="s">
        <v>23</v>
      </c>
      <c r="L455" s="9" t="s">
        <v>4427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-18</v>
      </c>
      <c r="R455" s="18">
        <f t="shared" si="81"/>
        <v>8.01</v>
      </c>
      <c r="S455" s="18">
        <f t="shared" si="87"/>
        <v>5.3999999999999995</v>
      </c>
      <c r="T455" s="19">
        <f t="shared" si="88"/>
        <v>-12.600000000000001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-18</v>
      </c>
      <c r="Z455" s="20">
        <f>Tabela1[[#This Row],[PESO TOTAL]]-Tabela1[[#This Row],[Peso Expedido]]</f>
        <v>18</v>
      </c>
      <c r="AA455" s="33">
        <v>0.5</v>
      </c>
      <c r="AB455" s="33"/>
      <c r="AC455" s="33">
        <v>0.5</v>
      </c>
      <c r="AD455" s="33">
        <v>0.5</v>
      </c>
      <c r="AE455" s="33">
        <v>0.3</v>
      </c>
      <c r="AF455" s="33">
        <v>0.3</v>
      </c>
      <c r="AG455" s="33">
        <v>0.3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814</v>
      </c>
      <c r="B456" s="21"/>
      <c r="C456" s="7">
        <v>53</v>
      </c>
      <c r="D456" s="39" t="s">
        <v>4428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4426</v>
      </c>
      <c r="K456" s="8" t="s">
        <v>23</v>
      </c>
      <c r="L456" s="9" t="s">
        <v>4427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-53</v>
      </c>
      <c r="R456" s="18">
        <f>IFERROR(H456*((AA456*0.25)+(AC456*0.25)+(AD456*0.225)+(AE456*0.225)+(AF456*0.05)),"")</f>
        <v>122.64200000000001</v>
      </c>
      <c r="S456" s="18">
        <f t="shared" si="87"/>
        <v>82.68</v>
      </c>
      <c r="T456" s="19">
        <f t="shared" si="88"/>
        <v>-192.92000000000002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-53</v>
      </c>
      <c r="Z456" s="20">
        <f>Tabela1[[#This Row],[PESO TOTAL]]-Tabela1[[#This Row],[Peso Expedido]]</f>
        <v>275.60000000000002</v>
      </c>
      <c r="AA456" s="33">
        <v>0.5</v>
      </c>
      <c r="AB456" s="33"/>
      <c r="AC456" s="33">
        <v>0.5</v>
      </c>
      <c r="AD456" s="33">
        <v>0.5</v>
      </c>
      <c r="AE456" s="33">
        <v>0.3</v>
      </c>
      <c r="AF456" s="33">
        <v>0.3</v>
      </c>
      <c r="AG456" s="33">
        <v>0.3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4429</v>
      </c>
      <c r="B457" s="21" t="s">
        <v>4430</v>
      </c>
      <c r="C457" s="7">
        <v>7</v>
      </c>
      <c r="D457" s="39" t="s">
        <v>4431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746</v>
      </c>
      <c r="J457" s="8" t="s">
        <v>4426</v>
      </c>
      <c r="K457" s="8" t="s">
        <v>33</v>
      </c>
      <c r="L457" s="9" t="s">
        <v>4427</v>
      </c>
      <c r="M457" s="10">
        <v>46218</v>
      </c>
      <c r="N457" s="8" t="s">
        <v>38</v>
      </c>
      <c r="O457" s="14"/>
      <c r="P457" s="18"/>
      <c r="Q457" s="14">
        <f>Tabela1[[#This Row],[QTDE/ Fabricação]]-Tabela1[[#This Row],[QTE]]</f>
        <v>-7</v>
      </c>
      <c r="R457" s="18">
        <f>IFERROR(H457*((AA457*0.25)+(AC457*0.25)+(AD457*0.225)+(AE457*0.225)+(AF457*0.05)),"")</f>
        <v>59.496500000000012</v>
      </c>
      <c r="S457" s="18">
        <f t="shared" si="87"/>
        <v>40.110000000000007</v>
      </c>
      <c r="T457" s="19">
        <f t="shared" si="88"/>
        <v>-93.59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-7</v>
      </c>
      <c r="Z457" s="20">
        <f>Tabela1[[#This Row],[PESO TOTAL]]-Tabela1[[#This Row],[Peso Expedido]]</f>
        <v>133.70000000000002</v>
      </c>
      <c r="AA457" s="33">
        <v>0.5</v>
      </c>
      <c r="AB457" s="33"/>
      <c r="AC457" s="33">
        <v>0.5</v>
      </c>
      <c r="AD457" s="33">
        <v>0.5</v>
      </c>
      <c r="AE457" s="33">
        <v>0.3</v>
      </c>
      <c r="AF457" s="33">
        <v>0.3</v>
      </c>
      <c r="AG457" s="33">
        <v>0.3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4432</v>
      </c>
      <c r="B458" s="21" t="s">
        <v>4433</v>
      </c>
      <c r="C458" s="7">
        <v>6</v>
      </c>
      <c r="D458" s="39" t="s">
        <v>4434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746</v>
      </c>
      <c r="J458" s="8" t="s">
        <v>4426</v>
      </c>
      <c r="K458" s="8" t="s">
        <v>33</v>
      </c>
      <c r="L458" s="9" t="s">
        <v>4427</v>
      </c>
      <c r="M458" s="10">
        <v>46218</v>
      </c>
      <c r="N458" s="8" t="s">
        <v>38</v>
      </c>
      <c r="O458" s="14"/>
      <c r="P458" s="18"/>
      <c r="Q458" s="14">
        <f>Tabela1[[#This Row],[QTDE/ Fabricação]]-Tabela1[[#This Row],[QTE]]</f>
        <v>-6</v>
      </c>
      <c r="R458" s="18">
        <f>IFERROR(H458*((AA458*0.25)+(AC458*0.25)+(AD458*0.225)+(AE458*0.225)+(AF458*0.05)),"")</f>
        <v>48.593999999999994</v>
      </c>
      <c r="S458" s="18">
        <f t="shared" si="87"/>
        <v>32.76</v>
      </c>
      <c r="T458" s="19">
        <f t="shared" si="88"/>
        <v>-76.44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-6</v>
      </c>
      <c r="Z458" s="20">
        <f>Tabela1[[#This Row],[PESO TOTAL]]-Tabela1[[#This Row],[Peso Expedido]]</f>
        <v>109.19999999999999</v>
      </c>
      <c r="AA458" s="33">
        <v>0.5</v>
      </c>
      <c r="AB458" s="33"/>
      <c r="AC458" s="33">
        <v>0.5</v>
      </c>
      <c r="AD458" s="33">
        <v>0.5</v>
      </c>
      <c r="AE458" s="33">
        <v>0.3</v>
      </c>
      <c r="AF458" s="33">
        <v>0.3</v>
      </c>
      <c r="AG458" s="33">
        <v>0.3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4435</v>
      </c>
      <c r="B459" s="21" t="s">
        <v>4436</v>
      </c>
      <c r="C459" s="7">
        <v>8</v>
      </c>
      <c r="D459" s="39" t="s">
        <v>4440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746</v>
      </c>
      <c r="J459" s="8" t="s">
        <v>4426</v>
      </c>
      <c r="K459" s="8" t="s">
        <v>33</v>
      </c>
      <c r="L459" s="9" t="s">
        <v>4427</v>
      </c>
      <c r="M459" s="10">
        <v>46218</v>
      </c>
      <c r="N459" s="8" t="s">
        <v>38</v>
      </c>
      <c r="O459" s="14"/>
      <c r="P459" s="18"/>
      <c r="Q459" s="14">
        <f>Tabela1[[#This Row],[QTDE/ Fabricação]]-Tabela1[[#This Row],[QTE]]</f>
        <v>-8</v>
      </c>
      <c r="R459" s="18">
        <f>IFERROR(H459*((AA459*0.25)+(AC459*0.25)+(AD459*0.225)+(AE459*0.225)+(AF459*0.05)),"")</f>
        <v>21.36</v>
      </c>
      <c r="S459" s="18">
        <f t="shared" si="87"/>
        <v>14.399999999999999</v>
      </c>
      <c r="T459" s="19">
        <f t="shared" si="88"/>
        <v>-33.6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9"/>
        <v>-8</v>
      </c>
      <c r="Z459" s="20">
        <f>Tabela1[[#This Row],[PESO TOTAL]]-Tabela1[[#This Row],[Peso Expedido]]</f>
        <v>48</v>
      </c>
      <c r="AA459" s="33">
        <v>0.5</v>
      </c>
      <c r="AB459" s="33"/>
      <c r="AC459" s="33">
        <v>0.5</v>
      </c>
      <c r="AD459" s="33">
        <v>0.5</v>
      </c>
      <c r="AE459" s="33">
        <v>0.3</v>
      </c>
      <c r="AF459" s="33">
        <v>0.3</v>
      </c>
      <c r="AG459" s="33">
        <v>0.3</v>
      </c>
      <c r="AH459" s="28"/>
      <c r="AI459" s="33" t="str">
        <f t="shared" si="69"/>
        <v/>
      </c>
    </row>
    <row r="460" spans="1:49" ht="15.75" hidden="1" customHeight="1" x14ac:dyDescent="0.25">
      <c r="A460" s="6" t="s">
        <v>4437</v>
      </c>
      <c r="B460" s="21" t="s">
        <v>4438</v>
      </c>
      <c r="C460" s="7">
        <v>14</v>
      </c>
      <c r="D460" s="39" t="s">
        <v>4439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746</v>
      </c>
      <c r="J460" s="8" t="s">
        <v>4426</v>
      </c>
      <c r="K460" s="8" t="s">
        <v>33</v>
      </c>
      <c r="L460" s="9" t="s">
        <v>4427</v>
      </c>
      <c r="M460" s="10">
        <v>46218</v>
      </c>
      <c r="N460" s="8" t="s">
        <v>38</v>
      </c>
      <c r="O460" s="14"/>
      <c r="P460" s="18"/>
      <c r="Q460" s="16">
        <f>Tabela1[[#This Row],[QTDE/ Fabricação]]-Tabela1[[#This Row],[QTE]]</f>
        <v>-14</v>
      </c>
      <c r="R460" s="18">
        <f>IFERROR(H460*((AA460*0.25)+(AC460*0.25)+(AD460*0.225)+(AE460*0.225)+(AF460*0.05)),"")</f>
        <v>31.150000000000002</v>
      </c>
      <c r="S460" s="18">
        <f t="shared" si="87"/>
        <v>21</v>
      </c>
      <c r="T460" s="19">
        <f t="shared" si="88"/>
        <v>-49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9"/>
        <v>-14</v>
      </c>
      <c r="Z460" s="20">
        <f>Tabela1[[#This Row],[PESO TOTAL]]-Tabela1[[#This Row],[Peso Expedido]]</f>
        <v>70</v>
      </c>
      <c r="AA460" s="33">
        <v>0.5</v>
      </c>
      <c r="AB460" s="33"/>
      <c r="AC460" s="33">
        <v>0.5</v>
      </c>
      <c r="AD460" s="33">
        <v>0.5</v>
      </c>
      <c r="AE460" s="33">
        <v>0.3</v>
      </c>
      <c r="AF460" s="33">
        <v>0.3</v>
      </c>
      <c r="AG460" s="33">
        <v>0.3</v>
      </c>
      <c r="AH460" s="28"/>
      <c r="AI460" s="33" t="str">
        <f t="shared" si="69"/>
        <v/>
      </c>
    </row>
    <row r="461" spans="1:49" ht="15.75" hidden="1" customHeight="1" x14ac:dyDescent="0.25">
      <c r="A461" s="6" t="s">
        <v>4441</v>
      </c>
      <c r="B461" s="21" t="s">
        <v>4442</v>
      </c>
      <c r="C461" s="7">
        <v>23</v>
      </c>
      <c r="D461" s="39" t="s">
        <v>4443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746</v>
      </c>
      <c r="J461" s="8" t="s">
        <v>4426</v>
      </c>
      <c r="K461" s="8" t="s">
        <v>33</v>
      </c>
      <c r="L461" s="9" t="s">
        <v>4427</v>
      </c>
      <c r="M461" s="10">
        <v>46218</v>
      </c>
      <c r="N461" s="8" t="s">
        <v>38</v>
      </c>
      <c r="O461" s="14"/>
      <c r="P461" s="18"/>
      <c r="Q461" s="16">
        <f>Tabela1[[#This Row],[QTDE/ Fabricação]]-Tabela1[[#This Row],[QTE]]</f>
        <v>-23</v>
      </c>
      <c r="R461" s="18" t="str">
        <f>IFERROR(H461*((AA461*0.25)+(AC461*0.25)+(AD461*0.225)+(#REF!*0.225)+(AF461*0.05)),"")</f>
        <v/>
      </c>
      <c r="S461" s="18">
        <f t="shared" si="87"/>
        <v>41.4</v>
      </c>
      <c r="T461" s="19">
        <f t="shared" si="88"/>
        <v>-96.6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9"/>
        <v>-23</v>
      </c>
      <c r="Z461" s="20">
        <f>Tabela1[[#This Row],[PESO TOTAL]]-Tabela1[[#This Row],[Peso Expedido]]</f>
        <v>138</v>
      </c>
      <c r="AA461" s="33">
        <v>0.5</v>
      </c>
      <c r="AB461" s="33"/>
      <c r="AC461" s="33">
        <v>0.5</v>
      </c>
      <c r="AD461" s="33">
        <v>0.5</v>
      </c>
      <c r="AE461" s="219">
        <v>0.3</v>
      </c>
      <c r="AF461" s="33">
        <v>0.3</v>
      </c>
      <c r="AG461" s="33">
        <v>0.3</v>
      </c>
      <c r="AH461" s="28"/>
      <c r="AI461" s="33" t="str">
        <f t="shared" si="69"/>
        <v/>
      </c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2547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13.1</v>
      </c>
      <c r="S462" s="18">
        <f t="shared" si="74"/>
        <v>13.1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13.1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4512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13.1</v>
      </c>
      <c r="AV462" s="37">
        <f t="shared" si="86"/>
        <v>13.1</v>
      </c>
      <c r="AW462" s="37"/>
    </row>
    <row r="463" spans="1:49" ht="15.75" hidden="1" customHeight="1" x14ac:dyDescent="0.25">
      <c r="A463" s="6" t="s">
        <v>2546</v>
      </c>
      <c r="B463" s="21"/>
      <c r="C463" s="7">
        <v>1</v>
      </c>
      <c r="D463" s="39" t="s">
        <v>2548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2550</v>
      </c>
      <c r="K463" s="8" t="s">
        <v>46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1"/>
        <v>13.1</v>
      </c>
      <c r="S463" s="18">
        <f t="shared" si="74"/>
        <v>13.1</v>
      </c>
      <c r="T463" s="19">
        <f t="shared" si="82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4512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13.1</v>
      </c>
      <c r="AV463" s="37">
        <f t="shared" si="86"/>
        <v>13.1</v>
      </c>
      <c r="AW463" s="37"/>
    </row>
    <row r="464" spans="1:49" ht="15.75" hidden="1" customHeight="1" x14ac:dyDescent="0.25">
      <c r="A464" s="6" t="s">
        <v>2546</v>
      </c>
      <c r="B464" s="21"/>
      <c r="C464" s="7">
        <v>1</v>
      </c>
      <c r="D464" s="39" t="s">
        <v>2549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2550</v>
      </c>
      <c r="K464" s="8" t="s">
        <v>46</v>
      </c>
      <c r="L464" s="9" t="s">
        <v>2551</v>
      </c>
      <c r="M464" s="10">
        <v>46125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6.2</v>
      </c>
      <c r="S464" s="18">
        <f t="shared" si="74"/>
        <v>6.2</v>
      </c>
      <c r="T464" s="19">
        <f t="shared" si="82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4512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6.2</v>
      </c>
      <c r="AV464" s="37">
        <f t="shared" si="86"/>
        <v>6.2</v>
      </c>
      <c r="AW464" s="37"/>
    </row>
    <row r="465" spans="1:49" ht="15.75" customHeight="1" x14ac:dyDescent="0.25">
      <c r="A465" s="6" t="s">
        <v>4330</v>
      </c>
      <c r="B465" s="21"/>
      <c r="C465" s="7">
        <v>1</v>
      </c>
      <c r="D465" s="39" t="s">
        <v>4331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46125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17.5</v>
      </c>
      <c r="S465" s="18">
        <f t="shared" si="74"/>
        <v>17.5</v>
      </c>
      <c r="T465" s="19">
        <f t="shared" si="82"/>
        <v>0</v>
      </c>
      <c r="U465" s="16"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17.5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4512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17.5</v>
      </c>
      <c r="AV465" s="37">
        <f t="shared" si="86"/>
        <v>17.5</v>
      </c>
      <c r="AW465" s="37"/>
    </row>
    <row r="466" spans="1:49" ht="15.75" customHeight="1" x14ac:dyDescent="0.25">
      <c r="A466" s="6" t="s">
        <v>2552</v>
      </c>
      <c r="B466" s="21"/>
      <c r="C466" s="7">
        <v>4</v>
      </c>
      <c r="D466" s="39" t="s">
        <v>4332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-4</v>
      </c>
      <c r="R466" s="18">
        <f t="shared" si="81"/>
        <v>344.4</v>
      </c>
      <c r="S466" s="18">
        <f t="shared" si="74"/>
        <v>344.4</v>
      </c>
      <c r="T466" s="19">
        <f t="shared" si="82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4512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344.4</v>
      </c>
      <c r="AV466" s="37">
        <f t="shared" si="86"/>
        <v>344.4</v>
      </c>
      <c r="AW466" s="37"/>
    </row>
    <row r="467" spans="1:49" ht="15.75" customHeight="1" x14ac:dyDescent="0.25">
      <c r="A467" s="6" t="s">
        <v>2552</v>
      </c>
      <c r="B467" s="21"/>
      <c r="C467" s="7">
        <v>1</v>
      </c>
      <c r="D467" s="39" t="s">
        <v>4333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1.4</v>
      </c>
      <c r="S467" s="18">
        <f t="shared" si="74"/>
        <v>1.4</v>
      </c>
      <c r="T467" s="19">
        <f t="shared" si="82"/>
        <v>0</v>
      </c>
      <c r="U467" s="16">
        <v>1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1.4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4512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1.4</v>
      </c>
      <c r="AV467" s="37">
        <f t="shared" si="86"/>
        <v>1.4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4.5999999999999996</v>
      </c>
      <c r="S468" s="18">
        <f t="shared" si="74"/>
        <v>4.5999999999999996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4512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4.5999999999999996</v>
      </c>
      <c r="AV468" s="37">
        <f t="shared" si="86"/>
        <v>4.5999999999999996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50.8</v>
      </c>
      <c r="S469" s="18">
        <f t="shared" si="74"/>
        <v>50.8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4512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50.8</v>
      </c>
      <c r="AV469" s="37">
        <f t="shared" si="86"/>
        <v>50.8</v>
      </c>
      <c r="AW469" s="37"/>
    </row>
    <row r="470" spans="1:49" ht="15.75" customHeight="1" x14ac:dyDescent="0.25">
      <c r="A470" s="6" t="s">
        <v>2553</v>
      </c>
      <c r="B470" s="21"/>
      <c r="C470" s="7">
        <v>1</v>
      </c>
      <c r="D470" s="39" t="s">
        <v>4336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1"/>
        <v>1.1000000000000001</v>
      </c>
      <c r="S470" s="18">
        <f t="shared" si="74"/>
        <v>1.1000000000000001</v>
      </c>
      <c r="T470" s="19">
        <f t="shared" si="82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4512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1.1000000000000001</v>
      </c>
      <c r="AV470" s="37">
        <f t="shared" si="86"/>
        <v>1.1000000000000001</v>
      </c>
      <c r="AW470" s="37"/>
    </row>
    <row r="471" spans="1:49" ht="15.75" customHeight="1" x14ac:dyDescent="0.25">
      <c r="A471" s="6" t="s">
        <v>2553</v>
      </c>
      <c r="B471" s="21"/>
      <c r="C471" s="7">
        <v>1</v>
      </c>
      <c r="D471" s="39" t="s">
        <v>4337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</v>
      </c>
      <c r="R471" s="18">
        <f t="shared" si="81"/>
        <v>23.6</v>
      </c>
      <c r="S471" s="18">
        <f t="shared" si="74"/>
        <v>23.6</v>
      </c>
      <c r="T471" s="19">
        <f t="shared" si="82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4512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23.6</v>
      </c>
      <c r="AV471" s="37">
        <f t="shared" si="86"/>
        <v>23.6</v>
      </c>
      <c r="AW471" s="37"/>
    </row>
    <row r="472" spans="1:49" ht="15.75" customHeight="1" x14ac:dyDescent="0.25">
      <c r="A472" s="6" t="s">
        <v>2553</v>
      </c>
      <c r="B472" s="21"/>
      <c r="C472" s="7">
        <v>1</v>
      </c>
      <c r="D472" s="39" t="s">
        <v>4338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-1</v>
      </c>
      <c r="R472" s="18">
        <f t="shared" si="81"/>
        <v>1.1000000000000001</v>
      </c>
      <c r="S472" s="18">
        <f t="shared" si="74"/>
        <v>1.1000000000000001</v>
      </c>
      <c r="T472" s="19">
        <f t="shared" si="82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4512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1.1000000000000001</v>
      </c>
      <c r="AV472" s="37">
        <f t="shared" si="86"/>
        <v>1.1000000000000001</v>
      </c>
      <c r="AW472" s="37"/>
    </row>
    <row r="473" spans="1:49" ht="15.75" customHeight="1" x14ac:dyDescent="0.25">
      <c r="A473" s="6" t="s">
        <v>2553</v>
      </c>
      <c r="B473" s="21"/>
      <c r="C473" s="7">
        <v>19</v>
      </c>
      <c r="D473" s="39" t="s">
        <v>2554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-19</v>
      </c>
      <c r="R473" s="18">
        <f t="shared" si="81"/>
        <v>133</v>
      </c>
      <c r="S473" s="18">
        <f t="shared" si="74"/>
        <v>133</v>
      </c>
      <c r="T473" s="19">
        <f t="shared" si="82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4512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133</v>
      </c>
      <c r="AV473" s="37">
        <f t="shared" si="86"/>
        <v>133</v>
      </c>
      <c r="AW473" s="37"/>
    </row>
    <row r="474" spans="1:49" ht="15.75" customHeight="1" x14ac:dyDescent="0.25">
      <c r="A474" s="6" t="s">
        <v>2555</v>
      </c>
      <c r="B474" s="21"/>
      <c r="C474" s="7">
        <v>2</v>
      </c>
      <c r="D474" s="39" t="s">
        <v>2548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2550</v>
      </c>
      <c r="K474" s="8" t="s">
        <v>31</v>
      </c>
      <c r="L474" s="9" t="s">
        <v>2551</v>
      </c>
      <c r="M474" s="10">
        <v>46120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8</v>
      </c>
      <c r="S474" s="18">
        <f t="shared" si="74"/>
        <v>8</v>
      </c>
      <c r="T474" s="19">
        <f t="shared" si="82"/>
        <v>0</v>
      </c>
      <c r="U474" s="16">
        <v>2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8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4512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8</v>
      </c>
      <c r="AV474" s="37">
        <f t="shared" si="86"/>
        <v>8</v>
      </c>
      <c r="AW474" s="37"/>
    </row>
    <row r="475" spans="1:49" ht="15.75" customHeight="1" x14ac:dyDescent="0.25">
      <c r="A475" s="6" t="s">
        <v>2555</v>
      </c>
      <c r="B475" s="21"/>
      <c r="C475" s="7">
        <v>4</v>
      </c>
      <c r="D475" s="39" t="s">
        <v>2549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2550</v>
      </c>
      <c r="K475" s="8" t="s">
        <v>31</v>
      </c>
      <c r="L475" s="9" t="s">
        <v>2551</v>
      </c>
      <c r="M475" s="10">
        <v>46120</v>
      </c>
      <c r="N475" s="11" t="s">
        <v>38</v>
      </c>
      <c r="O475" s="12"/>
      <c r="P475" s="13"/>
      <c r="Q475" s="14">
        <f>Tabela1[[#This Row],[QTDE/ Fabricação]]-Tabela1[[#This Row],[QTE]]</f>
        <v>-4</v>
      </c>
      <c r="R475" s="18">
        <f t="shared" si="81"/>
        <v>16</v>
      </c>
      <c r="S475" s="18">
        <f t="shared" si="74"/>
        <v>16</v>
      </c>
      <c r="T475" s="19">
        <f t="shared" si="82"/>
        <v>0</v>
      </c>
      <c r="U475" s="16">
        <v>4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16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4512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16</v>
      </c>
      <c r="AV475" s="37">
        <f t="shared" si="86"/>
        <v>16</v>
      </c>
      <c r="AW475" s="37"/>
    </row>
    <row r="476" spans="1:49" ht="15.75" customHeight="1" x14ac:dyDescent="0.25">
      <c r="A476" s="6" t="s">
        <v>4339</v>
      </c>
      <c r="B476" s="21"/>
      <c r="C476" s="7">
        <v>4</v>
      </c>
      <c r="D476" s="39" t="s">
        <v>4340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2550</v>
      </c>
      <c r="K476" s="8" t="s">
        <v>31</v>
      </c>
      <c r="L476" s="9" t="s">
        <v>2551</v>
      </c>
      <c r="M476" s="10">
        <v>46112</v>
      </c>
      <c r="N476" s="11" t="s">
        <v>38</v>
      </c>
      <c r="O476" s="12"/>
      <c r="P476" s="13"/>
      <c r="Q476" s="14">
        <f>Tabela1[[#This Row],[QTDE/ Fabricação]]-Tabela1[[#This Row],[QTE]]</f>
        <v>-4</v>
      </c>
      <c r="R476" s="18">
        <f t="shared" si="81"/>
        <v>95.2</v>
      </c>
      <c r="S476" s="18">
        <f t="shared" si="74"/>
        <v>95.2</v>
      </c>
      <c r="T476" s="19">
        <f t="shared" si="82"/>
        <v>0</v>
      </c>
      <c r="U476" s="16">
        <v>4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95.2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4512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95.2</v>
      </c>
      <c r="AV476" s="37">
        <f t="shared" si="86"/>
        <v>95.2</v>
      </c>
      <c r="AW476" s="37"/>
    </row>
    <row r="477" spans="1:49" ht="15.75" hidden="1" customHeight="1" x14ac:dyDescent="0.25">
      <c r="A477" s="6" t="s">
        <v>4341</v>
      </c>
      <c r="B477" s="21"/>
      <c r="C477" s="7">
        <v>2</v>
      </c>
      <c r="D477" s="39" t="s">
        <v>4342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-2</v>
      </c>
      <c r="R477" s="18">
        <f t="shared" si="81"/>
        <v>114</v>
      </c>
      <c r="S477" s="18">
        <f t="shared" si="74"/>
        <v>114</v>
      </c>
      <c r="T477" s="19">
        <f t="shared" si="82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4512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114</v>
      </c>
      <c r="AV477" s="37">
        <f t="shared" si="86"/>
        <v>114</v>
      </c>
      <c r="AW477" s="37"/>
    </row>
    <row r="478" spans="1:49" ht="15.75" hidden="1" customHeight="1" x14ac:dyDescent="0.25">
      <c r="A478" s="6" t="s">
        <v>4343</v>
      </c>
      <c r="B478" s="21"/>
      <c r="C478" s="7">
        <v>1</v>
      </c>
      <c r="D478" s="39" t="s">
        <v>4344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2550</v>
      </c>
      <c r="K478" s="8" t="s">
        <v>32</v>
      </c>
      <c r="L478" s="9" t="s">
        <v>2551</v>
      </c>
      <c r="M478" s="10">
        <v>46134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29.1</v>
      </c>
      <c r="S478" s="18">
        <f t="shared" si="74"/>
        <v>29.1</v>
      </c>
      <c r="T478" s="19">
        <f t="shared" si="82"/>
        <v>0</v>
      </c>
      <c r="U478" s="16"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29.1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4512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29.1</v>
      </c>
      <c r="AV478" s="37">
        <f t="shared" si="86"/>
        <v>29.1</v>
      </c>
      <c r="AW478" s="37"/>
    </row>
    <row r="479" spans="1:49" ht="15.75" hidden="1" customHeight="1" x14ac:dyDescent="0.25">
      <c r="A479" s="6" t="s">
        <v>4345</v>
      </c>
      <c r="B479" s="21"/>
      <c r="C479" s="7">
        <v>1</v>
      </c>
      <c r="D479" s="39" t="s">
        <v>4346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2550</v>
      </c>
      <c r="K479" s="8" t="s">
        <v>32</v>
      </c>
      <c r="L479" s="9" t="s">
        <v>2551</v>
      </c>
      <c r="M479" s="10">
        <v>46134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0.5</v>
      </c>
      <c r="S479" s="18">
        <f t="shared" si="74"/>
        <v>0.5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4512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0.5</v>
      </c>
      <c r="AV479" s="37">
        <f t="shared" si="86"/>
        <v>0.5</v>
      </c>
      <c r="AW479" s="37"/>
    </row>
    <row r="480" spans="1:49" ht="15.75" customHeight="1" x14ac:dyDescent="0.25">
      <c r="A480" s="6" t="s">
        <v>4347</v>
      </c>
      <c r="B480" s="21"/>
      <c r="C480" s="7">
        <v>1</v>
      </c>
      <c r="D480" s="39" t="s">
        <v>4348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5</v>
      </c>
      <c r="S480" s="18">
        <f t="shared" si="74"/>
        <v>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4512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5</v>
      </c>
      <c r="AV480" s="37">
        <f t="shared" si="86"/>
        <v>5</v>
      </c>
      <c r="AW480" s="37"/>
    </row>
    <row r="481" spans="1:49" ht="15.75" customHeight="1" x14ac:dyDescent="0.25">
      <c r="A481" s="6" t="s">
        <v>4347</v>
      </c>
      <c r="B481" s="21"/>
      <c r="C481" s="7">
        <v>1</v>
      </c>
      <c r="D481" s="39" t="s">
        <v>4349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2550</v>
      </c>
      <c r="K481" s="8" t="s">
        <v>31</v>
      </c>
      <c r="L481" s="9" t="s">
        <v>2551</v>
      </c>
      <c r="M481" s="10">
        <v>46112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2</v>
      </c>
      <c r="S481" s="18">
        <f t="shared" si="74"/>
        <v>2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4512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2</v>
      </c>
      <c r="AV481" s="37">
        <f t="shared" si="86"/>
        <v>2</v>
      </c>
      <c r="AW481" s="37"/>
    </row>
    <row r="482" spans="1:49" ht="15.75" customHeight="1" x14ac:dyDescent="0.25">
      <c r="A482" s="6" t="s">
        <v>4347</v>
      </c>
      <c r="B482" s="21"/>
      <c r="C482" s="7">
        <v>1</v>
      </c>
      <c r="D482" s="39" t="s">
        <v>4350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46112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5.0999999999999996</v>
      </c>
      <c r="S482" s="18">
        <f t="shared" si="74"/>
        <v>5.0999999999999996</v>
      </c>
      <c r="T482" s="19">
        <f t="shared" si="82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4512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5.0999999999999996</v>
      </c>
      <c r="AV482" s="37">
        <f t="shared" si="86"/>
        <v>5.0999999999999996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2550</v>
      </c>
      <c r="K483" s="8" t="s">
        <v>22</v>
      </c>
      <c r="L483" s="9" t="s">
        <v>2551</v>
      </c>
      <c r="M483" s="10">
        <v>46119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628.70000000000005</v>
      </c>
      <c r="S483" s="18">
        <f t="shared" si="74"/>
        <v>628.70000000000005</v>
      </c>
      <c r="T483" s="19">
        <f t="shared" si="82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4512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628.70000000000005</v>
      </c>
      <c r="AV483" s="37">
        <f t="shared" si="86"/>
        <v>628.70000000000005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2550</v>
      </c>
      <c r="K484" s="8" t="s">
        <v>22</v>
      </c>
      <c r="L484" s="9" t="s">
        <v>2551</v>
      </c>
      <c r="M484" s="10">
        <v>46119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11.1</v>
      </c>
      <c r="S484" s="18">
        <f t="shared" si="74"/>
        <v>11.1</v>
      </c>
      <c r="T484" s="19">
        <f t="shared" si="82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4512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11.1</v>
      </c>
      <c r="AV484" s="37">
        <f t="shared" si="86"/>
        <v>11.1</v>
      </c>
      <c r="AW484" s="37"/>
    </row>
    <row r="485" spans="1:49" ht="15.75" customHeight="1" x14ac:dyDescent="0.25">
      <c r="A485" s="6" t="s">
        <v>4354</v>
      </c>
      <c r="B485" s="21"/>
      <c r="C485" s="7">
        <v>1</v>
      </c>
      <c r="D485" s="39" t="s">
        <v>4355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25.3</v>
      </c>
      <c r="S485" s="18">
        <f t="shared" si="74"/>
        <v>25.3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25.3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4512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25.3</v>
      </c>
      <c r="AV485" s="37">
        <f t="shared" si="86"/>
        <v>25.3</v>
      </c>
      <c r="AW485" s="37"/>
    </row>
    <row r="486" spans="1:49" ht="15.75" customHeight="1" x14ac:dyDescent="0.25">
      <c r="A486" s="6" t="s">
        <v>4354</v>
      </c>
      <c r="B486" s="21"/>
      <c r="C486" s="7">
        <v>1</v>
      </c>
      <c r="D486" s="39" t="s">
        <v>4356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12.3</v>
      </c>
      <c r="S486" s="18">
        <f t="shared" si="74"/>
        <v>12.3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12.3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4512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12.3</v>
      </c>
      <c r="AV486" s="37">
        <f t="shared" si="86"/>
        <v>12.3</v>
      </c>
      <c r="AW486" s="37"/>
    </row>
    <row r="487" spans="1:49" ht="15.75" customHeight="1" x14ac:dyDescent="0.25">
      <c r="A487" s="6" t="s">
        <v>4354</v>
      </c>
      <c r="B487" s="21"/>
      <c r="C487" s="7">
        <v>1</v>
      </c>
      <c r="D487" s="39" t="s">
        <v>4357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1"/>
        <v>4.2</v>
      </c>
      <c r="S487" s="18">
        <f t="shared" si="74"/>
        <v>4.2</v>
      </c>
      <c r="T487" s="19">
        <f t="shared" si="82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4.2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4512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4.2</v>
      </c>
      <c r="AV487" s="37">
        <f t="shared" si="86"/>
        <v>4.2</v>
      </c>
      <c r="AW487" s="37"/>
    </row>
    <row r="488" spans="1:49" ht="15.75" customHeight="1" x14ac:dyDescent="0.25">
      <c r="A488" s="6" t="s">
        <v>4354</v>
      </c>
      <c r="B488" s="21"/>
      <c r="C488" s="7">
        <v>1</v>
      </c>
      <c r="D488" s="39" t="s">
        <v>4358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-1</v>
      </c>
      <c r="R488" s="18">
        <f t="shared" si="81"/>
        <v>0.5</v>
      </c>
      <c r="S488" s="18">
        <f t="shared" si="74"/>
        <v>0.5</v>
      </c>
      <c r="T488" s="19">
        <f t="shared" si="82"/>
        <v>0</v>
      </c>
      <c r="U488" s="16">
        <v>1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0.5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4512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0.5</v>
      </c>
      <c r="AV488" s="37">
        <f t="shared" si="86"/>
        <v>0.5</v>
      </c>
      <c r="AW488" s="37"/>
    </row>
    <row r="489" spans="1:49" ht="15.75" customHeight="1" x14ac:dyDescent="0.25">
      <c r="A489" s="6" t="s">
        <v>4354</v>
      </c>
      <c r="B489" s="21"/>
      <c r="C489" s="7">
        <v>1</v>
      </c>
      <c r="D489" s="39" t="s">
        <v>4359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0.2</v>
      </c>
      <c r="S489" s="18">
        <f t="shared" si="74"/>
        <v>0.2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0.2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4512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0.2</v>
      </c>
      <c r="AV489" s="37">
        <f t="shared" si="86"/>
        <v>0.2</v>
      </c>
      <c r="AW489" s="37"/>
    </row>
    <row r="490" spans="1:49" ht="15.75" customHeight="1" x14ac:dyDescent="0.25">
      <c r="A490" s="6" t="s">
        <v>4354</v>
      </c>
      <c r="B490" s="21"/>
      <c r="C490" s="7">
        <v>2</v>
      </c>
      <c r="D490" s="39" t="s">
        <v>4360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-2</v>
      </c>
      <c r="R490" s="18">
        <f t="shared" si="81"/>
        <v>14</v>
      </c>
      <c r="S490" s="18">
        <f t="shared" si="74"/>
        <v>14</v>
      </c>
      <c r="T490" s="19">
        <f t="shared" si="82"/>
        <v>0</v>
      </c>
      <c r="U490" s="16">
        <v>2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14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4512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14</v>
      </c>
      <c r="AV490" s="37">
        <f t="shared" si="86"/>
        <v>14</v>
      </c>
      <c r="AW490" s="37"/>
    </row>
    <row r="491" spans="1:49" ht="15.75" customHeight="1" x14ac:dyDescent="0.25">
      <c r="A491" s="6" t="s">
        <v>4354</v>
      </c>
      <c r="B491" s="21"/>
      <c r="C491" s="7">
        <v>2</v>
      </c>
      <c r="D491" s="39" t="s">
        <v>4361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-2</v>
      </c>
      <c r="R491" s="18">
        <f t="shared" si="81"/>
        <v>1.6</v>
      </c>
      <c r="S491" s="18">
        <f t="shared" si="74"/>
        <v>1.6</v>
      </c>
      <c r="T491" s="19">
        <f t="shared" si="82"/>
        <v>0</v>
      </c>
      <c r="U491" s="16">
        <v>2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1.6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4512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1.6</v>
      </c>
      <c r="AV491" s="37">
        <f t="shared" si="86"/>
        <v>1.6</v>
      </c>
      <c r="AW491" s="37"/>
    </row>
    <row r="492" spans="1:49" ht="15.75" customHeight="1" x14ac:dyDescent="0.25">
      <c r="A492" s="6" t="s">
        <v>4354</v>
      </c>
      <c r="B492" s="21"/>
      <c r="C492" s="7">
        <v>1</v>
      </c>
      <c r="D492" s="39" t="s">
        <v>4362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0.6</v>
      </c>
      <c r="S492" s="18">
        <f t="shared" si="74"/>
        <v>0.6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0.6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4512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0.6</v>
      </c>
      <c r="AV492" s="37">
        <f t="shared" si="86"/>
        <v>0.6</v>
      </c>
      <c r="AW492" s="37"/>
    </row>
    <row r="493" spans="1:49" ht="15.75" customHeight="1" x14ac:dyDescent="0.25">
      <c r="A493" s="6" t="s">
        <v>4354</v>
      </c>
      <c r="B493" s="21"/>
      <c r="C493" s="7">
        <v>1</v>
      </c>
      <c r="D493" s="39" t="s">
        <v>4363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0.1</v>
      </c>
      <c r="S493" s="18">
        <f t="shared" si="74"/>
        <v>0.1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4512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0.1</v>
      </c>
      <c r="AV493" s="37">
        <f t="shared" si="86"/>
        <v>0.1</v>
      </c>
      <c r="AW493" s="37"/>
    </row>
    <row r="494" spans="1:49" ht="15.75" customHeight="1" x14ac:dyDescent="0.25">
      <c r="A494" s="6" t="s">
        <v>4354</v>
      </c>
      <c r="B494" s="21"/>
      <c r="C494" s="7">
        <v>1</v>
      </c>
      <c r="D494" s="39" t="s">
        <v>4364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0.1</v>
      </c>
      <c r="S494" s="18">
        <f t="shared" si="74"/>
        <v>0.1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0.1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4512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0.1</v>
      </c>
      <c r="AV494" s="37">
        <f t="shared" si="86"/>
        <v>0.1</v>
      </c>
      <c r="AW494" s="37"/>
    </row>
    <row r="495" spans="1:49" ht="15.75" customHeight="1" x14ac:dyDescent="0.25">
      <c r="A495" s="6" t="s">
        <v>4354</v>
      </c>
      <c r="B495" s="21"/>
      <c r="C495" s="7">
        <v>1</v>
      </c>
      <c r="D495" s="39" t="s">
        <v>4365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0.1</v>
      </c>
      <c r="S495" s="18">
        <f t="shared" si="74"/>
        <v>0.1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0.1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4512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0.1</v>
      </c>
      <c r="AV495" s="37">
        <f t="shared" si="86"/>
        <v>0.1</v>
      </c>
      <c r="AW495" s="37"/>
    </row>
    <row r="496" spans="1:49" ht="15.75" hidden="1" customHeight="1" x14ac:dyDescent="0.25">
      <c r="A496" s="6" t="s">
        <v>4366</v>
      </c>
      <c r="B496" s="21"/>
      <c r="C496" s="7">
        <v>1</v>
      </c>
      <c r="D496" s="39" t="s">
        <v>4367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2550</v>
      </c>
      <c r="K496" s="8" t="s">
        <v>45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0.2</v>
      </c>
      <c r="S496" s="18">
        <f t="shared" si="74"/>
        <v>0.2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0.2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4512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0.2</v>
      </c>
      <c r="AV496" s="37">
        <f t="shared" si="86"/>
        <v>0.2</v>
      </c>
      <c r="AW496" s="37"/>
    </row>
    <row r="497" spans="1:49" ht="15.75" customHeight="1" x14ac:dyDescent="0.25">
      <c r="A497" s="6" t="s">
        <v>4366</v>
      </c>
      <c r="B497" s="21"/>
      <c r="C497" s="7">
        <v>1</v>
      </c>
      <c r="D497" s="39" t="s">
        <v>4368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0.4</v>
      </c>
      <c r="S497" s="18">
        <f t="shared" si="74"/>
        <v>0.4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4512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0.4</v>
      </c>
      <c r="AV497" s="37">
        <f t="shared" si="86"/>
        <v>0.4</v>
      </c>
      <c r="AW497" s="37"/>
    </row>
    <row r="498" spans="1:49" ht="15.75" customHeight="1" x14ac:dyDescent="0.25">
      <c r="A498" s="6" t="s">
        <v>4366</v>
      </c>
      <c r="B498" s="21"/>
      <c r="C498" s="7">
        <v>1</v>
      </c>
      <c r="D498" s="39" t="s">
        <v>2557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1"/>
        <v>0.6</v>
      </c>
      <c r="S498" s="18">
        <f t="shared" si="74"/>
        <v>0.6</v>
      </c>
      <c r="T498" s="19">
        <f t="shared" si="82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0.6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4512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0.6</v>
      </c>
      <c r="AV498" s="37">
        <f t="shared" si="86"/>
        <v>0.6</v>
      </c>
      <c r="AW498" s="37"/>
    </row>
    <row r="499" spans="1:49" ht="15.75" customHeight="1" x14ac:dyDescent="0.25">
      <c r="A499" s="6" t="s">
        <v>4366</v>
      </c>
      <c r="B499" s="21"/>
      <c r="C499" s="7">
        <v>1</v>
      </c>
      <c r="D499" s="39" t="s">
        <v>4369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0.4</v>
      </c>
      <c r="S499" s="18">
        <f t="shared" si="74"/>
        <v>0.4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4512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0.4</v>
      </c>
      <c r="AV499" s="37">
        <f t="shared" si="86"/>
        <v>0.4</v>
      </c>
      <c r="AW499" s="37"/>
    </row>
    <row r="500" spans="1:49" ht="15.75" customHeight="1" x14ac:dyDescent="0.25">
      <c r="A500" s="6" t="s">
        <v>4366</v>
      </c>
      <c r="B500" s="21"/>
      <c r="C500" s="7">
        <v>1</v>
      </c>
      <c r="D500" s="39" t="s">
        <v>4370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9</v>
      </c>
      <c r="S500" s="18">
        <f t="shared" si="74"/>
        <v>9</v>
      </c>
      <c r="T500" s="19">
        <f t="shared" si="82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9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4512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9</v>
      </c>
      <c r="AV500" s="37">
        <f t="shared" si="86"/>
        <v>9</v>
      </c>
      <c r="AW500" s="37"/>
    </row>
    <row r="501" spans="1:49" ht="15.75" customHeight="1" x14ac:dyDescent="0.25">
      <c r="A501" s="6" t="s">
        <v>4366</v>
      </c>
      <c r="B501" s="21"/>
      <c r="C501" s="7">
        <v>2</v>
      </c>
      <c r="D501" s="39" t="s">
        <v>4371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2550</v>
      </c>
      <c r="K501" s="8" t="s">
        <v>31</v>
      </c>
      <c r="L501" s="9" t="s">
        <v>2551</v>
      </c>
      <c r="M501" s="10">
        <v>46123</v>
      </c>
      <c r="N501" s="11" t="s">
        <v>38</v>
      </c>
      <c r="O501" s="12"/>
      <c r="P501" s="13"/>
      <c r="Q501" s="14">
        <f>Tabela1[[#This Row],[QTDE/ Fabricação]]-Tabela1[[#This Row],[QTE]]</f>
        <v>-2</v>
      </c>
      <c r="R501" s="18">
        <f t="shared" si="81"/>
        <v>10</v>
      </c>
      <c r="S501" s="18">
        <f t="shared" si="74"/>
        <v>10</v>
      </c>
      <c r="T501" s="19">
        <f t="shared" si="82"/>
        <v>0</v>
      </c>
      <c r="U501" s="16">
        <v>2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10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4512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10</v>
      </c>
      <c r="AV501" s="37">
        <f t="shared" si="86"/>
        <v>10</v>
      </c>
      <c r="AW501" s="37"/>
    </row>
    <row r="502" spans="1:49" ht="15.75" customHeight="1" x14ac:dyDescent="0.25">
      <c r="A502" s="6" t="s">
        <v>4366</v>
      </c>
      <c r="B502" s="21"/>
      <c r="C502" s="7">
        <v>1</v>
      </c>
      <c r="D502" s="39" t="s">
        <v>4372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2550</v>
      </c>
      <c r="K502" s="8" t="s">
        <v>31</v>
      </c>
      <c r="L502" s="9" t="s">
        <v>2551</v>
      </c>
      <c r="M502" s="10">
        <v>46123</v>
      </c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1"/>
        <v>23.4</v>
      </c>
      <c r="S502" s="18">
        <f t="shared" si="74"/>
        <v>23.4</v>
      </c>
      <c r="T502" s="19">
        <f t="shared" si="82"/>
        <v>0</v>
      </c>
      <c r="U502" s="16">
        <v>1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23.4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4512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23.4</v>
      </c>
      <c r="AV502" s="37">
        <f t="shared" si="86"/>
        <v>23.4</v>
      </c>
      <c r="AW502" s="37"/>
    </row>
    <row r="503" spans="1:49" ht="15.75" customHeight="1" x14ac:dyDescent="0.25">
      <c r="A503" s="6" t="s">
        <v>4373</v>
      </c>
      <c r="B503" s="21"/>
      <c r="C503" s="7">
        <v>1</v>
      </c>
      <c r="D503" s="39" t="s">
        <v>4374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51.7</v>
      </c>
      <c r="S503" s="18">
        <f t="shared" si="74"/>
        <v>51.7</v>
      </c>
      <c r="T503" s="19">
        <f t="shared" si="82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4512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51.7</v>
      </c>
      <c r="AV503" s="37">
        <f t="shared" si="86"/>
        <v>51.7</v>
      </c>
      <c r="AW503" s="37"/>
    </row>
    <row r="504" spans="1:49" ht="15.75" customHeight="1" x14ac:dyDescent="0.25">
      <c r="A504" s="6" t="s">
        <v>4375</v>
      </c>
      <c r="B504" s="21"/>
      <c r="C504" s="7">
        <v>1</v>
      </c>
      <c r="D504" s="39" t="s">
        <v>4376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1"/>
        <v>232.8</v>
      </c>
      <c r="S504" s="18">
        <f t="shared" si="74"/>
        <v>232.8</v>
      </c>
      <c r="T504" s="19">
        <f t="shared" si="82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4512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232.8</v>
      </c>
      <c r="AV504" s="37">
        <f t="shared" si="86"/>
        <v>232.8</v>
      </c>
      <c r="AW504" s="37"/>
    </row>
    <row r="505" spans="1:49" ht="15.75" customHeight="1" x14ac:dyDescent="0.25">
      <c r="A505" s="6" t="s">
        <v>4377</v>
      </c>
      <c r="B505" s="21"/>
      <c r="C505" s="7">
        <v>2</v>
      </c>
      <c r="D505" s="39" t="s">
        <v>4378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1"/>
        <v>62</v>
      </c>
      <c r="S505" s="18">
        <f t="shared" si="74"/>
        <v>62</v>
      </c>
      <c r="T505" s="19">
        <f t="shared" si="82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62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4512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62</v>
      </c>
      <c r="AV505" s="37">
        <f t="shared" si="86"/>
        <v>62</v>
      </c>
      <c r="AW505" s="37"/>
    </row>
    <row r="506" spans="1:49" ht="15.75" customHeight="1" x14ac:dyDescent="0.25">
      <c r="A506" s="6" t="s">
        <v>4379</v>
      </c>
      <c r="B506" s="21"/>
      <c r="C506" s="7">
        <v>1</v>
      </c>
      <c r="D506" s="39" t="s">
        <v>4380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45.4</v>
      </c>
      <c r="S506" s="18">
        <f t="shared" si="74"/>
        <v>45.4</v>
      </c>
      <c r="T506" s="19">
        <f t="shared" si="82"/>
        <v>0</v>
      </c>
      <c r="U506" s="16">
        <v>1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45.4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4512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45.4</v>
      </c>
      <c r="AV506" s="37">
        <f t="shared" si="86"/>
        <v>45.4</v>
      </c>
      <c r="AW506" s="37"/>
    </row>
    <row r="507" spans="1:49" ht="15.75" customHeight="1" x14ac:dyDescent="0.25">
      <c r="A507" s="6" t="s">
        <v>4381</v>
      </c>
      <c r="B507" s="21"/>
      <c r="C507" s="7">
        <v>2</v>
      </c>
      <c r="D507" s="39" t="s">
        <v>4382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-2</v>
      </c>
      <c r="R507" s="18">
        <f t="shared" si="81"/>
        <v>48</v>
      </c>
      <c r="S507" s="18">
        <f t="shared" si="74"/>
        <v>48</v>
      </c>
      <c r="T507" s="19">
        <f t="shared" si="82"/>
        <v>0</v>
      </c>
      <c r="U507" s="16">
        <v>2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48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4512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48</v>
      </c>
      <c r="AV507" s="37">
        <f t="shared" si="86"/>
        <v>48</v>
      </c>
      <c r="AW507" s="37"/>
    </row>
    <row r="508" spans="1:49" ht="15.75" customHeight="1" x14ac:dyDescent="0.25">
      <c r="A508" s="6" t="s">
        <v>4383</v>
      </c>
      <c r="B508" s="21"/>
      <c r="C508" s="7">
        <v>1</v>
      </c>
      <c r="D508" s="39" t="s">
        <v>4384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28.1</v>
      </c>
      <c r="S508" s="18">
        <f t="shared" si="74"/>
        <v>28.1</v>
      </c>
      <c r="T508" s="19">
        <f t="shared" si="82"/>
        <v>0</v>
      </c>
      <c r="U508" s="16"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28.1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4512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28.1</v>
      </c>
      <c r="AV508" s="37">
        <f t="shared" si="86"/>
        <v>28.1</v>
      </c>
      <c r="AW508" s="37"/>
    </row>
    <row r="509" spans="1:49" ht="15.75" customHeight="1" x14ac:dyDescent="0.25">
      <c r="A509" s="6" t="s">
        <v>4383</v>
      </c>
      <c r="B509" s="21"/>
      <c r="C509" s="7">
        <v>1</v>
      </c>
      <c r="D509" s="39" t="s">
        <v>4385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2.9</v>
      </c>
      <c r="S509" s="18">
        <f t="shared" si="74"/>
        <v>2.9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4512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2.9</v>
      </c>
      <c r="AV509" s="37">
        <f t="shared" si="86"/>
        <v>2.9</v>
      </c>
      <c r="AW509" s="37"/>
    </row>
    <row r="510" spans="1:49" ht="15.75" customHeight="1" x14ac:dyDescent="0.25">
      <c r="A510" s="6" t="s">
        <v>4383</v>
      </c>
      <c r="B510" s="21"/>
      <c r="C510" s="7">
        <v>1</v>
      </c>
      <c r="D510" s="39" t="s">
        <v>4386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1"/>
        <v>3.3</v>
      </c>
      <c r="S510" s="18">
        <f t="shared" ref="S510:S573" si="90">IFERROR(H510*AG510,"")</f>
        <v>3.3</v>
      </c>
      <c r="T510" s="19">
        <f t="shared" si="82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83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4512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4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5"/>
        <v>3.3</v>
      </c>
      <c r="AV510" s="37">
        <f t="shared" si="86"/>
        <v>3.3</v>
      </c>
      <c r="AW510" s="37"/>
    </row>
    <row r="511" spans="1:49" ht="15.75" customHeight="1" x14ac:dyDescent="0.25">
      <c r="A511" s="6" t="s">
        <v>4383</v>
      </c>
      <c r="B511" s="21"/>
      <c r="C511" s="7">
        <v>1</v>
      </c>
      <c r="D511" s="39" t="s">
        <v>4387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81"/>
        <v>0.1</v>
      </c>
      <c r="S511" s="18">
        <f t="shared" si="90"/>
        <v>0.1</v>
      </c>
      <c r="T511" s="19">
        <f t="shared" si="8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8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4512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5"/>
        <v>0.1</v>
      </c>
      <c r="AV511" s="37">
        <f t="shared" si="86"/>
        <v>0.1</v>
      </c>
      <c r="AW511" s="37"/>
    </row>
    <row r="512" spans="1:49" ht="15.75" customHeight="1" x14ac:dyDescent="0.25">
      <c r="A512" s="6" t="s">
        <v>4383</v>
      </c>
      <c r="B512" s="21"/>
      <c r="C512" s="7">
        <v>1</v>
      </c>
      <c r="D512" s="39" t="s">
        <v>4388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81"/>
        <v>0.1</v>
      </c>
      <c r="S512" s="18">
        <f t="shared" si="90"/>
        <v>0.1</v>
      </c>
      <c r="T512" s="19">
        <f t="shared" si="8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8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4512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5"/>
        <v>0.1</v>
      </c>
      <c r="AV512" s="37">
        <f t="shared" si="86"/>
        <v>0.1</v>
      </c>
      <c r="AW512" s="37"/>
    </row>
    <row r="513" spans="1:49" ht="15.75" customHeight="1" x14ac:dyDescent="0.25">
      <c r="A513" s="6" t="s">
        <v>4383</v>
      </c>
      <c r="B513" s="21"/>
      <c r="C513" s="7">
        <v>1</v>
      </c>
      <c r="D513" s="39" t="s">
        <v>4389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ref="R513:R576" si="91">IFERROR(H513*((AA513*0.25)+(AC513*0.25)+(AD513*0.225)+(AE513*0.225)+(AF513*0.05)),"")</f>
        <v>0.1</v>
      </c>
      <c r="S513" s="18">
        <f t="shared" si="90"/>
        <v>0.1</v>
      </c>
      <c r="T513" s="19">
        <f t="shared" ref="T513:T576" si="92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93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4512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4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5">IF(AH513="",0,IF(ISTEXT(AH513),H513*VALUE(SUBSTITUTE(AH513,"%",""))/100,H513*AH513))</f>
        <v>0.1</v>
      </c>
      <c r="AV513" s="37">
        <f t="shared" ref="AV513:AV576" si="96">IF(AG513="",0,IF(ISTEXT(AG513),H513*VALUE(SUBSTITUTE(AG513,"%",""))/100,H513*AG513))</f>
        <v>0.1</v>
      </c>
      <c r="AW513" s="37"/>
    </row>
    <row r="514" spans="1:49" ht="15.75" customHeight="1" x14ac:dyDescent="0.25">
      <c r="A514" s="6" t="s">
        <v>4383</v>
      </c>
      <c r="B514" s="21"/>
      <c r="C514" s="7">
        <v>1</v>
      </c>
      <c r="D514" s="39" t="s">
        <v>4390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91"/>
        <v>0.1</v>
      </c>
      <c r="S514" s="18">
        <f t="shared" si="90"/>
        <v>0.1</v>
      </c>
      <c r="T514" s="19">
        <f t="shared" si="92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4512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0.1</v>
      </c>
      <c r="AV514" s="37">
        <f t="shared" si="96"/>
        <v>0.1</v>
      </c>
      <c r="AW514" s="37"/>
    </row>
    <row r="515" spans="1:49" ht="15.75" customHeight="1" x14ac:dyDescent="0.25">
      <c r="A515" s="6" t="s">
        <v>4383</v>
      </c>
      <c r="B515" s="21"/>
      <c r="C515" s="7">
        <v>1</v>
      </c>
      <c r="D515" s="39" t="s">
        <v>4391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0.1</v>
      </c>
      <c r="S515" s="18">
        <f t="shared" si="90"/>
        <v>0.1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4512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0.1</v>
      </c>
      <c r="AV515" s="37">
        <f t="shared" si="96"/>
        <v>0.1</v>
      </c>
      <c r="AW515" s="37"/>
    </row>
    <row r="516" spans="1:49" ht="15.75" customHeight="1" x14ac:dyDescent="0.25">
      <c r="A516" s="6" t="s">
        <v>4383</v>
      </c>
      <c r="B516" s="21"/>
      <c r="C516" s="7">
        <v>1</v>
      </c>
      <c r="D516" s="39" t="s">
        <v>4392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91"/>
        <v>0.1</v>
      </c>
      <c r="S516" s="18">
        <f t="shared" si="90"/>
        <v>0.1</v>
      </c>
      <c r="T516" s="19">
        <f t="shared" si="92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4512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0.1</v>
      </c>
      <c r="AV516" s="37">
        <f t="shared" si="96"/>
        <v>0.1</v>
      </c>
      <c r="AW516" s="37"/>
    </row>
    <row r="517" spans="1:49" ht="15.75" customHeight="1" x14ac:dyDescent="0.25">
      <c r="A517" s="6" t="s">
        <v>4383</v>
      </c>
      <c r="B517" s="21"/>
      <c r="C517" s="7">
        <v>2</v>
      </c>
      <c r="D517" s="39" t="s">
        <v>4393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-2</v>
      </c>
      <c r="R517" s="18">
        <f t="shared" si="91"/>
        <v>0.2</v>
      </c>
      <c r="S517" s="18">
        <f t="shared" si="90"/>
        <v>0.2</v>
      </c>
      <c r="T517" s="19">
        <f t="shared" si="92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4512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0.2</v>
      </c>
      <c r="AV517" s="37">
        <f t="shared" si="96"/>
        <v>0.2</v>
      </c>
      <c r="AW517" s="37"/>
    </row>
    <row r="518" spans="1:49" ht="15.75" customHeight="1" x14ac:dyDescent="0.25">
      <c r="A518" s="6" t="s">
        <v>4394</v>
      </c>
      <c r="B518" s="21"/>
      <c r="C518" s="7">
        <v>1</v>
      </c>
      <c r="D518" s="39" t="s">
        <v>4395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-1</v>
      </c>
      <c r="R518" s="18">
        <f t="shared" si="91"/>
        <v>2.4</v>
      </c>
      <c r="S518" s="18">
        <f t="shared" si="90"/>
        <v>2.4</v>
      </c>
      <c r="T518" s="19">
        <f t="shared" si="92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4512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2.4</v>
      </c>
      <c r="AV518" s="37">
        <f t="shared" si="96"/>
        <v>2.4</v>
      </c>
      <c r="AW518" s="37"/>
    </row>
    <row r="519" spans="1:49" ht="15.75" customHeight="1" x14ac:dyDescent="0.25">
      <c r="A519" s="6" t="s">
        <v>4396</v>
      </c>
      <c r="B519" s="21"/>
      <c r="C519" s="7">
        <v>4</v>
      </c>
      <c r="D519" s="39" t="s">
        <v>4397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-4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4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4512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customHeight="1" x14ac:dyDescent="0.25">
      <c r="A520" s="6" t="s">
        <v>4398</v>
      </c>
      <c r="B520" s="21"/>
      <c r="C520" s="7">
        <v>4</v>
      </c>
      <c r="D520" s="39" t="s">
        <v>4399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-4</v>
      </c>
      <c r="R520" s="18">
        <f t="shared" si="91"/>
        <v>16.399999999999999</v>
      </c>
      <c r="S520" s="18">
        <f t="shared" si="90"/>
        <v>16.399999999999999</v>
      </c>
      <c r="T520" s="19">
        <f t="shared" si="92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4512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16.399999999999999</v>
      </c>
      <c r="AV520" s="37">
        <f t="shared" si="96"/>
        <v>16.399999999999999</v>
      </c>
      <c r="AW520" s="37"/>
    </row>
    <row r="521" spans="1:49" ht="15.75" customHeight="1" x14ac:dyDescent="0.25">
      <c r="A521" s="6" t="s">
        <v>2558</v>
      </c>
      <c r="B521" s="21"/>
      <c r="C521" s="7">
        <v>2</v>
      </c>
      <c r="D521" s="39" t="s">
        <v>2559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852</v>
      </c>
      <c r="S521" s="18">
        <f t="shared" si="90"/>
        <v>852</v>
      </c>
      <c r="T521" s="19">
        <f t="shared" si="92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4512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852</v>
      </c>
      <c r="AV521" s="37">
        <f t="shared" si="96"/>
        <v>852</v>
      </c>
      <c r="AW521" s="37"/>
    </row>
    <row r="522" spans="1:49" ht="15.75" customHeight="1" x14ac:dyDescent="0.25">
      <c r="A522" s="6" t="s">
        <v>4400</v>
      </c>
      <c r="B522" s="21"/>
      <c r="C522" s="7">
        <v>1</v>
      </c>
      <c r="D522" s="39" t="s">
        <v>4401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-1</v>
      </c>
      <c r="R522" s="18">
        <f t="shared" si="91"/>
        <v>24</v>
      </c>
      <c r="S522" s="18">
        <f t="shared" si="90"/>
        <v>24</v>
      </c>
      <c r="T522" s="19">
        <f t="shared" si="92"/>
        <v>0</v>
      </c>
      <c r="U522" s="16">
        <v>1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24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4512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24</v>
      </c>
      <c r="AV522" s="37">
        <f t="shared" si="96"/>
        <v>24</v>
      </c>
      <c r="AW522" s="37"/>
    </row>
    <row r="523" spans="1:49" ht="15.75" customHeight="1" x14ac:dyDescent="0.25">
      <c r="A523" s="6" t="s">
        <v>4400</v>
      </c>
      <c r="B523" s="21"/>
      <c r="C523" s="7">
        <v>1</v>
      </c>
      <c r="D523" s="39" t="s">
        <v>4402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20</v>
      </c>
      <c r="S523" s="18">
        <f t="shared" si="90"/>
        <v>20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20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4512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20</v>
      </c>
      <c r="AV523" s="37">
        <f t="shared" si="96"/>
        <v>20</v>
      </c>
      <c r="AW523" s="37"/>
    </row>
    <row r="524" spans="1:49" ht="15.75" customHeight="1" x14ac:dyDescent="0.25">
      <c r="A524" s="6" t="s">
        <v>4400</v>
      </c>
      <c r="B524" s="21"/>
      <c r="C524" s="7">
        <v>2</v>
      </c>
      <c r="D524" s="39" t="s">
        <v>4403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6</v>
      </c>
      <c r="S524" s="18">
        <f t="shared" si="90"/>
        <v>6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6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4512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6</v>
      </c>
      <c r="AV524" s="37">
        <f t="shared" si="96"/>
        <v>6</v>
      </c>
      <c r="AW524" s="37"/>
    </row>
    <row r="525" spans="1:49" ht="15.75" customHeight="1" x14ac:dyDescent="0.25">
      <c r="A525" s="6" t="s">
        <v>4400</v>
      </c>
      <c r="B525" s="21"/>
      <c r="C525" s="7">
        <v>2</v>
      </c>
      <c r="D525" s="39" t="s">
        <v>4404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6</v>
      </c>
      <c r="S525" s="18">
        <f t="shared" si="90"/>
        <v>6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6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4512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6</v>
      </c>
      <c r="AV525" s="37">
        <f t="shared" si="96"/>
        <v>6</v>
      </c>
      <c r="AW525" s="37"/>
    </row>
    <row r="526" spans="1:49" ht="15.75" customHeight="1" x14ac:dyDescent="0.25">
      <c r="A526" s="6" t="s">
        <v>4400</v>
      </c>
      <c r="B526" s="21"/>
      <c r="C526" s="7">
        <v>1</v>
      </c>
      <c r="D526" s="39" t="s">
        <v>4405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-1</v>
      </c>
      <c r="R526" s="18">
        <f t="shared" si="91"/>
        <v>0.2</v>
      </c>
      <c r="S526" s="18">
        <f t="shared" si="90"/>
        <v>0.2</v>
      </c>
      <c r="T526" s="19">
        <f t="shared" si="92"/>
        <v>0</v>
      </c>
      <c r="U526" s="16">
        <v>1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0.2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4512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0.2</v>
      </c>
      <c r="AV526" s="37">
        <f t="shared" si="96"/>
        <v>0.2</v>
      </c>
      <c r="AW526" s="37"/>
    </row>
    <row r="527" spans="1:49" ht="15.75" customHeight="1" x14ac:dyDescent="0.25">
      <c r="A527" s="6" t="s">
        <v>4400</v>
      </c>
      <c r="B527" s="21"/>
      <c r="C527" s="7">
        <v>2</v>
      </c>
      <c r="D527" s="39" t="s">
        <v>4406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0.4</v>
      </c>
      <c r="S527" s="18">
        <f t="shared" si="90"/>
        <v>0.4</v>
      </c>
      <c r="T527" s="19">
        <f t="shared" si="92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0.4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4512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0.4</v>
      </c>
      <c r="AV527" s="37">
        <f t="shared" si="96"/>
        <v>0.4</v>
      </c>
      <c r="AW527" s="37"/>
    </row>
    <row r="528" spans="1:49" ht="15.75" customHeight="1" x14ac:dyDescent="0.25">
      <c r="A528" s="6" t="s">
        <v>4400</v>
      </c>
      <c r="B528" s="21"/>
      <c r="C528" s="7">
        <v>2</v>
      </c>
      <c r="D528" s="39" t="s">
        <v>4407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91"/>
        <v>0.4</v>
      </c>
      <c r="S528" s="18">
        <f t="shared" si="90"/>
        <v>0.4</v>
      </c>
      <c r="T528" s="19">
        <f t="shared" si="92"/>
        <v>0</v>
      </c>
      <c r="U528" s="16">
        <v>2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0.4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4512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0.4</v>
      </c>
      <c r="AV528" s="37">
        <f t="shared" si="96"/>
        <v>0.4</v>
      </c>
      <c r="AW528" s="37"/>
    </row>
    <row r="529" spans="1:49" ht="15.75" customHeight="1" x14ac:dyDescent="0.25">
      <c r="A529" s="6" t="s">
        <v>4400</v>
      </c>
      <c r="B529" s="21"/>
      <c r="C529" s="7">
        <v>2</v>
      </c>
      <c r="D529" s="39" t="s">
        <v>4408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-2</v>
      </c>
      <c r="R529" s="18">
        <f t="shared" si="91"/>
        <v>28.4</v>
      </c>
      <c r="S529" s="18">
        <f t="shared" si="90"/>
        <v>28.4</v>
      </c>
      <c r="T529" s="19">
        <f t="shared" si="92"/>
        <v>0</v>
      </c>
      <c r="U529" s="16">
        <v>2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28.4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4512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28.4</v>
      </c>
      <c r="AV529" s="37">
        <f t="shared" si="96"/>
        <v>28.4</v>
      </c>
      <c r="AW529" s="37"/>
    </row>
    <row r="530" spans="1:49" ht="15.75" customHeight="1" x14ac:dyDescent="0.25">
      <c r="A530" s="6" t="s">
        <v>2560</v>
      </c>
      <c r="B530" s="21"/>
      <c r="C530" s="7">
        <v>2</v>
      </c>
      <c r="D530" s="39" t="s">
        <v>2561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-2</v>
      </c>
      <c r="R530" s="18">
        <f t="shared" si="91"/>
        <v>143.19999999999999</v>
      </c>
      <c r="S530" s="18">
        <f t="shared" si="90"/>
        <v>143.19999999999999</v>
      </c>
      <c r="T530" s="19">
        <f t="shared" si="92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4512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143.19999999999999</v>
      </c>
      <c r="AV530" s="37">
        <f t="shared" si="96"/>
        <v>143.19999999999999</v>
      </c>
      <c r="AW530" s="37"/>
    </row>
    <row r="531" spans="1:49" ht="15.75" customHeight="1" x14ac:dyDescent="0.25">
      <c r="A531" s="6" t="s">
        <v>4409</v>
      </c>
      <c r="B531" s="21"/>
      <c r="C531" s="7">
        <v>1</v>
      </c>
      <c r="D531" s="39" t="s">
        <v>4410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24</v>
      </c>
      <c r="S531" s="18">
        <f t="shared" si="90"/>
        <v>24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24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4512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24</v>
      </c>
      <c r="AV531" s="37">
        <f t="shared" si="96"/>
        <v>24</v>
      </c>
      <c r="AW531" s="37"/>
    </row>
    <row r="532" spans="1:49" ht="15.75" customHeight="1" x14ac:dyDescent="0.25">
      <c r="A532" s="6" t="s">
        <v>4409</v>
      </c>
      <c r="B532" s="21"/>
      <c r="C532" s="7">
        <v>1</v>
      </c>
      <c r="D532" s="39" t="s">
        <v>4402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91"/>
        <v>27</v>
      </c>
      <c r="S532" s="18">
        <f t="shared" si="90"/>
        <v>27</v>
      </c>
      <c r="T532" s="19">
        <f t="shared" si="92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27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4512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27</v>
      </c>
      <c r="AV532" s="37">
        <f t="shared" si="96"/>
        <v>27</v>
      </c>
      <c r="AW532" s="37"/>
    </row>
    <row r="533" spans="1:49" ht="15.75" customHeight="1" x14ac:dyDescent="0.25">
      <c r="A533" s="6" t="s">
        <v>4409</v>
      </c>
      <c r="B533" s="21"/>
      <c r="C533" s="7">
        <v>1</v>
      </c>
      <c r="D533" s="39" t="s">
        <v>4411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1.5</v>
      </c>
      <c r="S533" s="18">
        <f t="shared" si="90"/>
        <v>1.5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1.5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4512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1.5</v>
      </c>
      <c r="AV533" s="37">
        <f t="shared" si="96"/>
        <v>1.5</v>
      </c>
      <c r="AW533" s="37"/>
    </row>
    <row r="534" spans="1:49" ht="15.75" customHeight="1" x14ac:dyDescent="0.25">
      <c r="A534" s="6" t="s">
        <v>4409</v>
      </c>
      <c r="B534" s="21"/>
      <c r="C534" s="7">
        <v>1</v>
      </c>
      <c r="D534" s="39" t="s">
        <v>4403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1.5</v>
      </c>
      <c r="S534" s="18">
        <f t="shared" si="90"/>
        <v>1.5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1.5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4512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1.5</v>
      </c>
      <c r="AV534" s="37">
        <f t="shared" si="96"/>
        <v>1.5</v>
      </c>
      <c r="AW534" s="37"/>
    </row>
    <row r="535" spans="1:49" ht="15.75" customHeight="1" x14ac:dyDescent="0.25">
      <c r="A535" s="6" t="s">
        <v>4409</v>
      </c>
      <c r="B535" s="21"/>
      <c r="C535" s="7">
        <v>2</v>
      </c>
      <c r="D535" s="39" t="s">
        <v>4404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-2</v>
      </c>
      <c r="R535" s="18">
        <f t="shared" si="91"/>
        <v>6</v>
      </c>
      <c r="S535" s="18">
        <f t="shared" si="90"/>
        <v>6</v>
      </c>
      <c r="T535" s="19">
        <f t="shared" si="92"/>
        <v>0</v>
      </c>
      <c r="U535" s="16">
        <v>2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6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4512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6</v>
      </c>
      <c r="AV535" s="37">
        <f t="shared" si="96"/>
        <v>6</v>
      </c>
      <c r="AW535" s="37"/>
    </row>
    <row r="536" spans="1:49" ht="15.75" customHeight="1" x14ac:dyDescent="0.25">
      <c r="A536" s="6" t="s">
        <v>4409</v>
      </c>
      <c r="B536" s="21"/>
      <c r="C536" s="7">
        <v>1</v>
      </c>
      <c r="D536" s="39" t="s">
        <v>4412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4512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customHeight="1" x14ac:dyDescent="0.25">
      <c r="A537" s="6" t="s">
        <v>4409</v>
      </c>
      <c r="B537" s="21"/>
      <c r="C537" s="7">
        <v>1</v>
      </c>
      <c r="D537" s="39" t="s">
        <v>4405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91"/>
        <v>0.2</v>
      </c>
      <c r="S537" s="18">
        <f t="shared" si="90"/>
        <v>0.2</v>
      </c>
      <c r="T537" s="19">
        <f t="shared" si="92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4512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0.2</v>
      </c>
      <c r="AV537" s="37">
        <f t="shared" si="96"/>
        <v>0.2</v>
      </c>
      <c r="AW537" s="37"/>
    </row>
    <row r="538" spans="1:49" ht="15.75" customHeight="1" x14ac:dyDescent="0.25">
      <c r="A538" s="6" t="s">
        <v>4409</v>
      </c>
      <c r="B538" s="21"/>
      <c r="C538" s="7">
        <v>1</v>
      </c>
      <c r="D538" s="39" t="s">
        <v>4406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4512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customHeight="1" x14ac:dyDescent="0.25">
      <c r="A539" s="6" t="s">
        <v>4409</v>
      </c>
      <c r="B539" s="21"/>
      <c r="C539" s="7">
        <v>1</v>
      </c>
      <c r="D539" s="39" t="s">
        <v>4407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91"/>
        <v>0.1</v>
      </c>
      <c r="S539" s="18">
        <f t="shared" si="90"/>
        <v>0.1</v>
      </c>
      <c r="T539" s="19">
        <f t="shared" si="92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4512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0.1</v>
      </c>
      <c r="AV539" s="37">
        <f t="shared" si="96"/>
        <v>0.1</v>
      </c>
      <c r="AW539" s="37"/>
    </row>
    <row r="540" spans="1:49" ht="15.75" customHeight="1" x14ac:dyDescent="0.25">
      <c r="A540" s="6" t="s">
        <v>4409</v>
      </c>
      <c r="B540" s="21"/>
      <c r="C540" s="7">
        <v>2</v>
      </c>
      <c r="D540" s="39" t="s">
        <v>4408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91"/>
        <v>14.2</v>
      </c>
      <c r="S540" s="18">
        <f t="shared" si="90"/>
        <v>14.2</v>
      </c>
      <c r="T540" s="19">
        <f t="shared" si="92"/>
        <v>0</v>
      </c>
      <c r="U540" s="16">
        <v>2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14.2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4512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14.2</v>
      </c>
      <c r="AV540" s="37">
        <f t="shared" si="96"/>
        <v>14.2</v>
      </c>
      <c r="AW540" s="37"/>
    </row>
    <row r="541" spans="1:49" ht="15.75" customHeight="1" x14ac:dyDescent="0.25">
      <c r="A541" s="6" t="s">
        <v>4409</v>
      </c>
      <c r="B541" s="21"/>
      <c r="C541" s="7">
        <v>1</v>
      </c>
      <c r="D541" s="39" t="s">
        <v>4413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91"/>
        <v>0.1</v>
      </c>
      <c r="S541" s="18">
        <f t="shared" si="90"/>
        <v>0.1</v>
      </c>
      <c r="T541" s="19">
        <f t="shared" si="92"/>
        <v>0</v>
      </c>
      <c r="U541" s="16">
        <v>1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0.1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4512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0.1</v>
      </c>
      <c r="AV541" s="37">
        <f t="shared" si="96"/>
        <v>0.1</v>
      </c>
      <c r="AW541" s="37"/>
    </row>
    <row r="542" spans="1:49" ht="15.75" customHeight="1" x14ac:dyDescent="0.25">
      <c r="A542" s="6" t="s">
        <v>2562</v>
      </c>
      <c r="B542" s="21"/>
      <c r="C542" s="7">
        <v>2</v>
      </c>
      <c r="D542" s="39" t="s">
        <v>2563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48</v>
      </c>
      <c r="S542" s="18">
        <f t="shared" si="90"/>
        <v>48</v>
      </c>
      <c r="T542" s="19">
        <f t="shared" si="92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4512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48</v>
      </c>
      <c r="AV542" s="37">
        <f t="shared" si="96"/>
        <v>48</v>
      </c>
      <c r="AW542" s="37"/>
    </row>
    <row r="543" spans="1:49" ht="15.75" customHeight="1" x14ac:dyDescent="0.25">
      <c r="A543" s="6" t="s">
        <v>2564</v>
      </c>
      <c r="B543" s="21"/>
      <c r="C543" s="7">
        <v>1</v>
      </c>
      <c r="D543" s="39" t="s">
        <v>2565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</v>
      </c>
      <c r="R543" s="18">
        <f t="shared" si="91"/>
        <v>951.2</v>
      </c>
      <c r="S543" s="18">
        <f t="shared" si="90"/>
        <v>951.2</v>
      </c>
      <c r="T543" s="19">
        <f t="shared" si="92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4512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951.2</v>
      </c>
      <c r="AV543" s="37">
        <f t="shared" si="96"/>
        <v>951.2</v>
      </c>
      <c r="AW543" s="37"/>
    </row>
    <row r="544" spans="1:49" ht="15.75" customHeight="1" x14ac:dyDescent="0.25">
      <c r="A544" s="6" t="s">
        <v>2564</v>
      </c>
      <c r="B544" s="21"/>
      <c r="C544" s="7">
        <v>2</v>
      </c>
      <c r="D544" s="39" t="s">
        <v>2566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-2</v>
      </c>
      <c r="R544" s="18">
        <f t="shared" si="91"/>
        <v>6.8</v>
      </c>
      <c r="S544" s="18">
        <f t="shared" si="90"/>
        <v>6.8</v>
      </c>
      <c r="T544" s="19">
        <f t="shared" si="92"/>
        <v>0</v>
      </c>
      <c r="U544" s="16">
        <v>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6.8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4512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6.8</v>
      </c>
      <c r="AV544" s="37">
        <f t="shared" si="96"/>
        <v>6.8</v>
      </c>
      <c r="AW544" s="37"/>
    </row>
    <row r="545" spans="1:49" ht="15.75" customHeight="1" x14ac:dyDescent="0.25">
      <c r="A545" s="6" t="s">
        <v>2564</v>
      </c>
      <c r="B545" s="21"/>
      <c r="C545" s="7">
        <v>2</v>
      </c>
      <c r="D545" s="39" t="s">
        <v>2567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-2</v>
      </c>
      <c r="R545" s="18">
        <f t="shared" si="91"/>
        <v>6</v>
      </c>
      <c r="S545" s="18">
        <f t="shared" si="90"/>
        <v>6</v>
      </c>
      <c r="T545" s="19">
        <f t="shared" si="92"/>
        <v>0</v>
      </c>
      <c r="U545" s="16">
        <v>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6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4512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6</v>
      </c>
      <c r="AV545" s="37">
        <f t="shared" si="96"/>
        <v>6</v>
      </c>
      <c r="AW545" s="37"/>
    </row>
    <row r="546" spans="1:49" ht="15.75" customHeight="1" x14ac:dyDescent="0.25">
      <c r="A546" s="6" t="s">
        <v>2564</v>
      </c>
      <c r="B546" s="21"/>
      <c r="C546" s="7">
        <v>12</v>
      </c>
      <c r="D546" s="39" t="s">
        <v>2568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-12</v>
      </c>
      <c r="R546" s="18">
        <f t="shared" si="91"/>
        <v>273.60000000000002</v>
      </c>
      <c r="S546" s="18">
        <f t="shared" si="90"/>
        <v>273.60000000000002</v>
      </c>
      <c r="T546" s="19">
        <f t="shared" si="92"/>
        <v>0</v>
      </c>
      <c r="U546" s="16">
        <v>12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273.60000000000002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4512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273.60000000000002</v>
      </c>
      <c r="AV546" s="37">
        <f t="shared" si="96"/>
        <v>273.60000000000002</v>
      </c>
      <c r="AW546" s="37"/>
    </row>
    <row r="547" spans="1:49" ht="15.75" customHeight="1" x14ac:dyDescent="0.25">
      <c r="A547" s="6" t="s">
        <v>2564</v>
      </c>
      <c r="B547" s="21"/>
      <c r="C547" s="7">
        <v>12</v>
      </c>
      <c r="D547" s="39" t="s">
        <v>2569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244.79999999999998</v>
      </c>
      <c r="S547" s="18">
        <f t="shared" si="90"/>
        <v>244.79999999999998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244.79999999999998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4512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244.79999999999998</v>
      </c>
      <c r="AV547" s="37">
        <f t="shared" si="96"/>
        <v>244.79999999999998</v>
      </c>
      <c r="AW547" s="37"/>
    </row>
    <row r="548" spans="1:49" ht="15.75" customHeight="1" x14ac:dyDescent="0.25">
      <c r="A548" s="6" t="s">
        <v>2570</v>
      </c>
      <c r="B548" s="21"/>
      <c r="C548" s="7">
        <v>1</v>
      </c>
      <c r="D548" s="39" t="s">
        <v>2571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</v>
      </c>
      <c r="R548" s="18">
        <f t="shared" si="91"/>
        <v>961</v>
      </c>
      <c r="S548" s="18">
        <f t="shared" si="90"/>
        <v>961</v>
      </c>
      <c r="T548" s="19">
        <f t="shared" si="92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4512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961</v>
      </c>
      <c r="AV548" s="37">
        <f t="shared" si="96"/>
        <v>961</v>
      </c>
      <c r="AW548" s="37"/>
    </row>
    <row r="549" spans="1:49" ht="15.75" customHeight="1" x14ac:dyDescent="0.25">
      <c r="A549" s="6" t="s">
        <v>2570</v>
      </c>
      <c r="B549" s="21"/>
      <c r="C549" s="7">
        <v>4</v>
      </c>
      <c r="D549" s="39" t="s">
        <v>2566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-4</v>
      </c>
      <c r="R549" s="18">
        <f t="shared" si="91"/>
        <v>27.2</v>
      </c>
      <c r="S549" s="18">
        <f t="shared" si="90"/>
        <v>27.2</v>
      </c>
      <c r="T549" s="19">
        <f t="shared" si="92"/>
        <v>0</v>
      </c>
      <c r="U549" s="16">
        <v>4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27.2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4512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27.2</v>
      </c>
      <c r="AV549" s="37">
        <f t="shared" si="96"/>
        <v>27.2</v>
      </c>
      <c r="AW549" s="37"/>
    </row>
    <row r="550" spans="1:49" ht="15.75" customHeight="1" x14ac:dyDescent="0.25">
      <c r="A550" s="6" t="s">
        <v>2570</v>
      </c>
      <c r="B550" s="21"/>
      <c r="C550" s="7">
        <v>12</v>
      </c>
      <c r="D550" s="39" t="s">
        <v>2567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-12</v>
      </c>
      <c r="R550" s="18">
        <f t="shared" si="91"/>
        <v>273.60000000000002</v>
      </c>
      <c r="S550" s="18">
        <f t="shared" si="90"/>
        <v>273.60000000000002</v>
      </c>
      <c r="T550" s="19">
        <f t="shared" si="92"/>
        <v>0</v>
      </c>
      <c r="U550" s="16">
        <v>12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273.60000000000002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4512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273.60000000000002</v>
      </c>
      <c r="AV550" s="37">
        <f t="shared" si="96"/>
        <v>273.60000000000002</v>
      </c>
      <c r="AW550" s="37"/>
    </row>
    <row r="551" spans="1:49" ht="15.75" customHeight="1" x14ac:dyDescent="0.25">
      <c r="A551" s="6" t="s">
        <v>2570</v>
      </c>
      <c r="B551" s="21"/>
      <c r="C551" s="7">
        <v>12</v>
      </c>
      <c r="D551" s="39" t="s">
        <v>2568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-12</v>
      </c>
      <c r="R551" s="18">
        <f t="shared" si="91"/>
        <v>288</v>
      </c>
      <c r="S551" s="18">
        <f t="shared" si="90"/>
        <v>288</v>
      </c>
      <c r="T551" s="19">
        <f t="shared" si="92"/>
        <v>0</v>
      </c>
      <c r="U551" s="16">
        <v>12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288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4512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288</v>
      </c>
      <c r="AV551" s="37">
        <f t="shared" si="96"/>
        <v>288</v>
      </c>
      <c r="AW551" s="37"/>
    </row>
    <row r="552" spans="1:49" ht="15.75" customHeight="1" x14ac:dyDescent="0.25">
      <c r="A552" s="6" t="s">
        <v>2572</v>
      </c>
      <c r="B552" s="21"/>
      <c r="C552" s="7">
        <v>2</v>
      </c>
      <c r="D552" s="39" t="s">
        <v>2573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-2</v>
      </c>
      <c r="R552" s="18">
        <f t="shared" si="91"/>
        <v>3797.4</v>
      </c>
      <c r="S552" s="18">
        <f t="shared" si="90"/>
        <v>3797.4</v>
      </c>
      <c r="T552" s="19">
        <f t="shared" si="92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4512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3797.4</v>
      </c>
      <c r="AV552" s="37">
        <f t="shared" si="96"/>
        <v>3797.4</v>
      </c>
      <c r="AW552" s="37"/>
    </row>
    <row r="553" spans="1:49" ht="15.75" customHeight="1" x14ac:dyDescent="0.25">
      <c r="A553" s="6" t="s">
        <v>2546</v>
      </c>
      <c r="B553" s="21"/>
      <c r="C553" s="7">
        <v>1</v>
      </c>
      <c r="D553" s="39" t="s">
        <v>2547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2550</v>
      </c>
      <c r="K553" s="8" t="s">
        <v>31</v>
      </c>
      <c r="L553" s="9" t="s">
        <v>2551</v>
      </c>
      <c r="M553" s="10">
        <v>46119</v>
      </c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13</v>
      </c>
      <c r="S553" s="18">
        <f t="shared" si="90"/>
        <v>13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4512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13</v>
      </c>
      <c r="AV553" s="37">
        <f t="shared" si="96"/>
        <v>13</v>
      </c>
      <c r="AW553" s="37"/>
    </row>
    <row r="554" spans="1:49" ht="15.75" customHeight="1" x14ac:dyDescent="0.25">
      <c r="A554" s="6" t="s">
        <v>2546</v>
      </c>
      <c r="B554" s="21"/>
      <c r="C554" s="7">
        <v>1</v>
      </c>
      <c r="D554" s="39" t="s">
        <v>2548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2550</v>
      </c>
      <c r="K554" s="8" t="s">
        <v>31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13</v>
      </c>
      <c r="S554" s="18">
        <f t="shared" si="90"/>
        <v>13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13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4512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13</v>
      </c>
      <c r="AV554" s="37">
        <f t="shared" si="96"/>
        <v>13</v>
      </c>
      <c r="AW554" s="37"/>
    </row>
    <row r="555" spans="1:49" ht="15.75" customHeight="1" x14ac:dyDescent="0.25">
      <c r="A555" s="6" t="s">
        <v>2546</v>
      </c>
      <c r="B555" s="21"/>
      <c r="C555" s="7">
        <v>1</v>
      </c>
      <c r="D555" s="39" t="s">
        <v>2549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2550</v>
      </c>
      <c r="K555" s="8" t="s">
        <v>31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6</v>
      </c>
      <c r="S555" s="18">
        <f t="shared" si="90"/>
        <v>6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6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4512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6</v>
      </c>
      <c r="AV555" s="37">
        <f t="shared" si="96"/>
        <v>6</v>
      </c>
      <c r="AW555" s="37"/>
    </row>
    <row r="556" spans="1:49" ht="15.75" hidden="1" customHeight="1" x14ac:dyDescent="0.25">
      <c r="A556" s="6" t="s">
        <v>2555</v>
      </c>
      <c r="B556" s="21" t="s">
        <v>3170</v>
      </c>
      <c r="C556" s="7">
        <v>1</v>
      </c>
      <c r="D556" s="39" t="s">
        <v>2556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91"/>
        <v>192.3</v>
      </c>
      <c r="S556" s="18">
        <f t="shared" si="90"/>
        <v>192.3</v>
      </c>
      <c r="T556" s="19">
        <f t="shared" si="92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192.3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4512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192.3</v>
      </c>
      <c r="AV556" s="37">
        <f t="shared" si="96"/>
        <v>192.3</v>
      </c>
      <c r="AW556" s="37"/>
    </row>
    <row r="557" spans="1:49" ht="15.75" hidden="1" customHeight="1" x14ac:dyDescent="0.25">
      <c r="A557" s="6" t="s">
        <v>2555</v>
      </c>
      <c r="B557" s="21"/>
      <c r="C557" s="7">
        <v>1</v>
      </c>
      <c r="D557" s="39" t="s">
        <v>2981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2550</v>
      </c>
      <c r="K557" s="8" t="s">
        <v>46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4</v>
      </c>
      <c r="S557" s="18">
        <f t="shared" si="90"/>
        <v>4</v>
      </c>
      <c r="T557" s="19">
        <f t="shared" si="92"/>
        <v>0</v>
      </c>
      <c r="U557" s="16">
        <v>1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4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4512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4</v>
      </c>
      <c r="AV557" s="37">
        <f t="shared" si="96"/>
        <v>4</v>
      </c>
      <c r="AW557" s="37"/>
    </row>
    <row r="558" spans="1:49" ht="15.75" hidden="1" customHeight="1" x14ac:dyDescent="0.25">
      <c r="A558" s="6" t="s">
        <v>2555</v>
      </c>
      <c r="B558" s="21"/>
      <c r="C558" s="7">
        <v>1</v>
      </c>
      <c r="D558" s="39" t="s">
        <v>2982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2550</v>
      </c>
      <c r="K558" s="8" t="s">
        <v>46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4</v>
      </c>
      <c r="S558" s="18">
        <f t="shared" si="90"/>
        <v>4</v>
      </c>
      <c r="T558" s="19">
        <f t="shared" si="92"/>
        <v>0</v>
      </c>
      <c r="U558" s="16">
        <v>1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4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4512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4</v>
      </c>
      <c r="AV558" s="37">
        <f t="shared" si="96"/>
        <v>4</v>
      </c>
      <c r="AW558" s="37"/>
    </row>
    <row r="559" spans="1:49" ht="15.75" hidden="1" customHeight="1" x14ac:dyDescent="0.25">
      <c r="A559" s="1" t="s">
        <v>4458</v>
      </c>
      <c r="B559" s="21"/>
      <c r="C559" s="1">
        <v>2</v>
      </c>
      <c r="D559" s="1" t="s">
        <v>4459</v>
      </c>
      <c r="E559" s="7">
        <v>4347</v>
      </c>
      <c r="F559" s="7" t="s">
        <v>4414</v>
      </c>
      <c r="G559" s="1">
        <v>45</v>
      </c>
      <c r="H559" s="34">
        <f>Tabela1[[#This Row],[PESO UNI]]*Tabela1[[#This Row],[QTE]]</f>
        <v>90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-2</v>
      </c>
      <c r="R559" s="18">
        <f t="shared" si="91"/>
        <v>90</v>
      </c>
      <c r="S559" s="18">
        <f t="shared" si="90"/>
        <v>90</v>
      </c>
      <c r="T559" s="19">
        <f t="shared" si="92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4512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90</v>
      </c>
      <c r="AV559" s="37">
        <f t="shared" si="96"/>
        <v>90</v>
      </c>
      <c r="AW559" s="37"/>
    </row>
    <row r="560" spans="1:49" ht="15.75" hidden="1" customHeight="1" x14ac:dyDescent="0.25">
      <c r="A560" s="1" t="s">
        <v>4458</v>
      </c>
      <c r="B560" s="21"/>
      <c r="C560" s="1">
        <v>1</v>
      </c>
      <c r="D560" s="1" t="s">
        <v>4460</v>
      </c>
      <c r="E560" s="7">
        <v>4348</v>
      </c>
      <c r="F560" s="7" t="s">
        <v>4414</v>
      </c>
      <c r="G560" s="1">
        <v>85</v>
      </c>
      <c r="H560" s="34">
        <f>Tabela1[[#This Row],[PESO UNI]]*Tabela1[[#This Row],[QTE]]</f>
        <v>85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85</v>
      </c>
      <c r="S560" s="18">
        <f t="shared" si="90"/>
        <v>85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4512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85</v>
      </c>
      <c r="AV560" s="37">
        <f t="shared" si="96"/>
        <v>85</v>
      </c>
      <c r="AW560" s="37"/>
    </row>
    <row r="561" spans="1:49" ht="15.75" hidden="1" customHeight="1" x14ac:dyDescent="0.25">
      <c r="A561" s="1" t="s">
        <v>4458</v>
      </c>
      <c r="B561" s="21"/>
      <c r="C561" s="1">
        <v>1</v>
      </c>
      <c r="D561" s="1" t="s">
        <v>4461</v>
      </c>
      <c r="E561" s="7">
        <v>4349</v>
      </c>
      <c r="F561" s="7" t="s">
        <v>4414</v>
      </c>
      <c r="G561" s="1">
        <v>65</v>
      </c>
      <c r="H561" s="34">
        <f>Tabela1[[#This Row],[PESO UNI]]*Tabela1[[#This Row],[QTE]]</f>
        <v>65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91"/>
        <v>65</v>
      </c>
      <c r="S561" s="18">
        <f t="shared" si="90"/>
        <v>65</v>
      </c>
      <c r="T561" s="19">
        <f t="shared" si="92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4512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65</v>
      </c>
      <c r="AV561" s="37">
        <f t="shared" si="96"/>
        <v>65</v>
      </c>
      <c r="AW561" s="37"/>
    </row>
    <row r="562" spans="1:49" ht="15.75" hidden="1" customHeight="1" x14ac:dyDescent="0.25">
      <c r="A562" s="1" t="s">
        <v>4462</v>
      </c>
      <c r="B562" s="21"/>
      <c r="C562" s="1">
        <v>1</v>
      </c>
      <c r="D562" s="1" t="s">
        <v>4463</v>
      </c>
      <c r="E562" s="7">
        <v>4350</v>
      </c>
      <c r="F562" s="7" t="s">
        <v>4414</v>
      </c>
      <c r="G562" s="1">
        <v>7.2</v>
      </c>
      <c r="H562" s="34">
        <f>Tabela1[[#This Row],[PESO UNI]]*Tabela1[[#This Row],[QTE]]</f>
        <v>7.2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-1</v>
      </c>
      <c r="R562" s="18">
        <f t="shared" si="91"/>
        <v>7.2</v>
      </c>
      <c r="S562" s="18">
        <f t="shared" si="90"/>
        <v>7.2</v>
      </c>
      <c r="T562" s="19">
        <f t="shared" si="92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4512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7.2</v>
      </c>
      <c r="AV562" s="37">
        <f t="shared" si="96"/>
        <v>7.2</v>
      </c>
      <c r="AW562" s="37"/>
    </row>
    <row r="563" spans="1:49" ht="15.75" hidden="1" customHeight="1" x14ac:dyDescent="0.25">
      <c r="A563" s="1" t="s">
        <v>4394</v>
      </c>
      <c r="B563" s="21"/>
      <c r="C563" s="1">
        <v>1</v>
      </c>
      <c r="D563" s="1" t="s">
        <v>4464</v>
      </c>
      <c r="E563" s="7">
        <v>4351</v>
      </c>
      <c r="F563" s="7" t="s">
        <v>4414</v>
      </c>
      <c r="G563" s="1">
        <v>0.03</v>
      </c>
      <c r="H563" s="34">
        <f>Tabela1[[#This Row],[PESO UNI]]*Tabela1[[#This Row],[QTE]]</f>
        <v>0.03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</v>
      </c>
      <c r="R563" s="18">
        <f t="shared" si="91"/>
        <v>0.03</v>
      </c>
      <c r="S563" s="18">
        <f t="shared" si="90"/>
        <v>0.03</v>
      </c>
      <c r="T563" s="19">
        <f t="shared" si="92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4512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0.03</v>
      </c>
      <c r="AV563" s="37">
        <f t="shared" si="96"/>
        <v>0.03</v>
      </c>
      <c r="AW563" s="37"/>
    </row>
    <row r="564" spans="1:49" ht="15.75" hidden="1" customHeight="1" x14ac:dyDescent="0.25">
      <c r="A564" s="1" t="s">
        <v>4394</v>
      </c>
      <c r="B564" s="21"/>
      <c r="C564" s="1">
        <v>4</v>
      </c>
      <c r="D564" s="1" t="s">
        <v>4465</v>
      </c>
      <c r="E564" s="7">
        <v>4352</v>
      </c>
      <c r="F564" s="7" t="s">
        <v>4414</v>
      </c>
      <c r="G564" s="1">
        <v>0.02</v>
      </c>
      <c r="H564" s="34">
        <f>Tabela1[[#This Row],[PESO UNI]]*Tabela1[[#This Row],[QTE]]</f>
        <v>0.08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</v>
      </c>
      <c r="R564" s="18">
        <f t="shared" si="91"/>
        <v>0.08</v>
      </c>
      <c r="S564" s="18">
        <f t="shared" si="90"/>
        <v>0.08</v>
      </c>
      <c r="T564" s="19">
        <f t="shared" si="92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4512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0.08</v>
      </c>
      <c r="AV564" s="37">
        <f t="shared" si="96"/>
        <v>0.08</v>
      </c>
      <c r="AW564" s="37"/>
    </row>
    <row r="565" spans="1:49" ht="15.75" hidden="1" customHeight="1" x14ac:dyDescent="0.25">
      <c r="A565" s="1" t="s">
        <v>4394</v>
      </c>
      <c r="B565" s="21"/>
      <c r="C565" s="1">
        <v>2</v>
      </c>
      <c r="D565" s="1" t="s">
        <v>4466</v>
      </c>
      <c r="E565" s="7">
        <v>4353</v>
      </c>
      <c r="F565" s="7" t="s">
        <v>4414</v>
      </c>
      <c r="G565" s="1">
        <v>0.02</v>
      </c>
      <c r="H565" s="34">
        <f>Tabela1[[#This Row],[PESO UNI]]*Tabela1[[#This Row],[QTE]]</f>
        <v>0.04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-2</v>
      </c>
      <c r="R565" s="18">
        <f t="shared" si="91"/>
        <v>0.04</v>
      </c>
      <c r="S565" s="18">
        <f t="shared" si="90"/>
        <v>0.04</v>
      </c>
      <c r="T565" s="19">
        <f t="shared" si="92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4512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0.04</v>
      </c>
      <c r="AV565" s="37">
        <f t="shared" si="96"/>
        <v>0.04</v>
      </c>
      <c r="AW565" s="37"/>
    </row>
    <row r="566" spans="1:49" ht="15.75" hidden="1" customHeight="1" x14ac:dyDescent="0.25">
      <c r="A566" s="1" t="s">
        <v>4462</v>
      </c>
      <c r="B566" s="21"/>
      <c r="C566" s="1">
        <v>110</v>
      </c>
      <c r="D566" s="1" t="s">
        <v>4467</v>
      </c>
      <c r="E566" s="7">
        <v>4354</v>
      </c>
      <c r="F566" s="7" t="s">
        <v>4414</v>
      </c>
      <c r="G566" s="1">
        <v>1.55</v>
      </c>
      <c r="H566" s="34">
        <f>Tabela1[[#This Row],[PESO UNI]]*Tabela1[[#This Row],[QTE]]</f>
        <v>170.5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-110</v>
      </c>
      <c r="R566" s="18">
        <f t="shared" si="91"/>
        <v>170.5</v>
      </c>
      <c r="S566" s="18">
        <f t="shared" si="90"/>
        <v>170.5</v>
      </c>
      <c r="T566" s="19">
        <f t="shared" si="92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4512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170.5</v>
      </c>
      <c r="AV566" s="37">
        <f t="shared" si="96"/>
        <v>170.5</v>
      </c>
      <c r="AW566" s="37"/>
    </row>
    <row r="567" spans="1:49" ht="15.75" hidden="1" customHeight="1" x14ac:dyDescent="0.25">
      <c r="A567" s="1" t="s">
        <v>4468</v>
      </c>
      <c r="B567" s="21"/>
      <c r="C567" s="1">
        <v>40</v>
      </c>
      <c r="D567" s="1" t="s">
        <v>4469</v>
      </c>
      <c r="E567" s="7">
        <v>4355</v>
      </c>
      <c r="F567" s="7" t="s">
        <v>4414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91"/>
        <v>11.6</v>
      </c>
      <c r="S567" s="18">
        <f t="shared" si="90"/>
        <v>11.6</v>
      </c>
      <c r="T567" s="19">
        <f t="shared" si="92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4512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11.6</v>
      </c>
      <c r="AV567" s="37">
        <f t="shared" si="96"/>
        <v>11.6</v>
      </c>
      <c r="AW567" s="37"/>
    </row>
    <row r="568" spans="1:49" ht="15.75" hidden="1" customHeight="1" x14ac:dyDescent="0.25">
      <c r="A568" s="1" t="s">
        <v>4468</v>
      </c>
      <c r="B568" s="21"/>
      <c r="C568" s="1">
        <v>40</v>
      </c>
      <c r="D568" s="1" t="s">
        <v>4470</v>
      </c>
      <c r="E568" s="7">
        <v>4356</v>
      </c>
      <c r="F568" s="7" t="s">
        <v>4414</v>
      </c>
      <c r="G568" s="1">
        <v>0.02</v>
      </c>
      <c r="H568" s="34">
        <f>Tabela1[[#This Row],[PESO UNI]]*Tabela1[[#This Row],[QTE]]</f>
        <v>0.8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-40</v>
      </c>
      <c r="R568" s="18">
        <f t="shared" si="91"/>
        <v>0.8</v>
      </c>
      <c r="S568" s="18">
        <f t="shared" si="90"/>
        <v>0.8</v>
      </c>
      <c r="T568" s="19">
        <f t="shared" si="92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4512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0.8</v>
      </c>
      <c r="AV568" s="37">
        <f t="shared" si="96"/>
        <v>0.8</v>
      </c>
      <c r="AW568" s="37"/>
    </row>
    <row r="569" spans="1:49" ht="15.75" hidden="1" customHeight="1" x14ac:dyDescent="0.25">
      <c r="A569" s="1" t="s">
        <v>4468</v>
      </c>
      <c r="B569" s="21"/>
      <c r="C569" s="1">
        <v>40</v>
      </c>
      <c r="D569" s="1" t="s">
        <v>4471</v>
      </c>
      <c r="E569" s="7">
        <v>4357</v>
      </c>
      <c r="F569" s="7" t="s">
        <v>4414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-40</v>
      </c>
      <c r="R569" s="18">
        <f t="shared" si="91"/>
        <v>2.2000000000000002</v>
      </c>
      <c r="S569" s="18">
        <f t="shared" si="90"/>
        <v>2.2000000000000002</v>
      </c>
      <c r="T569" s="19">
        <f t="shared" si="92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4512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2.2000000000000002</v>
      </c>
      <c r="AV569" s="37">
        <f t="shared" si="96"/>
        <v>2.2000000000000002</v>
      </c>
      <c r="AW569" s="37"/>
    </row>
    <row r="570" spans="1:49" ht="15.75" hidden="1" customHeight="1" x14ac:dyDescent="0.25">
      <c r="A570" s="1" t="s">
        <v>4472</v>
      </c>
      <c r="B570" s="21"/>
      <c r="C570" s="1">
        <v>1</v>
      </c>
      <c r="D570" s="1" t="s">
        <v>4473</v>
      </c>
      <c r="E570" s="7">
        <v>4358</v>
      </c>
      <c r="F570" s="7" t="s">
        <v>4414</v>
      </c>
      <c r="G570" s="1">
        <v>6.5</v>
      </c>
      <c r="H570" s="34">
        <f>Tabela1[[#This Row],[PESO UNI]]*Tabela1[[#This Row],[QTE]]</f>
        <v>6.5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</v>
      </c>
      <c r="R570" s="18">
        <f t="shared" si="91"/>
        <v>6.5</v>
      </c>
      <c r="S570" s="18">
        <f t="shared" si="90"/>
        <v>6.5</v>
      </c>
      <c r="T570" s="19">
        <f t="shared" si="92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4512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6.5</v>
      </c>
      <c r="AV570" s="37">
        <f t="shared" si="96"/>
        <v>6.5</v>
      </c>
      <c r="AW570" s="37"/>
    </row>
    <row r="571" spans="1:49" ht="15.75" hidden="1" customHeight="1" x14ac:dyDescent="0.25">
      <c r="A571" s="1" t="s">
        <v>4474</v>
      </c>
      <c r="B571" s="21"/>
      <c r="C571" s="1">
        <v>18</v>
      </c>
      <c r="D571" s="1" t="s">
        <v>4475</v>
      </c>
      <c r="E571" s="7">
        <v>4359</v>
      </c>
      <c r="F571" s="7" t="s">
        <v>4414</v>
      </c>
      <c r="G571" s="1">
        <v>0.02</v>
      </c>
      <c r="H571" s="34">
        <f>Tabela1[[#This Row],[PESO UNI]]*Tabela1[[#This Row],[QTE]]</f>
        <v>0.36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-18</v>
      </c>
      <c r="R571" s="18">
        <f t="shared" si="91"/>
        <v>0.36</v>
      </c>
      <c r="S571" s="18">
        <f t="shared" si="90"/>
        <v>0.36</v>
      </c>
      <c r="T571" s="19">
        <f t="shared" si="92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4512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0.36</v>
      </c>
      <c r="AV571" s="37">
        <f t="shared" si="96"/>
        <v>0.36</v>
      </c>
      <c r="AW571" s="37"/>
    </row>
    <row r="572" spans="1:49" ht="15.75" hidden="1" customHeight="1" x14ac:dyDescent="0.25">
      <c r="A572" s="1" t="s">
        <v>4474</v>
      </c>
      <c r="B572" s="21"/>
      <c r="C572" s="1">
        <v>18</v>
      </c>
      <c r="D572" s="1" t="s">
        <v>4476</v>
      </c>
      <c r="E572" s="7">
        <v>4360</v>
      </c>
      <c r="F572" s="7" t="s">
        <v>4414</v>
      </c>
      <c r="G572" s="1">
        <v>0.03</v>
      </c>
      <c r="H572" s="34">
        <f>Tabela1[[#This Row],[PESO UNI]]*Tabela1[[#This Row],[QTE]]</f>
        <v>0.54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-18</v>
      </c>
      <c r="R572" s="18">
        <f t="shared" si="91"/>
        <v>0.54</v>
      </c>
      <c r="S572" s="18">
        <f t="shared" si="90"/>
        <v>0.54</v>
      </c>
      <c r="T572" s="19">
        <f t="shared" si="92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4512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0.54</v>
      </c>
      <c r="AV572" s="37">
        <f t="shared" si="96"/>
        <v>0.54</v>
      </c>
      <c r="AW572" s="37"/>
    </row>
    <row r="573" spans="1:49" ht="15.75" hidden="1" customHeight="1" x14ac:dyDescent="0.25">
      <c r="A573" s="1" t="s">
        <v>4474</v>
      </c>
      <c r="B573" s="21"/>
      <c r="C573" s="1">
        <v>5</v>
      </c>
      <c r="D573" s="1" t="s">
        <v>4477</v>
      </c>
      <c r="E573" s="7">
        <v>4361</v>
      </c>
      <c r="F573" s="7" t="s">
        <v>4414</v>
      </c>
      <c r="G573" s="1">
        <v>0.02</v>
      </c>
      <c r="H573" s="34">
        <f>Tabela1[[#This Row],[PESO UNI]]*Tabela1[[#This Row],[QTE]]</f>
        <v>0.1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-5</v>
      </c>
      <c r="R573" s="18">
        <f t="shared" si="91"/>
        <v>0.1</v>
      </c>
      <c r="S573" s="18">
        <f t="shared" si="90"/>
        <v>0.1</v>
      </c>
      <c r="T573" s="19">
        <f t="shared" si="92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4512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0.1</v>
      </c>
      <c r="AV573" s="37">
        <f t="shared" si="96"/>
        <v>0.1</v>
      </c>
      <c r="AW573" s="37"/>
    </row>
    <row r="574" spans="1:49" ht="15.75" hidden="1" customHeight="1" x14ac:dyDescent="0.25">
      <c r="A574" s="1" t="s">
        <v>4474</v>
      </c>
      <c r="B574" s="21"/>
      <c r="C574" s="1">
        <v>3</v>
      </c>
      <c r="D574" s="1" t="s">
        <v>4478</v>
      </c>
      <c r="E574" s="7">
        <v>4362</v>
      </c>
      <c r="F574" s="7" t="s">
        <v>4414</v>
      </c>
      <c r="G574" s="1">
        <v>0.04</v>
      </c>
      <c r="H574" s="34">
        <f>Tabela1[[#This Row],[PESO UNI]]*Tabela1[[#This Row],[QTE]]</f>
        <v>0.12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-3</v>
      </c>
      <c r="R574" s="18">
        <f t="shared" si="91"/>
        <v>0.12</v>
      </c>
      <c r="S574" s="18">
        <f t="shared" ref="S574:S607" si="97">IFERROR(H574*AG574,"")</f>
        <v>0.12</v>
      </c>
      <c r="T574" s="19">
        <f t="shared" si="92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93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4512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4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5"/>
        <v>0.12</v>
      </c>
      <c r="AV574" s="37">
        <f t="shared" si="96"/>
        <v>0.12</v>
      </c>
      <c r="AW574" s="37"/>
    </row>
    <row r="575" spans="1:49" ht="15.75" hidden="1" customHeight="1" x14ac:dyDescent="0.25">
      <c r="A575" s="1" t="s">
        <v>4474</v>
      </c>
      <c r="B575" s="21"/>
      <c r="C575" s="1">
        <v>3</v>
      </c>
      <c r="D575" s="1" t="s">
        <v>4479</v>
      </c>
      <c r="E575" s="7">
        <v>4363</v>
      </c>
      <c r="F575" s="7" t="s">
        <v>4414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-3</v>
      </c>
      <c r="R575" s="18">
        <f t="shared" si="91"/>
        <v>0.15000000000000002</v>
      </c>
      <c r="S575" s="18">
        <f t="shared" si="97"/>
        <v>0.15000000000000002</v>
      </c>
      <c r="T575" s="19">
        <f t="shared" si="92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9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4512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5"/>
        <v>0.15000000000000002</v>
      </c>
      <c r="AV575" s="37">
        <f t="shared" si="96"/>
        <v>0.15000000000000002</v>
      </c>
      <c r="AW575" s="37"/>
    </row>
    <row r="576" spans="1:49" ht="15.75" hidden="1" customHeight="1" x14ac:dyDescent="0.25">
      <c r="A576" s="1" t="s">
        <v>4474</v>
      </c>
      <c r="B576" s="21"/>
      <c r="C576" s="1">
        <v>10</v>
      </c>
      <c r="D576" s="1" t="s">
        <v>4480</v>
      </c>
      <c r="E576" s="7">
        <v>4364</v>
      </c>
      <c r="F576" s="7" t="s">
        <v>4414</v>
      </c>
      <c r="G576" s="1">
        <v>0.05</v>
      </c>
      <c r="H576" s="34">
        <f>Tabela1[[#This Row],[PESO UNI]]*Tabela1[[#This Row],[QTE]]</f>
        <v>0.5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-10</v>
      </c>
      <c r="R576" s="18">
        <f t="shared" si="91"/>
        <v>0.5</v>
      </c>
      <c r="S576" s="18">
        <f t="shared" si="97"/>
        <v>0.5</v>
      </c>
      <c r="T576" s="19">
        <f t="shared" si="92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9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4512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5"/>
        <v>0.5</v>
      </c>
      <c r="AV576" s="37">
        <f t="shared" si="96"/>
        <v>0.5</v>
      </c>
      <c r="AW576" s="37"/>
    </row>
    <row r="577" spans="1:49" ht="15.75" hidden="1" customHeight="1" x14ac:dyDescent="0.25">
      <c r="A577" s="1" t="s">
        <v>4474</v>
      </c>
      <c r="B577" s="21"/>
      <c r="C577" s="1">
        <v>10</v>
      </c>
      <c r="D577" s="1" t="s">
        <v>4481</v>
      </c>
      <c r="E577" s="7">
        <v>4365</v>
      </c>
      <c r="F577" s="7" t="s">
        <v>4414</v>
      </c>
      <c r="G577" s="1">
        <v>0.06</v>
      </c>
      <c r="H577" s="34">
        <f>Tabela1[[#This Row],[PESO UNI]]*Tabela1[[#This Row],[QTE]]</f>
        <v>0.6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-10</v>
      </c>
      <c r="R577" s="18">
        <f t="shared" ref="R577:R607" si="98">IFERROR(H577*((AA577*0.25)+(AC577*0.25)+(AD577*0.225)+(AE577*0.225)+(AF577*0.05)),"")</f>
        <v>0.6</v>
      </c>
      <c r="S577" s="18">
        <f t="shared" si="97"/>
        <v>0.6</v>
      </c>
      <c r="T577" s="19">
        <f t="shared" ref="T577:T607" si="99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100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4512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101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102">IF(AH577="",0,IF(ISTEXT(AH577),H577*VALUE(SUBSTITUTE(AH577,"%",""))/100,H577*AH577))</f>
        <v>0.6</v>
      </c>
      <c r="AV577" s="37">
        <f t="shared" ref="AV577:AV607" si="103">IF(AG577="",0,IF(ISTEXT(AG577),H577*VALUE(SUBSTITUTE(AG577,"%",""))/100,H577*AG577))</f>
        <v>0.6</v>
      </c>
      <c r="AW577" s="37"/>
    </row>
    <row r="578" spans="1:49" ht="15.75" hidden="1" customHeight="1" x14ac:dyDescent="0.25">
      <c r="A578" s="1" t="s">
        <v>4474</v>
      </c>
      <c r="B578" s="21"/>
      <c r="C578" s="1">
        <v>2</v>
      </c>
      <c r="D578" s="1" t="s">
        <v>4482</v>
      </c>
      <c r="E578" s="7">
        <v>4366</v>
      </c>
      <c r="F578" s="7" t="s">
        <v>4414</v>
      </c>
      <c r="G578" s="1">
        <v>0.03</v>
      </c>
      <c r="H578" s="34">
        <f>Tabela1[[#This Row],[PESO UNI]]*Tabela1[[#This Row],[QTE]]</f>
        <v>0.06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98"/>
        <v>0.06</v>
      </c>
      <c r="S578" s="18">
        <f t="shared" si="97"/>
        <v>0.06</v>
      </c>
      <c r="T578" s="19">
        <f t="shared" si="99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4512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0.06</v>
      </c>
      <c r="AV578" s="37">
        <f t="shared" si="103"/>
        <v>0.06</v>
      </c>
      <c r="AW578" s="37"/>
    </row>
    <row r="579" spans="1:49" ht="15.75" hidden="1" customHeight="1" x14ac:dyDescent="0.25">
      <c r="A579" s="1" t="s">
        <v>4474</v>
      </c>
      <c r="B579" s="21"/>
      <c r="C579" s="1">
        <v>4</v>
      </c>
      <c r="D579" s="1" t="s">
        <v>4483</v>
      </c>
      <c r="E579" s="7">
        <v>4367</v>
      </c>
      <c r="F579" s="7" t="s">
        <v>4414</v>
      </c>
      <c r="G579" s="1">
        <v>0.04</v>
      </c>
      <c r="H579" s="34">
        <f>Tabela1[[#This Row],[PESO UNI]]*Tabela1[[#This Row],[QTE]]</f>
        <v>0.16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-4</v>
      </c>
      <c r="R579" s="18">
        <f t="shared" si="98"/>
        <v>0.16</v>
      </c>
      <c r="S579" s="18">
        <f t="shared" si="97"/>
        <v>0.16</v>
      </c>
      <c r="T579" s="19">
        <f t="shared" si="99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4512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0.16</v>
      </c>
      <c r="AV579" s="37">
        <f t="shared" si="103"/>
        <v>0.16</v>
      </c>
      <c r="AW579" s="37"/>
    </row>
    <row r="580" spans="1:49" ht="15.75" hidden="1" customHeight="1" x14ac:dyDescent="0.25">
      <c r="A580" s="1" t="s">
        <v>4474</v>
      </c>
      <c r="B580" s="21"/>
      <c r="C580" s="1">
        <v>2</v>
      </c>
      <c r="D580" s="1" t="s">
        <v>4484</v>
      </c>
      <c r="E580" s="7">
        <v>4368</v>
      </c>
      <c r="F580" s="7" t="s">
        <v>4414</v>
      </c>
      <c r="G580" s="1">
        <v>0.02</v>
      </c>
      <c r="H580" s="34">
        <f>Tabela1[[#This Row],[PESO UNI]]*Tabela1[[#This Row],[QTE]]</f>
        <v>0.04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-2</v>
      </c>
      <c r="R580" s="18">
        <f t="shared" si="98"/>
        <v>0.04</v>
      </c>
      <c r="S580" s="18">
        <f t="shared" si="97"/>
        <v>0.04</v>
      </c>
      <c r="T580" s="19">
        <f t="shared" si="99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4512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0.04</v>
      </c>
      <c r="AV580" s="37">
        <f t="shared" si="103"/>
        <v>0.04</v>
      </c>
      <c r="AW580" s="37"/>
    </row>
    <row r="581" spans="1:49" ht="15.75" hidden="1" customHeight="1" x14ac:dyDescent="0.25">
      <c r="A581" s="1" t="s">
        <v>4474</v>
      </c>
      <c r="B581" s="21"/>
      <c r="C581" s="1">
        <v>8</v>
      </c>
      <c r="D581" s="1" t="s">
        <v>4485</v>
      </c>
      <c r="E581" s="7">
        <v>4369</v>
      </c>
      <c r="F581" s="7" t="s">
        <v>4414</v>
      </c>
      <c r="G581" s="1">
        <v>0.04</v>
      </c>
      <c r="H581" s="34">
        <f>Tabela1[[#This Row],[PESO UNI]]*Tabela1[[#This Row],[QTE]]</f>
        <v>0.32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-8</v>
      </c>
      <c r="R581" s="18">
        <f t="shared" si="98"/>
        <v>0.32</v>
      </c>
      <c r="S581" s="18">
        <f t="shared" si="97"/>
        <v>0.32</v>
      </c>
      <c r="T581" s="19">
        <f t="shared" si="99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4512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0.32</v>
      </c>
      <c r="AV581" s="37">
        <f t="shared" si="103"/>
        <v>0.32</v>
      </c>
      <c r="AW581" s="37"/>
    </row>
    <row r="582" spans="1:49" ht="15.75" hidden="1" customHeight="1" x14ac:dyDescent="0.25">
      <c r="A582" s="1" t="s">
        <v>4474</v>
      </c>
      <c r="B582" s="21"/>
      <c r="C582" s="1">
        <v>1</v>
      </c>
      <c r="D582" s="1" t="s">
        <v>4486</v>
      </c>
      <c r="E582" s="7">
        <v>4370</v>
      </c>
      <c r="F582" s="7" t="s">
        <v>4414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</v>
      </c>
      <c r="R582" s="18">
        <f t="shared" si="98"/>
        <v>2.2000000000000002</v>
      </c>
      <c r="S582" s="18">
        <f t="shared" si="97"/>
        <v>2.2000000000000002</v>
      </c>
      <c r="T582" s="19">
        <f t="shared" si="99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4512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2.2000000000000002</v>
      </c>
      <c r="AV582" s="37">
        <f t="shared" si="103"/>
        <v>2.2000000000000002</v>
      </c>
      <c r="AW582" s="37"/>
    </row>
    <row r="583" spans="1:49" ht="15.75" hidden="1" customHeight="1" x14ac:dyDescent="0.25">
      <c r="A583" s="1" t="s">
        <v>4474</v>
      </c>
      <c r="B583" s="21"/>
      <c r="C583" s="1">
        <v>71</v>
      </c>
      <c r="D583" s="1" t="s">
        <v>4487</v>
      </c>
      <c r="E583" s="7">
        <v>4371</v>
      </c>
      <c r="F583" s="7" t="s">
        <v>4414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-71</v>
      </c>
      <c r="R583" s="18">
        <f t="shared" si="98"/>
        <v>9.0169999999999995</v>
      </c>
      <c r="S583" s="18">
        <f t="shared" si="97"/>
        <v>9.0169999999999995</v>
      </c>
      <c r="T583" s="19">
        <f t="shared" si="99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4512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9.0169999999999995</v>
      </c>
      <c r="AV583" s="37">
        <f t="shared" si="103"/>
        <v>9.0169999999999995</v>
      </c>
      <c r="AW583" s="37"/>
    </row>
    <row r="584" spans="1:49" ht="15.75" hidden="1" customHeight="1" x14ac:dyDescent="0.25">
      <c r="A584" s="1" t="s">
        <v>4474</v>
      </c>
      <c r="B584" s="21"/>
      <c r="C584" s="1">
        <v>10</v>
      </c>
      <c r="D584" s="1" t="s">
        <v>4489</v>
      </c>
      <c r="E584" s="7">
        <v>4372</v>
      </c>
      <c r="F584" s="7" t="s">
        <v>4414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-10</v>
      </c>
      <c r="R584" s="18">
        <f t="shared" si="98"/>
        <v>1.4000000000000001</v>
      </c>
      <c r="S584" s="18">
        <f t="shared" si="97"/>
        <v>1.4000000000000001</v>
      </c>
      <c r="T584" s="19">
        <f t="shared" si="99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4512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1.4000000000000001</v>
      </c>
      <c r="AV584" s="37">
        <f t="shared" si="103"/>
        <v>1.4000000000000001</v>
      </c>
      <c r="AW584" s="37"/>
    </row>
    <row r="585" spans="1:49" ht="15.75" hidden="1" customHeight="1" x14ac:dyDescent="0.25">
      <c r="A585" s="1" t="s">
        <v>4474</v>
      </c>
      <c r="B585" s="21"/>
      <c r="C585" s="1">
        <v>18</v>
      </c>
      <c r="D585" s="1" t="s">
        <v>4490</v>
      </c>
      <c r="E585" s="7">
        <v>4373</v>
      </c>
      <c r="F585" s="7" t="s">
        <v>4414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-18</v>
      </c>
      <c r="R585" s="18">
        <f t="shared" si="98"/>
        <v>6.6059999999999999</v>
      </c>
      <c r="S585" s="18">
        <f t="shared" si="97"/>
        <v>6.6059999999999999</v>
      </c>
      <c r="T585" s="19">
        <f t="shared" si="99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4512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6.6059999999999999</v>
      </c>
      <c r="AV585" s="37">
        <f t="shared" si="103"/>
        <v>6.6059999999999999</v>
      </c>
      <c r="AW585" s="37"/>
    </row>
    <row r="586" spans="1:49" ht="15.75" hidden="1" customHeight="1" x14ac:dyDescent="0.25">
      <c r="A586" s="1" t="s">
        <v>4474</v>
      </c>
      <c r="B586" s="21"/>
      <c r="C586" s="1">
        <v>50</v>
      </c>
      <c r="D586" s="1" t="s">
        <v>4491</v>
      </c>
      <c r="E586" s="7">
        <v>4374</v>
      </c>
      <c r="F586" s="7" t="s">
        <v>4414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-50</v>
      </c>
      <c r="R586" s="18">
        <f t="shared" si="98"/>
        <v>28.499999999999996</v>
      </c>
      <c r="S586" s="18">
        <f t="shared" si="97"/>
        <v>28.499999999999996</v>
      </c>
      <c r="T586" s="19">
        <f t="shared" si="99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4512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28.499999999999996</v>
      </c>
      <c r="AV586" s="37">
        <f t="shared" si="103"/>
        <v>28.499999999999996</v>
      </c>
      <c r="AW586" s="37"/>
    </row>
    <row r="587" spans="1:49" ht="15.75" hidden="1" customHeight="1" x14ac:dyDescent="0.25">
      <c r="A587" s="1" t="s">
        <v>4474</v>
      </c>
      <c r="B587" s="21"/>
      <c r="C587" s="1">
        <v>60</v>
      </c>
      <c r="D587" s="1" t="s">
        <v>4492</v>
      </c>
      <c r="E587" s="7">
        <v>4375</v>
      </c>
      <c r="F587" s="7" t="s">
        <v>4414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-60</v>
      </c>
      <c r="R587" s="18">
        <f t="shared" si="98"/>
        <v>9.9960000000000004</v>
      </c>
      <c r="S587" s="18">
        <f t="shared" si="97"/>
        <v>9.9960000000000004</v>
      </c>
      <c r="T587" s="19">
        <f t="shared" si="99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4512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9.9960000000000004</v>
      </c>
      <c r="AV587" s="37">
        <f t="shared" si="103"/>
        <v>9.9960000000000004</v>
      </c>
      <c r="AW587" s="37"/>
    </row>
    <row r="588" spans="1:49" ht="15.75" hidden="1" customHeight="1" x14ac:dyDescent="0.25">
      <c r="A588" s="1" t="s">
        <v>4474</v>
      </c>
      <c r="B588" s="21"/>
      <c r="C588" s="1">
        <v>15</v>
      </c>
      <c r="D588" s="1" t="s">
        <v>4493</v>
      </c>
      <c r="E588" s="7">
        <v>4376</v>
      </c>
      <c r="F588" s="7" t="s">
        <v>4414</v>
      </c>
      <c r="G588" s="1">
        <v>0.16</v>
      </c>
      <c r="H588" s="34">
        <f>Tabela1[[#This Row],[PESO UNI]]*Tabela1[[#This Row],[QTE]]</f>
        <v>2.4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-15</v>
      </c>
      <c r="R588" s="18">
        <f t="shared" si="98"/>
        <v>2.4</v>
      </c>
      <c r="S588" s="18">
        <f t="shared" si="97"/>
        <v>2.4</v>
      </c>
      <c r="T588" s="19">
        <f t="shared" si="99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4512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2.4</v>
      </c>
      <c r="AV588" s="37">
        <f t="shared" si="103"/>
        <v>2.4</v>
      </c>
      <c r="AW588" s="37"/>
    </row>
    <row r="589" spans="1:49" ht="15.75" hidden="1" customHeight="1" x14ac:dyDescent="0.25">
      <c r="A589" s="1" t="s">
        <v>4474</v>
      </c>
      <c r="B589" s="21"/>
      <c r="C589" s="1">
        <v>52</v>
      </c>
      <c r="D589" s="1" t="s">
        <v>4494</v>
      </c>
      <c r="E589" s="7">
        <v>4377</v>
      </c>
      <c r="F589" s="7" t="s">
        <v>4414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-52</v>
      </c>
      <c r="R589" s="18">
        <f t="shared" si="98"/>
        <v>23.192</v>
      </c>
      <c r="S589" s="18">
        <f t="shared" si="97"/>
        <v>23.192</v>
      </c>
      <c r="T589" s="19">
        <f t="shared" si="99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4512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23.192</v>
      </c>
      <c r="AV589" s="37">
        <f t="shared" si="103"/>
        <v>23.192</v>
      </c>
      <c r="AW589" s="37"/>
    </row>
    <row r="590" spans="1:49" ht="15.75" hidden="1" customHeight="1" x14ac:dyDescent="0.25">
      <c r="A590" s="1" t="s">
        <v>4474</v>
      </c>
      <c r="B590" s="21"/>
      <c r="C590" s="1">
        <v>78</v>
      </c>
      <c r="D590" s="1" t="s">
        <v>4495</v>
      </c>
      <c r="E590" s="7">
        <v>4378</v>
      </c>
      <c r="F590" s="7" t="s">
        <v>4414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-78</v>
      </c>
      <c r="R590" s="18">
        <f t="shared" si="98"/>
        <v>11.543999999999999</v>
      </c>
      <c r="S590" s="18">
        <f t="shared" si="97"/>
        <v>11.543999999999999</v>
      </c>
      <c r="T590" s="19">
        <f t="shared" si="99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4512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11.543999999999999</v>
      </c>
      <c r="AV590" s="37">
        <f t="shared" si="103"/>
        <v>11.543999999999999</v>
      </c>
      <c r="AW590" s="37"/>
    </row>
    <row r="591" spans="1:49" ht="15.75" hidden="1" customHeight="1" x14ac:dyDescent="0.25">
      <c r="A591" s="1" t="s">
        <v>4474</v>
      </c>
      <c r="B591" s="21"/>
      <c r="C591" s="1">
        <v>26</v>
      </c>
      <c r="D591" s="1" t="s">
        <v>4496</v>
      </c>
      <c r="E591" s="7">
        <v>4379</v>
      </c>
      <c r="F591" s="7" t="s">
        <v>4414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4.3940000000000001</v>
      </c>
      <c r="S591" s="18">
        <f t="shared" si="97"/>
        <v>4.3940000000000001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4512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4.3940000000000001</v>
      </c>
      <c r="AV591" s="37">
        <f t="shared" si="103"/>
        <v>4.3940000000000001</v>
      </c>
      <c r="AW591" s="37"/>
    </row>
    <row r="592" spans="1:49" ht="15.75" hidden="1" customHeight="1" x14ac:dyDescent="0.25">
      <c r="A592" s="1" t="s">
        <v>4474</v>
      </c>
      <c r="B592" s="21"/>
      <c r="C592" s="1">
        <v>60</v>
      </c>
      <c r="D592" s="1" t="s">
        <v>4497</v>
      </c>
      <c r="E592" s="7">
        <v>4380</v>
      </c>
      <c r="F592" s="7" t="s">
        <v>4414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-60</v>
      </c>
      <c r="R592" s="18">
        <f t="shared" si="98"/>
        <v>39.96</v>
      </c>
      <c r="S592" s="18">
        <f t="shared" si="97"/>
        <v>39.96</v>
      </c>
      <c r="T592" s="19">
        <f t="shared" si="99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4512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39.96</v>
      </c>
      <c r="AV592" s="37">
        <f t="shared" si="103"/>
        <v>39.96</v>
      </c>
      <c r="AW592" s="37"/>
    </row>
    <row r="593" spans="1:49" ht="15.75" hidden="1" customHeight="1" x14ac:dyDescent="0.25">
      <c r="A593" s="1" t="s">
        <v>4474</v>
      </c>
      <c r="B593" s="21"/>
      <c r="C593" s="1">
        <v>52</v>
      </c>
      <c r="D593" s="1" t="s">
        <v>4498</v>
      </c>
      <c r="E593" s="7">
        <v>4381</v>
      </c>
      <c r="F593" s="7" t="s">
        <v>4414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-52</v>
      </c>
      <c r="R593" s="18">
        <f t="shared" si="98"/>
        <v>10.972</v>
      </c>
      <c r="S593" s="18">
        <f t="shared" si="97"/>
        <v>10.972</v>
      </c>
      <c r="T593" s="19">
        <f t="shared" si="99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4512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10.972</v>
      </c>
      <c r="AV593" s="37">
        <f t="shared" si="103"/>
        <v>10.972</v>
      </c>
      <c r="AW593" s="37"/>
    </row>
    <row r="594" spans="1:49" ht="15.75" hidden="1" customHeight="1" x14ac:dyDescent="0.25">
      <c r="A594" s="1" t="s">
        <v>4474</v>
      </c>
      <c r="B594" s="21"/>
      <c r="C594" s="1">
        <v>26</v>
      </c>
      <c r="D594" s="1" t="s">
        <v>4499</v>
      </c>
      <c r="E594" s="7">
        <v>4382</v>
      </c>
      <c r="F594" s="7" t="s">
        <v>4414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-26</v>
      </c>
      <c r="R594" s="18">
        <f t="shared" si="98"/>
        <v>10.997999999999999</v>
      </c>
      <c r="S594" s="18">
        <f t="shared" si="97"/>
        <v>10.997999999999999</v>
      </c>
      <c r="T594" s="19">
        <f t="shared" si="99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4512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10.997999999999999</v>
      </c>
      <c r="AV594" s="37">
        <f t="shared" si="103"/>
        <v>10.997999999999999</v>
      </c>
      <c r="AW594" s="37"/>
    </row>
    <row r="595" spans="1:49" ht="15.75" hidden="1" customHeight="1" x14ac:dyDescent="0.25">
      <c r="A595" s="1" t="s">
        <v>4474</v>
      </c>
      <c r="B595" s="21"/>
      <c r="C595" s="1">
        <v>3</v>
      </c>
      <c r="D595" s="1" t="s">
        <v>4500</v>
      </c>
      <c r="E595" s="7">
        <v>4383</v>
      </c>
      <c r="F595" s="7" t="s">
        <v>4414</v>
      </c>
      <c r="G595" s="1">
        <v>3.5</v>
      </c>
      <c r="H595" s="34">
        <f>Tabela1[[#This Row],[PESO UNI]]*Tabela1[[#This Row],[QTE]]</f>
        <v>10.5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10.5</v>
      </c>
      <c r="S595" s="18">
        <f t="shared" si="97"/>
        <v>10.5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4512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10.5</v>
      </c>
      <c r="AV595" s="37">
        <f t="shared" si="103"/>
        <v>10.5</v>
      </c>
      <c r="AW595" s="37"/>
    </row>
    <row r="596" spans="1:49" ht="15.75" hidden="1" customHeight="1" x14ac:dyDescent="0.25">
      <c r="A596" s="1" t="s">
        <v>4474</v>
      </c>
      <c r="B596" s="21"/>
      <c r="C596" s="1">
        <v>20</v>
      </c>
      <c r="D596" s="1" t="s">
        <v>4501</v>
      </c>
      <c r="E596" s="7">
        <v>4384</v>
      </c>
      <c r="F596" s="7" t="s">
        <v>4414</v>
      </c>
      <c r="G596" s="1">
        <v>0.3</v>
      </c>
      <c r="H596" s="34">
        <f>Tabela1[[#This Row],[PESO UNI]]*Tabela1[[#This Row],[QTE]]</f>
        <v>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-20</v>
      </c>
      <c r="R596" s="18">
        <f t="shared" si="98"/>
        <v>6</v>
      </c>
      <c r="S596" s="18">
        <f t="shared" si="97"/>
        <v>6</v>
      </c>
      <c r="T596" s="19">
        <f t="shared" si="99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4512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6</v>
      </c>
      <c r="AV596" s="37">
        <f t="shared" si="103"/>
        <v>6</v>
      </c>
      <c r="AW596" s="37"/>
    </row>
    <row r="597" spans="1:49" ht="15.75" hidden="1" customHeight="1" x14ac:dyDescent="0.25">
      <c r="A597" s="1" t="s">
        <v>4474</v>
      </c>
      <c r="B597" s="21"/>
      <c r="C597" s="1">
        <v>6</v>
      </c>
      <c r="D597" s="1" t="s">
        <v>4502</v>
      </c>
      <c r="E597" s="7">
        <v>4385</v>
      </c>
      <c r="F597" s="7" t="s">
        <v>4414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98"/>
        <v>0.06</v>
      </c>
      <c r="S597" s="18">
        <f t="shared" si="97"/>
        <v>0.06</v>
      </c>
      <c r="T597" s="19">
        <f t="shared" si="99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4512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0.06</v>
      </c>
      <c r="AV597" s="37">
        <f t="shared" si="103"/>
        <v>0.06</v>
      </c>
      <c r="AW597" s="37"/>
    </row>
    <row r="598" spans="1:49" ht="15.75" hidden="1" customHeight="1" x14ac:dyDescent="0.25">
      <c r="A598" s="1" t="s">
        <v>4474</v>
      </c>
      <c r="B598" s="21"/>
      <c r="C598" s="1">
        <v>3</v>
      </c>
      <c r="D598" s="1" t="s">
        <v>4503</v>
      </c>
      <c r="E598" s="7">
        <v>4386</v>
      </c>
      <c r="F598" s="7" t="s">
        <v>4414</v>
      </c>
      <c r="G598" s="1">
        <v>0.02</v>
      </c>
      <c r="H598" s="34">
        <f>Tabela1[[#This Row],[PESO UNI]]*Tabela1[[#This Row],[QTE]]</f>
        <v>0.06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-3</v>
      </c>
      <c r="R598" s="18">
        <f t="shared" si="98"/>
        <v>0.06</v>
      </c>
      <c r="S598" s="18">
        <f t="shared" si="97"/>
        <v>0.06</v>
      </c>
      <c r="T598" s="19">
        <f t="shared" si="99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4512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0.06</v>
      </c>
      <c r="AV598" s="37">
        <f t="shared" si="103"/>
        <v>0.06</v>
      </c>
      <c r="AW598" s="37"/>
    </row>
    <row r="599" spans="1:49" ht="15.75" hidden="1" customHeight="1" x14ac:dyDescent="0.25">
      <c r="A599" s="1" t="s">
        <v>4474</v>
      </c>
      <c r="B599" s="21"/>
      <c r="C599" s="1">
        <v>6</v>
      </c>
      <c r="D599" s="1" t="s">
        <v>4504</v>
      </c>
      <c r="E599" s="7">
        <v>4387</v>
      </c>
      <c r="F599" s="7" t="s">
        <v>4414</v>
      </c>
      <c r="G599" s="1">
        <v>0.01</v>
      </c>
      <c r="H599" s="34">
        <f>Tabela1[[#This Row],[PESO UNI]]*Tabela1[[#This Row],[QTE]]</f>
        <v>0.06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-6</v>
      </c>
      <c r="R599" s="18">
        <f t="shared" si="98"/>
        <v>0.06</v>
      </c>
      <c r="S599" s="18">
        <f t="shared" si="97"/>
        <v>0.06</v>
      </c>
      <c r="T599" s="19">
        <f t="shared" si="99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4512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0.06</v>
      </c>
      <c r="AV599" s="37">
        <f t="shared" si="103"/>
        <v>0.06</v>
      </c>
      <c r="AW599" s="37"/>
    </row>
    <row r="600" spans="1:49" ht="15.75" hidden="1" customHeight="1" x14ac:dyDescent="0.25">
      <c r="A600" s="1" t="s">
        <v>4474</v>
      </c>
      <c r="B600" s="21"/>
      <c r="C600" s="1">
        <v>15</v>
      </c>
      <c r="D600" s="1" t="s">
        <v>4505</v>
      </c>
      <c r="E600" s="7">
        <v>4388</v>
      </c>
      <c r="F600" s="7" t="s">
        <v>4414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-15</v>
      </c>
      <c r="R600" s="18">
        <f t="shared" si="98"/>
        <v>5.1899999999999995</v>
      </c>
      <c r="S600" s="18">
        <f t="shared" si="97"/>
        <v>5.1899999999999995</v>
      </c>
      <c r="T600" s="19">
        <f t="shared" si="99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4512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5.1899999999999995</v>
      </c>
      <c r="AV600" s="37">
        <f t="shared" si="103"/>
        <v>5.1899999999999995</v>
      </c>
      <c r="AW600" s="37"/>
    </row>
    <row r="601" spans="1:49" ht="15.75" hidden="1" customHeight="1" x14ac:dyDescent="0.25">
      <c r="A601" s="1" t="s">
        <v>4474</v>
      </c>
      <c r="B601" s="21"/>
      <c r="C601" s="1">
        <v>12</v>
      </c>
      <c r="D601" s="1" t="s">
        <v>4506</v>
      </c>
      <c r="E601" s="7">
        <v>4389</v>
      </c>
      <c r="F601" s="7" t="s">
        <v>4414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-12</v>
      </c>
      <c r="R601" s="18">
        <f t="shared" si="98"/>
        <v>1.4040000000000001</v>
      </c>
      <c r="S601" s="18">
        <f t="shared" si="97"/>
        <v>1.4040000000000001</v>
      </c>
      <c r="T601" s="19">
        <f t="shared" si="99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4512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1.4040000000000001</v>
      </c>
      <c r="AV601" s="37">
        <f t="shared" si="103"/>
        <v>1.4040000000000001</v>
      </c>
      <c r="AW601" s="37"/>
    </row>
    <row r="602" spans="1:49" ht="15.75" hidden="1" customHeight="1" x14ac:dyDescent="0.25">
      <c r="A602" s="1" t="s">
        <v>4462</v>
      </c>
      <c r="B602" s="21"/>
      <c r="C602" s="1">
        <v>4</v>
      </c>
      <c r="D602" s="1" t="s">
        <v>4507</v>
      </c>
      <c r="E602" s="7">
        <v>4390</v>
      </c>
      <c r="F602" s="7" t="s">
        <v>4414</v>
      </c>
      <c r="G602" s="1">
        <v>1</v>
      </c>
      <c r="H602" s="34">
        <f>Tabela1[[#This Row],[PESO UNI]]*Tabela1[[#This Row],[QTE]]</f>
        <v>4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-4</v>
      </c>
      <c r="R602" s="18">
        <f t="shared" si="98"/>
        <v>4</v>
      </c>
      <c r="S602" s="18">
        <f t="shared" si="97"/>
        <v>4</v>
      </c>
      <c r="T602" s="19">
        <f t="shared" si="99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4512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4</v>
      </c>
      <c r="AV602" s="37">
        <f t="shared" si="103"/>
        <v>4</v>
      </c>
      <c r="AW602" s="37"/>
    </row>
    <row r="603" spans="1:49" ht="15.75" hidden="1" customHeight="1" x14ac:dyDescent="0.25">
      <c r="A603" s="1" t="s">
        <v>4474</v>
      </c>
      <c r="B603" s="21"/>
      <c r="C603" s="1">
        <v>1</v>
      </c>
      <c r="D603" s="1" t="s">
        <v>4508</v>
      </c>
      <c r="E603" s="7">
        <v>4391</v>
      </c>
      <c r="F603" s="7" t="s">
        <v>4414</v>
      </c>
      <c r="G603" s="1">
        <v>1.2</v>
      </c>
      <c r="H603" s="34">
        <f>Tabela1[[#This Row],[PESO UNI]]*Tabela1[[#This Row],[QTE]]</f>
        <v>1.2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1.2</v>
      </c>
      <c r="S603" s="18">
        <f t="shared" si="97"/>
        <v>1.2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4512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1.2</v>
      </c>
      <c r="AV603" s="37">
        <f t="shared" si="103"/>
        <v>1.2</v>
      </c>
      <c r="AW603" s="37"/>
    </row>
    <row r="604" spans="1:49" ht="15.75" hidden="1" customHeight="1" x14ac:dyDescent="0.25">
      <c r="A604" s="1" t="s">
        <v>4474</v>
      </c>
      <c r="B604" s="21"/>
      <c r="C604" s="1">
        <v>1</v>
      </c>
      <c r="D604" s="1" t="s">
        <v>4450</v>
      </c>
      <c r="E604" s="7">
        <v>4392</v>
      </c>
      <c r="F604" s="7" t="s">
        <v>4414</v>
      </c>
      <c r="G604" s="1">
        <v>2.5</v>
      </c>
      <c r="H604" s="34">
        <f>Tabela1[[#This Row],[PESO UNI]]*Tabela1[[#This Row],[QTE]]</f>
        <v>2.5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2.5</v>
      </c>
      <c r="S604" s="18">
        <f t="shared" si="97"/>
        <v>2.5</v>
      </c>
      <c r="T604" s="19">
        <f t="shared" si="99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100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4512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01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2.5</v>
      </c>
      <c r="AV604" s="37">
        <f t="shared" si="103"/>
        <v>2.5</v>
      </c>
      <c r="AW604" s="37"/>
    </row>
    <row r="605" spans="1:49" ht="15.75" hidden="1" customHeight="1" x14ac:dyDescent="0.25">
      <c r="A605" s="1" t="s">
        <v>4509</v>
      </c>
      <c r="B605" s="21"/>
      <c r="C605" s="1">
        <v>1</v>
      </c>
      <c r="D605" s="1" t="s">
        <v>4510</v>
      </c>
      <c r="E605" s="7">
        <v>4393</v>
      </c>
      <c r="F605" s="7" t="s">
        <v>4414</v>
      </c>
      <c r="G605" s="1">
        <v>120</v>
      </c>
      <c r="H605" s="34">
        <f>Tabela1[[#This Row],[PESO UNI]]*Tabela1[[#This Row],[QTE]]</f>
        <v>120</v>
      </c>
      <c r="I605" s="7"/>
      <c r="J605" s="8" t="s">
        <v>2550</v>
      </c>
      <c r="K605" s="8" t="s">
        <v>45</v>
      </c>
      <c r="L605" s="9" t="s">
        <v>2551</v>
      </c>
      <c r="M605" s="10"/>
      <c r="N605" s="11" t="s">
        <v>38</v>
      </c>
      <c r="O605" s="12"/>
      <c r="P605" s="13"/>
      <c r="Q605" s="14">
        <f>Tabela1[[#This Row],[QTDE/ Fabricação]]-Tabela1[[#This Row],[QTE]]</f>
        <v>-1</v>
      </c>
      <c r="R605" s="18">
        <f t="shared" si="98"/>
        <v>120</v>
      </c>
      <c r="S605" s="18">
        <f t="shared" si="97"/>
        <v>120</v>
      </c>
      <c r="T605" s="19">
        <f t="shared" si="99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100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4512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101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02"/>
        <v>120</v>
      </c>
      <c r="AV605" s="37">
        <f t="shared" si="103"/>
        <v>120</v>
      </c>
      <c r="AW605" s="37"/>
    </row>
    <row r="606" spans="1:49" ht="15.75" hidden="1" customHeight="1" x14ac:dyDescent="0.25">
      <c r="A606" s="1" t="s">
        <v>4509</v>
      </c>
      <c r="B606" s="21"/>
      <c r="C606" s="1">
        <v>1</v>
      </c>
      <c r="D606" s="1" t="s">
        <v>4511</v>
      </c>
      <c r="E606" s="7">
        <v>4394</v>
      </c>
      <c r="F606" s="7" t="s">
        <v>4414</v>
      </c>
      <c r="G606" s="1">
        <v>0.5</v>
      </c>
      <c r="H606" s="34">
        <f>Tabela1[[#This Row],[PESO UNI]]*Tabela1[[#This Row],[QTE]]</f>
        <v>0.5</v>
      </c>
      <c r="I606" s="7"/>
      <c r="J606" s="8" t="s">
        <v>2550</v>
      </c>
      <c r="K606" s="8" t="s">
        <v>45</v>
      </c>
      <c r="L606" s="9" t="s">
        <v>2551</v>
      </c>
      <c r="M606" s="10"/>
      <c r="N606" s="11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98"/>
        <v>0.5</v>
      </c>
      <c r="S606" s="18">
        <f t="shared" si="97"/>
        <v>0.5</v>
      </c>
      <c r="T606" s="19">
        <f t="shared" si="99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100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4512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101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102"/>
        <v>0.5</v>
      </c>
      <c r="AV606" s="37">
        <f t="shared" si="103"/>
        <v>0.5</v>
      </c>
      <c r="AW606" s="37"/>
    </row>
    <row r="607" spans="1:49" ht="15.75" customHeight="1" x14ac:dyDescent="0.25">
      <c r="A607" s="6" t="s">
        <v>4514</v>
      </c>
      <c r="B607" s="21" t="s">
        <v>4515</v>
      </c>
      <c r="C607" s="7">
        <v>1</v>
      </c>
      <c r="D607" s="39" t="s">
        <v>4516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3045</v>
      </c>
      <c r="K607" s="8" t="s">
        <v>31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98"/>
        <v>0</v>
      </c>
      <c r="S607" s="18">
        <f t="shared" si="97"/>
        <v>0</v>
      </c>
      <c r="T607" s="19">
        <f t="shared" si="99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0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4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101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102"/>
        <v>0</v>
      </c>
      <c r="AV607" s="37">
        <f t="shared" si="103"/>
        <v>0</v>
      </c>
      <c r="AW607" s="37"/>
    </row>
    <row r="608" spans="1:49" ht="15.75" customHeight="1" x14ac:dyDescent="0.25">
      <c r="A608" s="1" t="s">
        <v>2552</v>
      </c>
      <c r="B608" s="196"/>
      <c r="C608" s="198">
        <v>47</v>
      </c>
      <c r="D608" s="209" t="s">
        <v>3736</v>
      </c>
      <c r="E608" s="195" t="s">
        <v>4449</v>
      </c>
      <c r="F608" s="198" t="s">
        <v>4414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2550</v>
      </c>
      <c r="K608" s="8" t="s">
        <v>4323</v>
      </c>
      <c r="L608" s="9" t="s">
        <v>2551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:R624" si="105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:T624" si="106">IFERROR(S608-H608,"")</f>
        <v>0</v>
      </c>
      <c r="U608" s="16">
        <v>47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5704.86</v>
      </c>
      <c r="Y608" s="14">
        <f t="shared" ref="Y608:Y624" si="107">U608-C608</f>
        <v>0</v>
      </c>
      <c r="Z608" s="20">
        <f>Tabela1[[#This Row],[PESO TOTAL]]-Tabela1[[#This Row],[Peso Expedido]]</f>
        <v>0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4512</v>
      </c>
      <c r="AQ608" s="203"/>
      <c r="AR608" s="158"/>
      <c r="AS608" s="158"/>
      <c r="AT608" s="158"/>
      <c r="AU608" s="158"/>
      <c r="AV608" s="158"/>
      <c r="AW608" s="158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4396</v>
      </c>
      <c r="F609" s="7">
        <v>37</v>
      </c>
      <c r="G609" s="1">
        <v>1284.3</v>
      </c>
      <c r="H609" s="34">
        <f>Tabela1[[#This Row],[PESO UNI]]*Tabela1[[#This Row],[QTE]]</f>
        <v>1284.3</v>
      </c>
      <c r="I609" s="7">
        <v>0</v>
      </c>
      <c r="J609" s="8" t="s">
        <v>3140</v>
      </c>
      <c r="K609" s="8" t="s">
        <v>4323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ref="S609:S624" si="108">IFERROR(H609*AG609,"")</f>
        <v>0</v>
      </c>
      <c r="T609" s="19">
        <f t="shared" si="106"/>
        <v>-1284.3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1284.3</v>
      </c>
      <c r="AA609" s="17"/>
      <c r="AB609" s="33"/>
      <c r="AC609" s="33"/>
      <c r="AD609" s="33"/>
      <c r="AE609" s="33"/>
      <c r="AF609" s="33"/>
      <c r="AG609" s="33"/>
      <c r="AH609" s="33"/>
      <c r="AI609" s="33" t="s">
        <v>4512</v>
      </c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4522</v>
      </c>
      <c r="B610" s="21" t="s">
        <v>4523</v>
      </c>
      <c r="C610" s="1">
        <v>1</v>
      </c>
      <c r="D610" s="1" t="s">
        <v>4524</v>
      </c>
      <c r="E610" s="7">
        <v>4397</v>
      </c>
      <c r="F610" s="7">
        <v>37</v>
      </c>
      <c r="G610" s="1">
        <v>385.4</v>
      </c>
      <c r="H610" s="34">
        <f>Tabela1[[#This Row],[PESO UNI]]*Tabela1[[#This Row],[QTE]]</f>
        <v>385.4</v>
      </c>
      <c r="I610" s="7">
        <v>0</v>
      </c>
      <c r="J610" s="8" t="s">
        <v>3140</v>
      </c>
      <c r="K610" s="8" t="s">
        <v>4323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-385.4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385.4</v>
      </c>
      <c r="AA610" s="17"/>
      <c r="AB610" s="33"/>
      <c r="AC610" s="33"/>
      <c r="AD610" s="33"/>
      <c r="AE610" s="33"/>
      <c r="AF610" s="33"/>
      <c r="AG610" s="33"/>
      <c r="AH610" s="33"/>
      <c r="AI610" s="33" t="s">
        <v>4512</v>
      </c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4525</v>
      </c>
      <c r="B611" s="21" t="s">
        <v>4526</v>
      </c>
      <c r="C611" s="1">
        <v>1</v>
      </c>
      <c r="D611" s="1" t="s">
        <v>4527</v>
      </c>
      <c r="E611" s="7">
        <v>4398</v>
      </c>
      <c r="F611" s="7">
        <v>37</v>
      </c>
      <c r="G611" s="1">
        <v>159.80000000000001</v>
      </c>
      <c r="H611" s="34">
        <f>Tabela1[[#This Row],[PESO UNI]]*Tabela1[[#This Row],[QTE]]</f>
        <v>159.80000000000001</v>
      </c>
      <c r="I611" s="7">
        <v>0</v>
      </c>
      <c r="J611" s="8" t="s">
        <v>3140</v>
      </c>
      <c r="K611" s="8" t="s">
        <v>4323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-159.80000000000001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159.80000000000001</v>
      </c>
      <c r="AA611" s="17"/>
      <c r="AB611" s="33"/>
      <c r="AC611" s="33"/>
      <c r="AD611" s="33"/>
      <c r="AE611" s="33"/>
      <c r="AF611" s="33"/>
      <c r="AG611" s="33"/>
      <c r="AH611" s="33"/>
      <c r="AI611" s="33" t="s">
        <v>4512</v>
      </c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4525</v>
      </c>
      <c r="B612" s="21" t="s">
        <v>4526</v>
      </c>
      <c r="C612" s="1">
        <v>1</v>
      </c>
      <c r="D612" s="1" t="s">
        <v>4528</v>
      </c>
      <c r="E612" s="7">
        <v>4399</v>
      </c>
      <c r="F612" s="7">
        <v>37</v>
      </c>
      <c r="G612" s="1">
        <v>28.6</v>
      </c>
      <c r="H612" s="34">
        <f>Tabela1[[#This Row],[PESO UNI]]*Tabela1[[#This Row],[QTE]]</f>
        <v>28.6</v>
      </c>
      <c r="I612" s="7">
        <v>0</v>
      </c>
      <c r="J612" s="8" t="s">
        <v>3140</v>
      </c>
      <c r="K612" s="8" t="s">
        <v>4323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-28.6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28.6</v>
      </c>
      <c r="AA612" s="17"/>
      <c r="AB612" s="33"/>
      <c r="AC612" s="33"/>
      <c r="AD612" s="33"/>
      <c r="AE612" s="33"/>
      <c r="AF612" s="33"/>
      <c r="AG612" s="33"/>
      <c r="AH612" s="33"/>
      <c r="AI612" s="33" t="s">
        <v>4512</v>
      </c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4529</v>
      </c>
      <c r="B613" s="21" t="s">
        <v>4530</v>
      </c>
      <c r="C613" s="1">
        <v>1</v>
      </c>
      <c r="D613" s="1" t="s">
        <v>4531</v>
      </c>
      <c r="E613" s="7">
        <v>4400</v>
      </c>
      <c r="F613" s="7">
        <v>37</v>
      </c>
      <c r="G613" s="1">
        <v>126.7</v>
      </c>
      <c r="H613" s="34">
        <f>Tabela1[[#This Row],[PESO UNI]]*Tabela1[[#This Row],[QTE]]</f>
        <v>126.7</v>
      </c>
      <c r="I613" s="7">
        <v>0</v>
      </c>
      <c r="J613" s="8" t="s">
        <v>3140</v>
      </c>
      <c r="K613" s="8" t="s">
        <v>4323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-1</v>
      </c>
      <c r="R613" s="18">
        <f t="shared" si="105"/>
        <v>0</v>
      </c>
      <c r="S613" s="18">
        <f t="shared" si="108"/>
        <v>0</v>
      </c>
      <c r="T613" s="19">
        <f t="shared" si="106"/>
        <v>-126.7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-1</v>
      </c>
      <c r="Z613" s="20">
        <f>Tabela1[[#This Row],[PESO TOTAL]]-Tabela1[[#This Row],[Peso Expedido]]</f>
        <v>126.7</v>
      </c>
      <c r="AA613" s="17"/>
      <c r="AB613" s="33"/>
      <c r="AC613" s="33"/>
      <c r="AD613" s="33"/>
      <c r="AE613" s="33"/>
      <c r="AF613" s="33"/>
      <c r="AG613" s="33"/>
      <c r="AH613" s="33"/>
      <c r="AI613" s="33" t="s">
        <v>4512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4529</v>
      </c>
      <c r="B614" s="21" t="s">
        <v>4530</v>
      </c>
      <c r="C614" s="1">
        <v>1</v>
      </c>
      <c r="D614" s="1" t="s">
        <v>4532</v>
      </c>
      <c r="E614" s="7">
        <v>4401</v>
      </c>
      <c r="F614" s="7">
        <v>37</v>
      </c>
      <c r="G614" s="1">
        <v>126.7</v>
      </c>
      <c r="H614" s="34">
        <f>Tabela1[[#This Row],[PESO UNI]]*Tabela1[[#This Row],[QTE]]</f>
        <v>126.7</v>
      </c>
      <c r="I614" s="7">
        <v>0</v>
      </c>
      <c r="J614" s="8" t="s">
        <v>3140</v>
      </c>
      <c r="K614" s="8" t="s">
        <v>4323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-126.7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126.7</v>
      </c>
      <c r="AA614" s="17"/>
      <c r="AB614" s="33"/>
      <c r="AC614" s="33"/>
      <c r="AD614" s="33"/>
      <c r="AE614" s="33"/>
      <c r="AF614" s="33"/>
      <c r="AG614" s="33"/>
      <c r="AH614" s="33"/>
      <c r="AI614" s="33" t="s">
        <v>4512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4533</v>
      </c>
      <c r="B615" s="21" t="s">
        <v>4534</v>
      </c>
      <c r="C615" s="1">
        <v>1</v>
      </c>
      <c r="D615" s="1" t="s">
        <v>4535</v>
      </c>
      <c r="E615" s="7">
        <v>4402</v>
      </c>
      <c r="F615" s="7">
        <v>37</v>
      </c>
      <c r="G615" s="1">
        <v>100.9</v>
      </c>
      <c r="H615" s="34">
        <f>Tabela1[[#This Row],[PESO UNI]]*Tabela1[[#This Row],[QTE]]</f>
        <v>100.9</v>
      </c>
      <c r="I615" s="7">
        <v>0</v>
      </c>
      <c r="J615" s="8" t="s">
        <v>3140</v>
      </c>
      <c r="K615" s="8" t="s">
        <v>4323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-100.9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100.9</v>
      </c>
      <c r="AA615" s="17"/>
      <c r="AB615" s="33"/>
      <c r="AC615" s="33"/>
      <c r="AD615" s="33"/>
      <c r="AE615" s="33"/>
      <c r="AF615" s="33"/>
      <c r="AG615" s="33"/>
      <c r="AH615" s="33"/>
      <c r="AI615" s="33" t="s">
        <v>4512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4533</v>
      </c>
      <c r="B616" s="21" t="s">
        <v>4534</v>
      </c>
      <c r="C616" s="1">
        <v>2</v>
      </c>
      <c r="D616" s="1" t="s">
        <v>4536</v>
      </c>
      <c r="E616" s="7">
        <v>4403</v>
      </c>
      <c r="F616" s="7">
        <v>37</v>
      </c>
      <c r="G616" s="1">
        <v>83.4</v>
      </c>
      <c r="H616" s="34">
        <f>Tabela1[[#This Row],[PESO UNI]]*Tabela1[[#This Row],[QTE]]</f>
        <v>166.8</v>
      </c>
      <c r="I616" s="7">
        <v>0</v>
      </c>
      <c r="J616" s="8" t="s">
        <v>3140</v>
      </c>
      <c r="K616" s="8" t="s">
        <v>4323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-2</v>
      </c>
      <c r="R616" s="18">
        <f t="shared" si="105"/>
        <v>0</v>
      </c>
      <c r="S616" s="18">
        <f t="shared" si="108"/>
        <v>0</v>
      </c>
      <c r="T616" s="19">
        <f t="shared" si="106"/>
        <v>-166.8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-2</v>
      </c>
      <c r="Z616" s="20">
        <f>Tabela1[[#This Row],[PESO TOTAL]]-Tabela1[[#This Row],[Peso Expedido]]</f>
        <v>166.8</v>
      </c>
      <c r="AA616" s="17"/>
      <c r="AB616" s="33"/>
      <c r="AC616" s="33"/>
      <c r="AD616" s="33"/>
      <c r="AE616" s="33"/>
      <c r="AF616" s="33"/>
      <c r="AG616" s="33"/>
      <c r="AH616" s="33"/>
      <c r="AI616" s="33" t="s">
        <v>4512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4533</v>
      </c>
      <c r="B617" s="21" t="s">
        <v>4534</v>
      </c>
      <c r="C617" s="1">
        <v>1</v>
      </c>
      <c r="D617" s="1" t="s">
        <v>4537</v>
      </c>
      <c r="E617" s="7">
        <v>4404</v>
      </c>
      <c r="F617" s="7">
        <v>37</v>
      </c>
      <c r="G617" s="1">
        <v>120.2</v>
      </c>
      <c r="H617" s="34">
        <f>Tabela1[[#This Row],[PESO UNI]]*Tabela1[[#This Row],[QTE]]</f>
        <v>120.2</v>
      </c>
      <c r="I617" s="7">
        <v>0</v>
      </c>
      <c r="J617" s="8" t="s">
        <v>3140</v>
      </c>
      <c r="K617" s="8" t="s">
        <v>4323</v>
      </c>
      <c r="L617" s="9" t="s">
        <v>2984</v>
      </c>
      <c r="M617" s="10">
        <v>46220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-120.2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120.2</v>
      </c>
      <c r="AA617" s="17"/>
      <c r="AB617" s="33"/>
      <c r="AC617" s="33"/>
      <c r="AD617" s="33"/>
      <c r="AE617" s="33"/>
      <c r="AF617" s="33"/>
      <c r="AG617" s="33"/>
      <c r="AH617" s="33"/>
      <c r="AI617" s="33" t="s">
        <v>4512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4533</v>
      </c>
      <c r="B618" s="21" t="s">
        <v>4534</v>
      </c>
      <c r="C618" s="1">
        <v>1</v>
      </c>
      <c r="D618" s="1" t="s">
        <v>4538</v>
      </c>
      <c r="E618" s="7">
        <v>4405</v>
      </c>
      <c r="F618" s="7">
        <v>37</v>
      </c>
      <c r="G618" s="1">
        <v>63.6</v>
      </c>
      <c r="H618" s="34">
        <f>Tabela1[[#This Row],[PESO UNI]]*Tabela1[[#This Row],[QTE]]</f>
        <v>63.6</v>
      </c>
      <c r="I618" s="7">
        <v>0</v>
      </c>
      <c r="J618" s="8" t="s">
        <v>3140</v>
      </c>
      <c r="K618" s="8" t="s">
        <v>4323</v>
      </c>
      <c r="L618" s="9" t="s">
        <v>2984</v>
      </c>
      <c r="M618" s="10">
        <v>46220</v>
      </c>
      <c r="N618" s="8" t="s">
        <v>38</v>
      </c>
      <c r="O618" s="12"/>
      <c r="P618" s="13"/>
      <c r="Q618" s="14">
        <f>Tabela1[[#This Row],[QTDE/ Fabricação]]-Tabela1[[#This Row],[QTE]]</f>
        <v>-1</v>
      </c>
      <c r="R618" s="18">
        <f t="shared" si="105"/>
        <v>0</v>
      </c>
      <c r="S618" s="18">
        <f t="shared" si="108"/>
        <v>0</v>
      </c>
      <c r="T618" s="19">
        <f t="shared" si="106"/>
        <v>-63.6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-1</v>
      </c>
      <c r="Z618" s="20">
        <f>Tabela1[[#This Row],[PESO TOTAL]]-Tabela1[[#This Row],[Peso Expedido]]</f>
        <v>63.6</v>
      </c>
      <c r="AA618" s="17"/>
      <c r="AB618" s="33"/>
      <c r="AC618" s="33"/>
      <c r="AD618" s="33"/>
      <c r="AE618" s="33"/>
      <c r="AF618" s="33"/>
      <c r="AG618" s="33"/>
      <c r="AH618" s="33"/>
      <c r="AI618" s="33" t="s">
        <v>4512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4533</v>
      </c>
      <c r="B619" s="21" t="s">
        <v>4534</v>
      </c>
      <c r="C619" s="1">
        <v>1</v>
      </c>
      <c r="D619" s="1" t="s">
        <v>4539</v>
      </c>
      <c r="E619" s="7">
        <v>4406</v>
      </c>
      <c r="F619" s="7">
        <v>37</v>
      </c>
      <c r="G619" s="1">
        <v>73.3</v>
      </c>
      <c r="H619" s="34">
        <f>Tabela1[[#This Row],[PESO UNI]]*Tabela1[[#This Row],[QTE]]</f>
        <v>73.3</v>
      </c>
      <c r="I619" s="7">
        <v>0</v>
      </c>
      <c r="J619" s="8" t="s">
        <v>3140</v>
      </c>
      <c r="K619" s="8" t="s">
        <v>4323</v>
      </c>
      <c r="L619" s="9" t="s">
        <v>2984</v>
      </c>
      <c r="M619" s="10">
        <v>46220</v>
      </c>
      <c r="N619" s="8" t="s">
        <v>38</v>
      </c>
      <c r="O619" s="12"/>
      <c r="P619" s="13"/>
      <c r="Q619" s="14">
        <f>Tabela1[[#This Row],[QTDE/ Fabricação]]-Tabela1[[#This Row],[QTE]]</f>
        <v>-1</v>
      </c>
      <c r="R619" s="18">
        <f t="shared" si="105"/>
        <v>0</v>
      </c>
      <c r="S619" s="18">
        <f t="shared" si="108"/>
        <v>0</v>
      </c>
      <c r="T619" s="19">
        <f t="shared" si="106"/>
        <v>-73.3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-1</v>
      </c>
      <c r="Z619" s="20">
        <f>Tabela1[[#This Row],[PESO TOTAL]]-Tabela1[[#This Row],[Peso Expedido]]</f>
        <v>73.3</v>
      </c>
      <c r="AA619" s="17"/>
      <c r="AB619" s="33"/>
      <c r="AC619" s="33"/>
      <c r="AD619" s="33"/>
      <c r="AE619" s="33"/>
      <c r="AF619" s="33"/>
      <c r="AG619" s="33"/>
      <c r="AH619" s="33"/>
      <c r="AI619" s="33" t="s">
        <v>4512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4541</v>
      </c>
      <c r="B620" s="21" t="s">
        <v>4542</v>
      </c>
      <c r="C620" s="1">
        <v>1</v>
      </c>
      <c r="D620" s="1" t="s">
        <v>4543</v>
      </c>
      <c r="E620" s="7">
        <v>4407</v>
      </c>
      <c r="F620" s="7">
        <v>38</v>
      </c>
      <c r="G620" s="1">
        <v>753.9</v>
      </c>
      <c r="H620" s="34">
        <f>Tabela1[[#This Row],[PESO UNI]]*Tabela1[[#This Row],[QTE]]</f>
        <v>753.9</v>
      </c>
      <c r="I620" s="7">
        <v>0</v>
      </c>
      <c r="J620" s="8" t="s">
        <v>3140</v>
      </c>
      <c r="K620" s="8" t="s">
        <v>4323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-1</v>
      </c>
      <c r="R620" s="18">
        <f t="shared" si="105"/>
        <v>0</v>
      </c>
      <c r="S620" s="18">
        <f t="shared" si="108"/>
        <v>0</v>
      </c>
      <c r="T620" s="19">
        <f t="shared" si="106"/>
        <v>-753.9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-1</v>
      </c>
      <c r="Z620" s="20">
        <f>Tabela1[[#This Row],[PESO TOTAL]]-Tabela1[[#This Row],[Peso Expedido]]</f>
        <v>753.9</v>
      </c>
      <c r="AA620" s="17"/>
      <c r="AB620" s="33"/>
      <c r="AC620" s="33"/>
      <c r="AD620" s="33"/>
      <c r="AE620" s="33"/>
      <c r="AF620" s="33"/>
      <c r="AG620" s="33"/>
      <c r="AH620" s="33"/>
      <c r="AI620" s="33" t="s">
        <v>4512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4541</v>
      </c>
      <c r="B621" s="21" t="s">
        <v>4542</v>
      </c>
      <c r="C621" s="1">
        <v>2</v>
      </c>
      <c r="D621" s="1" t="s">
        <v>4544</v>
      </c>
      <c r="E621" s="7">
        <v>4408</v>
      </c>
      <c r="F621" s="7">
        <v>38</v>
      </c>
      <c r="G621" s="1">
        <v>81.099999999999994</v>
      </c>
      <c r="H621" s="34">
        <f>Tabela1[[#This Row],[PESO UNI]]*Tabela1[[#This Row],[QTE]]</f>
        <v>162.19999999999999</v>
      </c>
      <c r="I621" s="7">
        <v>0</v>
      </c>
      <c r="J621" s="8" t="s">
        <v>3140</v>
      </c>
      <c r="K621" s="8" t="s">
        <v>4323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-162.19999999999999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162.19999999999999</v>
      </c>
      <c r="AA621" s="17"/>
      <c r="AB621" s="33"/>
      <c r="AC621" s="33"/>
      <c r="AD621" s="33"/>
      <c r="AE621" s="33"/>
      <c r="AF621" s="33"/>
      <c r="AG621" s="33"/>
      <c r="AH621" s="33"/>
      <c r="AI621" s="33" t="s">
        <v>4512</v>
      </c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4541</v>
      </c>
      <c r="B622" s="21" t="s">
        <v>4542</v>
      </c>
      <c r="C622" s="1">
        <v>2</v>
      </c>
      <c r="D622" s="1" t="s">
        <v>4545</v>
      </c>
      <c r="E622" s="7">
        <v>4409</v>
      </c>
      <c r="F622" s="7">
        <v>38</v>
      </c>
      <c r="G622" s="1">
        <v>51.8</v>
      </c>
      <c r="H622" s="34">
        <f>Tabela1[[#This Row],[PESO UNI]]*Tabela1[[#This Row],[QTE]]</f>
        <v>103.6</v>
      </c>
      <c r="I622" s="7">
        <v>0</v>
      </c>
      <c r="J622" s="8" t="s">
        <v>3140</v>
      </c>
      <c r="K622" s="8" t="s">
        <v>4323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05"/>
        <v>0</v>
      </c>
      <c r="S622" s="18">
        <f t="shared" si="108"/>
        <v>0</v>
      </c>
      <c r="T622" s="19">
        <f t="shared" si="106"/>
        <v>-103.6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07"/>
        <v>-2</v>
      </c>
      <c r="Z622" s="20">
        <f>Tabela1[[#This Row],[PESO TOTAL]]-Tabela1[[#This Row],[Peso Expedido]]</f>
        <v>103.6</v>
      </c>
      <c r="AA622" s="17"/>
      <c r="AB622" s="33"/>
      <c r="AC622" s="33"/>
      <c r="AD622" s="33"/>
      <c r="AE622" s="33"/>
      <c r="AF622" s="33"/>
      <c r="AG622" s="33"/>
      <c r="AH622" s="33"/>
      <c r="AI622" s="33" t="s">
        <v>4512</v>
      </c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4541</v>
      </c>
      <c r="B623" s="21" t="s">
        <v>4542</v>
      </c>
      <c r="C623" s="1">
        <v>2</v>
      </c>
      <c r="D623" s="1" t="s">
        <v>4546</v>
      </c>
      <c r="E623" s="7">
        <v>4410</v>
      </c>
      <c r="F623" s="7">
        <v>38</v>
      </c>
      <c r="G623" s="1">
        <v>2.7</v>
      </c>
      <c r="H623" s="34">
        <f>Tabela1[[#This Row],[PESO UNI]]*Tabela1[[#This Row],[QTE]]</f>
        <v>5.4</v>
      </c>
      <c r="I623" s="7">
        <v>0</v>
      </c>
      <c r="J623" s="8" t="s">
        <v>3140</v>
      </c>
      <c r="K623" s="8" t="s">
        <v>4323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05"/>
        <v>0</v>
      </c>
      <c r="S623" s="18">
        <f t="shared" si="108"/>
        <v>0</v>
      </c>
      <c r="T623" s="19">
        <f t="shared" si="106"/>
        <v>-5.4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07"/>
        <v>-2</v>
      </c>
      <c r="Z623" s="20">
        <f>Tabela1[[#This Row],[PESO TOTAL]]-Tabela1[[#This Row],[Peso Expedido]]</f>
        <v>5.4</v>
      </c>
      <c r="AA623" s="17"/>
      <c r="AB623" s="33"/>
      <c r="AC623" s="33"/>
      <c r="AD623" s="33"/>
      <c r="AE623" s="33"/>
      <c r="AF623" s="33"/>
      <c r="AG623" s="33"/>
      <c r="AH623" s="33"/>
      <c r="AI623" s="33" t="s">
        <v>4512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4541</v>
      </c>
      <c r="B624" s="21" t="s">
        <v>4542</v>
      </c>
      <c r="C624" s="1">
        <v>2</v>
      </c>
      <c r="D624" s="1" t="s">
        <v>4547</v>
      </c>
      <c r="E624" s="7">
        <v>4411</v>
      </c>
      <c r="F624" s="7">
        <v>38</v>
      </c>
      <c r="G624" s="1">
        <v>0.75</v>
      </c>
      <c r="H624" s="34">
        <f>Tabela1[[#This Row],[PESO UNI]]*Tabela1[[#This Row],[QTE]]</f>
        <v>1.5</v>
      </c>
      <c r="I624" s="7">
        <v>0</v>
      </c>
      <c r="J624" s="8" t="s">
        <v>3140</v>
      </c>
      <c r="K624" s="8" t="s">
        <v>4323</v>
      </c>
      <c r="L624" s="9" t="s">
        <v>2984</v>
      </c>
      <c r="M624" s="10">
        <v>46223</v>
      </c>
      <c r="N624" s="8" t="s">
        <v>38</v>
      </c>
      <c r="O624" s="12"/>
      <c r="P624" s="13"/>
      <c r="Q624" s="14">
        <f>Tabela1[[#This Row],[QTDE/ Fabricação]]-Tabela1[[#This Row],[QTE]]</f>
        <v>-2</v>
      </c>
      <c r="R624" s="18">
        <f t="shared" si="105"/>
        <v>0</v>
      </c>
      <c r="S624" s="18">
        <f t="shared" si="108"/>
        <v>0</v>
      </c>
      <c r="T624" s="19">
        <f t="shared" si="106"/>
        <v>-1.5</v>
      </c>
      <c r="U624" s="16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 t="shared" si="107"/>
        <v>-2</v>
      </c>
      <c r="Z624" s="20">
        <f>Tabela1[[#This Row],[PESO TOTAL]]-Tabela1[[#This Row],[Peso Expedido]]</f>
        <v>1.5</v>
      </c>
      <c r="AA624" s="17"/>
      <c r="AB624" s="33"/>
      <c r="AC624" s="33"/>
      <c r="AD624" s="33"/>
      <c r="AE624" s="33"/>
      <c r="AF624" s="33"/>
      <c r="AG624" s="33"/>
      <c r="AH624" s="33"/>
      <c r="AI624" s="33" t="s">
        <v>4512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4541</v>
      </c>
      <c r="B625" s="21" t="s">
        <v>4542</v>
      </c>
      <c r="C625" s="1">
        <v>2</v>
      </c>
      <c r="D625" s="1" t="s">
        <v>4548</v>
      </c>
      <c r="E625" s="7">
        <v>4412</v>
      </c>
      <c r="F625" s="7">
        <v>38</v>
      </c>
      <c r="G625" s="1">
        <v>0.8</v>
      </c>
      <c r="H625" s="34">
        <f>Tabela1[[#This Row],[PESO UNI]]*Tabela1[[#This Row],[QTE]]</f>
        <v>1.6</v>
      </c>
      <c r="I625" s="7">
        <v>0</v>
      </c>
      <c r="J625" s="8" t="s">
        <v>3140</v>
      </c>
      <c r="K625" s="8" t="s">
        <v>4323</v>
      </c>
      <c r="L625" s="9" t="s">
        <v>2984</v>
      </c>
      <c r="M625" s="10">
        <v>46223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>IFERROR(H625*((AA625*0.25)+(AC625*0.25)+(AD625*0.225)+(AE625*0.225)+(AF625*0.05)),"")</f>
        <v>0</v>
      </c>
      <c r="S625" s="18">
        <f>IFERROR(H625*AG625,"")</f>
        <v>0</v>
      </c>
      <c r="T625" s="19">
        <f>IFERROR(S625-H625,"")</f>
        <v>-1.6</v>
      </c>
      <c r="U625" s="16">
        <f>IFERROR(SUMIF('LISTA DE EMBARQUE'!B:B,MICRO!E:E,'LISTA DE EMBARQUE'!G:G),"")</f>
        <v>0</v>
      </c>
      <c r="V625" s="12" t="str">
        <f>IFERROR(VLOOKUP(Tabela1[[#This Row],[COD.MDE]],'LISTA DE EMBARQUE'!B:L,11,0),"")</f>
        <v/>
      </c>
      <c r="W625" s="13" t="str">
        <f>IFERROR(COUNTIF(#REF!,Tabela1[[#This Row],[Colunas5]]),"")</f>
        <v/>
      </c>
      <c r="X625" s="14">
        <f>Tabela1[[#This Row],[QIANTIDADE EXPEDIDA]]*Tabela1[[#This Row],[PESO UNI]]</f>
        <v>0</v>
      </c>
      <c r="Y625" s="14">
        <f>U625-C625</f>
        <v>-2</v>
      </c>
      <c r="Z625" s="20">
        <f>Tabela1[[#This Row],[PESO TOTAL]]-Tabela1[[#This Row],[Peso Expedido]]</f>
        <v>1.6</v>
      </c>
      <c r="AA625" s="17"/>
      <c r="AB625" s="33"/>
      <c r="AC625" s="33"/>
      <c r="AD625" s="33"/>
      <c r="AE625" s="33"/>
      <c r="AF625" s="33"/>
      <c r="AG625" s="33"/>
      <c r="AH625" s="33"/>
      <c r="AI625" s="33" t="s">
        <v>4512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4549</v>
      </c>
      <c r="B626" s="21" t="s">
        <v>4550</v>
      </c>
      <c r="C626" s="1">
        <v>1</v>
      </c>
      <c r="D626" s="1" t="s">
        <v>4551</v>
      </c>
      <c r="E626" s="7">
        <v>4413</v>
      </c>
      <c r="F626" s="7">
        <v>39</v>
      </c>
      <c r="G626" s="1">
        <v>514.29999999999995</v>
      </c>
      <c r="H626" s="34">
        <f>Tabela1[[#This Row],[PESO UNI]]*Tabela1[[#This Row],[QTE]]</f>
        <v>514.29999999999995</v>
      </c>
      <c r="I626" s="7">
        <v>1</v>
      </c>
      <c r="J626" s="8" t="s">
        <v>3045</v>
      </c>
      <c r="K626" s="8" t="s">
        <v>4323</v>
      </c>
      <c r="L626" s="9" t="s">
        <v>2984</v>
      </c>
      <c r="M626" s="10">
        <v>46224</v>
      </c>
      <c r="N626" s="8" t="s">
        <v>38</v>
      </c>
      <c r="O626" s="12"/>
      <c r="P626" s="13"/>
      <c r="Q626" s="14">
        <f>Tabela1[[#This Row],[QTDE/ Fabricação]]-Tabela1[[#This Row],[QTE]]</f>
        <v>-1</v>
      </c>
      <c r="R626" s="18">
        <f>IFERROR(H626*((AA626*0.25)+(AC626*0.25)+(AD626*0.225)+(AE626*0.225)+(AF626*0.05)),"")</f>
        <v>0</v>
      </c>
      <c r="S626" s="18">
        <f>IFERROR(H626*AG626,"")</f>
        <v>0</v>
      </c>
      <c r="T626" s="19">
        <f>IFERROR(S626-H626,"")</f>
        <v>-514.29999999999995</v>
      </c>
      <c r="U626" s="16">
        <f>IFERROR(SUMIF('LISTA DE EMBARQUE'!B:B,MICRO!E:E,'LISTA DE EMBARQUE'!G:G),"")</f>
        <v>0</v>
      </c>
      <c r="V626" s="12" t="str">
        <f>IFERROR(VLOOKUP(Tabela1[[#This Row],[COD.MDE]],'LISTA DE EMBARQUE'!B:L,11,0),"")</f>
        <v/>
      </c>
      <c r="W626" s="13" t="str">
        <f>IFERROR(COUNTIF(#REF!,Tabela1[[#This Row],[Colunas5]]),"")</f>
        <v/>
      </c>
      <c r="X626" s="14">
        <f>Tabela1[[#This Row],[QIANTIDADE EXPEDIDA]]*Tabela1[[#This Row],[PESO UNI]]</f>
        <v>0</v>
      </c>
      <c r="Y626" s="14">
        <f>U626-C626</f>
        <v>-1</v>
      </c>
      <c r="Z626" s="20">
        <f>Tabela1[[#This Row],[PESO TOTAL]]-Tabela1[[#This Row],[Peso Expedido]]</f>
        <v>514.29999999999995</v>
      </c>
      <c r="AA626" s="17"/>
      <c r="AB626" s="33"/>
      <c r="AC626" s="33"/>
      <c r="AD626" s="33"/>
      <c r="AE626" s="33"/>
      <c r="AF626" s="33"/>
      <c r="AG626" s="33"/>
      <c r="AH626" s="33"/>
      <c r="AI626" s="33" t="s">
        <v>4512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4553</v>
      </c>
      <c r="B627" s="21"/>
      <c r="C627" s="1">
        <v>30</v>
      </c>
      <c r="D627" s="1" t="s">
        <v>4552</v>
      </c>
      <c r="E627" s="7">
        <v>4414</v>
      </c>
      <c r="F627" s="7">
        <v>1</v>
      </c>
      <c r="G627" s="1">
        <v>11.5</v>
      </c>
      <c r="H627" s="34">
        <f>Tabela1[[#This Row],[PESO UNI]]*Tabela1[[#This Row],[QTE]]</f>
        <v>345</v>
      </c>
      <c r="I627" s="7">
        <v>0</v>
      </c>
      <c r="J627" s="8" t="s">
        <v>4554</v>
      </c>
      <c r="K627" s="8" t="s">
        <v>23</v>
      </c>
      <c r="L627" s="9" t="s">
        <v>4555</v>
      </c>
      <c r="M627" s="10">
        <v>46271</v>
      </c>
      <c r="N627" s="8" t="s">
        <v>38</v>
      </c>
      <c r="O627" s="12"/>
      <c r="P627" s="13"/>
      <c r="Q627" s="14">
        <f>Tabela1[[#This Row],[QTDE/ Fabricação]]-Tabela1[[#This Row],[QTE]]</f>
        <v>-30</v>
      </c>
      <c r="R627" s="18">
        <f>IFERROR(H627*((AA627*0.25)+(AC627*0.25)+(AD627*0.225)+(AE627*0.225)+(AF627*0.05)),"")</f>
        <v>345</v>
      </c>
      <c r="S627" s="18">
        <f>IFERROR(H627*AG627,"")</f>
        <v>345</v>
      </c>
      <c r="T627" s="19">
        <f>IFERROR(S627-H627,"")</f>
        <v>0</v>
      </c>
      <c r="U627" s="16">
        <f>IFERROR(SUMIF('LISTA DE EMBARQUE'!B:B,MICRO!E:E,'LISTA DE EMBARQUE'!G:G),"")</f>
        <v>0</v>
      </c>
      <c r="V627" s="12" t="str">
        <f>IFERROR(VLOOKUP(Tabela1[[#This Row],[COD.MDE]],'LISTA DE EMBARQUE'!B:L,11,0),"")</f>
        <v/>
      </c>
      <c r="W627" s="13" t="str">
        <f>IFERROR(COUNTIF(#REF!,Tabela1[[#This Row],[Colunas5]]),"")</f>
        <v/>
      </c>
      <c r="X627" s="14">
        <f>Tabela1[[#This Row],[QIANTIDADE EXPEDIDA]]*Tabela1[[#This Row],[PESO UNI]]</f>
        <v>0</v>
      </c>
      <c r="Y627" s="14">
        <f>U627-C627</f>
        <v>-30</v>
      </c>
      <c r="Z627" s="20">
        <f>Tabela1[[#This Row],[PESO TOTAL]]-Tabela1[[#This Row],[Peso Expedido]]</f>
        <v>345</v>
      </c>
      <c r="AA627" s="17">
        <v>1</v>
      </c>
      <c r="AB627" s="17">
        <v>1</v>
      </c>
      <c r="AC627" s="17">
        <v>1</v>
      </c>
      <c r="AD627" s="17">
        <v>1</v>
      </c>
      <c r="AE627" s="17">
        <v>1</v>
      </c>
      <c r="AF627" s="17">
        <v>1</v>
      </c>
      <c r="AG627" s="17">
        <v>1</v>
      </c>
      <c r="AH627" s="33"/>
      <c r="AI627" s="33"/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212" t="s">
        <v>653</v>
      </c>
      <c r="B628" s="21"/>
      <c r="C628" s="198">
        <v>2</v>
      </c>
      <c r="D628" s="209" t="s">
        <v>4559</v>
      </c>
      <c r="E628" s="210">
        <v>4415</v>
      </c>
      <c r="F628" s="198">
        <v>43</v>
      </c>
      <c r="G628" s="199">
        <v>2.39</v>
      </c>
      <c r="H628" s="34">
        <f>Tabela1[[#This Row],[PESO UNI]]*Tabela1[[#This Row],[QTE]]</f>
        <v>4.78</v>
      </c>
      <c r="I628" s="199">
        <v>0</v>
      </c>
      <c r="J628" s="8" t="s">
        <v>4694</v>
      </c>
      <c r="K628" s="8" t="s">
        <v>23</v>
      </c>
      <c r="L628" s="214" t="s">
        <v>2069</v>
      </c>
      <c r="M628" s="200">
        <v>46199</v>
      </c>
      <c r="N628" s="8" t="s">
        <v>38</v>
      </c>
      <c r="O628" s="215"/>
      <c r="P628" s="216"/>
      <c r="Q628" s="14">
        <f>Tabela1[[#This Row],[QTDE/ Fabricação]]-Tabela1[[#This Row],[QTE]]</f>
        <v>-2</v>
      </c>
      <c r="R628" s="18">
        <f t="shared" ref="R628:R629" si="109">IFERROR(H628*((AA628*0.25)+(AC628*0.25)+(AD628*0.225)+(AE628*0.225)+(AF628*0.05)),"")</f>
        <v>4.78</v>
      </c>
      <c r="S628" s="18">
        <f t="shared" ref="S628:S629" si="110">IFERROR(H628*AG628,"")</f>
        <v>4.78</v>
      </c>
      <c r="T628" s="19">
        <f t="shared" ref="T628:T629" si="111">IFERROR(S628-H628,"")</f>
        <v>0</v>
      </c>
      <c r="U628" s="16">
        <f>IFERROR(SUMIF('LISTA DE EMBARQUE'!B:B,MICRO!E:E,'LISTA DE EMBARQUE'!G:G),"")</f>
        <v>2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4.78</v>
      </c>
      <c r="Y628" s="14">
        <f t="shared" ref="Y628:Y629" si="112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4512</v>
      </c>
      <c r="AQ628" s="203"/>
      <c r="AR628" s="37"/>
      <c r="AS628" s="37"/>
      <c r="AT628" s="37"/>
      <c r="AU628" s="37"/>
      <c r="AV628" s="37"/>
      <c r="AW628" s="37"/>
    </row>
    <row r="629" spans="1:49" ht="15.75" hidden="1" customHeight="1" x14ac:dyDescent="0.25">
      <c r="A629" s="212" t="s">
        <v>653</v>
      </c>
      <c r="B629" s="196"/>
      <c r="C629" s="198">
        <v>2</v>
      </c>
      <c r="D629" s="209" t="s">
        <v>4559</v>
      </c>
      <c r="E629" s="210">
        <v>4416</v>
      </c>
      <c r="F629" s="198">
        <v>43</v>
      </c>
      <c r="G629" s="199">
        <v>2.39</v>
      </c>
      <c r="H629" s="34">
        <f>Tabela1[[#This Row],[PESO UNI]]*Tabela1[[#This Row],[QTE]]</f>
        <v>4.78</v>
      </c>
      <c r="I629" s="199">
        <v>0</v>
      </c>
      <c r="J629" s="8" t="s">
        <v>4695</v>
      </c>
      <c r="K629" s="8" t="s">
        <v>23</v>
      </c>
      <c r="L629" s="214" t="s">
        <v>2069</v>
      </c>
      <c r="M629" s="200">
        <v>46199</v>
      </c>
      <c r="N629" s="8" t="s">
        <v>38</v>
      </c>
      <c r="O629" s="201"/>
      <c r="P629" s="202"/>
      <c r="Q629" s="14">
        <f>Tabela1[[#This Row],[QTDE/ Fabricação]]-Tabela1[[#This Row],[QTE]]</f>
        <v>-2</v>
      </c>
      <c r="R629" s="18">
        <f t="shared" si="109"/>
        <v>4.78</v>
      </c>
      <c r="S629" s="18">
        <f t="shared" si="110"/>
        <v>4.78</v>
      </c>
      <c r="T629" s="19">
        <f t="shared" si="111"/>
        <v>0</v>
      </c>
      <c r="U629" s="16">
        <f>IFERROR(SUMIF('LISTA DE EMBARQUE'!B:B,MICRO!E:E,'LISTA DE EMBARQUE'!G:G),"")</f>
        <v>2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4.78</v>
      </c>
      <c r="Y629" s="14">
        <f t="shared" si="112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4512</v>
      </c>
      <c r="AQ629" s="203"/>
      <c r="AR629" s="158"/>
      <c r="AS629" s="158"/>
      <c r="AT629" s="158"/>
      <c r="AU629" s="158"/>
      <c r="AV629" s="158"/>
      <c r="AW629" s="158"/>
    </row>
    <row r="630" spans="1:49" ht="15.75" hidden="1" customHeight="1" x14ac:dyDescent="0.25">
      <c r="A630" s="212"/>
      <c r="B630" s="21" t="s">
        <v>4560</v>
      </c>
      <c r="C630" s="198">
        <v>16</v>
      </c>
      <c r="D630" s="199" t="s">
        <v>4561</v>
      </c>
      <c r="E630" s="210" t="s">
        <v>4697</v>
      </c>
      <c r="F630" s="198" t="s">
        <v>4414</v>
      </c>
      <c r="G630" s="199">
        <v>1.2</v>
      </c>
      <c r="H630" s="213">
        <v>19.2</v>
      </c>
      <c r="I630" s="199"/>
      <c r="J630" s="217"/>
      <c r="K630" s="218" t="s">
        <v>45</v>
      </c>
      <c r="L630" s="214" t="s">
        <v>2069</v>
      </c>
      <c r="M630" s="200"/>
      <c r="N630" s="8" t="s">
        <v>38</v>
      </c>
      <c r="O630" s="215"/>
      <c r="P630" s="216"/>
      <c r="Q630" s="14">
        <f>Tabela1[[#This Row],[QTDE/ Fabricação]]-Tabela1[[#This Row],[QTE]]</f>
        <v>-16</v>
      </c>
      <c r="R630" s="18">
        <f t="shared" ref="R630:R693" si="113">IFERROR(H630*((AA630*0.25)+(AC630*0.25)+(AD630*0.225)+(AE630*0.225)+(AF630*0.05)),"")</f>
        <v>19.2</v>
      </c>
      <c r="S630" s="18">
        <f t="shared" ref="S630:S693" si="114">IFERROR(H630*AG630,"")</f>
        <v>19.2</v>
      </c>
      <c r="T630" s="19">
        <f t="shared" ref="T630:T693" si="115">IFERROR(S630-H630,"")</f>
        <v>0</v>
      </c>
      <c r="U630" s="16">
        <f>IFERROR(SUMIF('LISTA DE EMBARQUE'!B:B,MICRO!E:E,'LISTA DE EMBARQUE'!G:G),"")</f>
        <v>16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19.2</v>
      </c>
      <c r="Y630" s="14">
        <f t="shared" ref="Y630:Y693" si="116">U630-C630</f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4512</v>
      </c>
      <c r="AQ630" s="203"/>
      <c r="AR630" s="37"/>
      <c r="AS630" s="37"/>
      <c r="AT630" s="37"/>
      <c r="AU630" s="37"/>
      <c r="AV630" s="37"/>
      <c r="AW630" s="37"/>
    </row>
    <row r="631" spans="1:49" ht="15.75" hidden="1" customHeight="1" x14ac:dyDescent="0.25">
      <c r="A631" s="212"/>
      <c r="B631" s="21" t="s">
        <v>4560</v>
      </c>
      <c r="C631" s="198">
        <v>8</v>
      </c>
      <c r="D631" s="199" t="s">
        <v>4563</v>
      </c>
      <c r="E631" s="210" t="s">
        <v>4698</v>
      </c>
      <c r="F631" s="198" t="s">
        <v>4414</v>
      </c>
      <c r="G631" s="199">
        <v>1.8</v>
      </c>
      <c r="H631" s="213">
        <v>14.4</v>
      </c>
      <c r="I631" s="199"/>
      <c r="J631" s="217"/>
      <c r="K631" s="218" t="s">
        <v>45</v>
      </c>
      <c r="L631" s="214" t="s">
        <v>2069</v>
      </c>
      <c r="M631" s="200"/>
      <c r="N631" s="8" t="s">
        <v>38</v>
      </c>
      <c r="O631" s="215"/>
      <c r="P631" s="216"/>
      <c r="Q631" s="14">
        <f>Tabela1[[#This Row],[QTDE/ Fabricação]]-Tabela1[[#This Row],[QTE]]</f>
        <v>-8</v>
      </c>
      <c r="R631" s="18">
        <f t="shared" si="113"/>
        <v>14.4</v>
      </c>
      <c r="S631" s="18">
        <f t="shared" si="114"/>
        <v>14.4</v>
      </c>
      <c r="T631" s="19">
        <f t="shared" si="115"/>
        <v>0</v>
      </c>
      <c r="U631" s="16">
        <f>IFERROR(SUMIF('LISTA DE EMBARQUE'!B:B,MICRO!E:E,'LISTA DE EMBARQUE'!G:G),"")</f>
        <v>8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14.4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4512</v>
      </c>
      <c r="AQ631" s="203"/>
      <c r="AR631" s="37"/>
      <c r="AS631" s="37"/>
      <c r="AT631" s="37"/>
      <c r="AU631" s="37"/>
      <c r="AV631" s="37"/>
      <c r="AW631" s="37"/>
    </row>
    <row r="632" spans="1:49" ht="15.75" hidden="1" customHeight="1" x14ac:dyDescent="0.25">
      <c r="A632" s="212"/>
      <c r="B632" s="21" t="s">
        <v>4560</v>
      </c>
      <c r="C632" s="198">
        <v>7</v>
      </c>
      <c r="D632" s="199" t="s">
        <v>4564</v>
      </c>
      <c r="E632" s="210" t="s">
        <v>4699</v>
      </c>
      <c r="F632" s="198" t="s">
        <v>4414</v>
      </c>
      <c r="G632" s="199">
        <v>2.1</v>
      </c>
      <c r="H632" s="213">
        <v>14.700000000000001</v>
      </c>
      <c r="I632" s="199"/>
      <c r="J632" s="217"/>
      <c r="K632" s="218" t="s">
        <v>45</v>
      </c>
      <c r="L632" s="214" t="s">
        <v>2069</v>
      </c>
      <c r="M632" s="200"/>
      <c r="N632" s="8" t="s">
        <v>38</v>
      </c>
      <c r="O632" s="215"/>
      <c r="P632" s="216"/>
      <c r="Q632" s="14">
        <f>Tabela1[[#This Row],[QTDE/ Fabricação]]-Tabela1[[#This Row],[QTE]]</f>
        <v>-7</v>
      </c>
      <c r="R632" s="18">
        <f t="shared" si="113"/>
        <v>14.700000000000001</v>
      </c>
      <c r="S632" s="18">
        <f t="shared" si="114"/>
        <v>14.700000000000001</v>
      </c>
      <c r="T632" s="19">
        <f t="shared" si="115"/>
        <v>0</v>
      </c>
      <c r="U632" s="16">
        <f>IFERROR(SUMIF('LISTA DE EMBARQUE'!B:B,MICRO!E:E,'LISTA DE EMBARQUE'!G:G),"")</f>
        <v>7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14.700000000000001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4512</v>
      </c>
      <c r="AQ632" s="203"/>
      <c r="AR632" s="37"/>
      <c r="AS632" s="37"/>
      <c r="AT632" s="37"/>
      <c r="AU632" s="37"/>
      <c r="AV632" s="37"/>
      <c r="AW632" s="37"/>
    </row>
    <row r="633" spans="1:49" ht="15.75" hidden="1" customHeight="1" x14ac:dyDescent="0.25">
      <c r="A633" s="212"/>
      <c r="B633" s="21" t="s">
        <v>4560</v>
      </c>
      <c r="C633" s="198">
        <v>3</v>
      </c>
      <c r="D633" s="199" t="s">
        <v>4565</v>
      </c>
      <c r="E633" s="210" t="s">
        <v>4700</v>
      </c>
      <c r="F633" s="198" t="s">
        <v>4414</v>
      </c>
      <c r="G633" s="199">
        <v>0.05</v>
      </c>
      <c r="H633" s="213">
        <v>0.15000000000000002</v>
      </c>
      <c r="I633" s="199"/>
      <c r="J633" s="217"/>
      <c r="K633" s="218" t="s">
        <v>45</v>
      </c>
      <c r="L633" s="214" t="s">
        <v>2069</v>
      </c>
      <c r="M633" s="200"/>
      <c r="N633" s="8" t="s">
        <v>38</v>
      </c>
      <c r="O633" s="215"/>
      <c r="P633" s="216"/>
      <c r="Q633" s="14">
        <f>Tabela1[[#This Row],[QTDE/ Fabricação]]-Tabela1[[#This Row],[QTE]]</f>
        <v>-3</v>
      </c>
      <c r="R633" s="18">
        <f t="shared" si="113"/>
        <v>0.15000000000000002</v>
      </c>
      <c r="S633" s="18">
        <f t="shared" si="114"/>
        <v>0.15000000000000002</v>
      </c>
      <c r="T633" s="19">
        <f t="shared" si="115"/>
        <v>0</v>
      </c>
      <c r="U633" s="16">
        <f>IFERROR(SUMIF('LISTA DE EMBARQUE'!B:B,MICRO!E:E,'LISTA DE EMBARQUE'!G:G),"")</f>
        <v>3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0.15000000000000002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4512</v>
      </c>
      <c r="AQ633" s="203"/>
      <c r="AR633" s="37"/>
      <c r="AS633" s="37"/>
      <c r="AT633" s="37"/>
      <c r="AU633" s="37"/>
      <c r="AV633" s="37"/>
      <c r="AW633" s="37"/>
    </row>
    <row r="634" spans="1:49" ht="15.75" hidden="1" customHeight="1" x14ac:dyDescent="0.25">
      <c r="A634" s="212"/>
      <c r="B634" s="21" t="s">
        <v>4560</v>
      </c>
      <c r="C634" s="198">
        <v>3</v>
      </c>
      <c r="D634" s="199" t="s">
        <v>4567</v>
      </c>
      <c r="E634" s="210" t="s">
        <v>4701</v>
      </c>
      <c r="F634" s="198" t="s">
        <v>4414</v>
      </c>
      <c r="G634" s="199">
        <v>0.02</v>
      </c>
      <c r="H634" s="213">
        <v>0.06</v>
      </c>
      <c r="I634" s="199"/>
      <c r="J634" s="217"/>
      <c r="K634" s="218" t="s">
        <v>45</v>
      </c>
      <c r="L634" s="214" t="s">
        <v>2069</v>
      </c>
      <c r="M634" s="200"/>
      <c r="N634" s="8" t="s">
        <v>38</v>
      </c>
      <c r="O634" s="215"/>
      <c r="P634" s="216"/>
      <c r="Q634" s="14">
        <f>Tabela1[[#This Row],[QTDE/ Fabricação]]-Tabela1[[#This Row],[QTE]]</f>
        <v>-3</v>
      </c>
      <c r="R634" s="18">
        <f t="shared" si="113"/>
        <v>0.06</v>
      </c>
      <c r="S634" s="18">
        <f t="shared" si="114"/>
        <v>0.06</v>
      </c>
      <c r="T634" s="19">
        <f t="shared" si="115"/>
        <v>0</v>
      </c>
      <c r="U634" s="16">
        <f>IFERROR(SUMIF('LISTA DE EMBARQUE'!B:B,MICRO!E:E,'LISTA DE EMBARQUE'!G:G),"")</f>
        <v>3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0.06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4512</v>
      </c>
      <c r="AQ634" s="203"/>
      <c r="AR634" s="37"/>
      <c r="AS634" s="37"/>
      <c r="AT634" s="37"/>
      <c r="AU634" s="37"/>
      <c r="AV634" s="37"/>
      <c r="AW634" s="37"/>
    </row>
    <row r="635" spans="1:49" ht="15.75" hidden="1" customHeight="1" x14ac:dyDescent="0.25">
      <c r="A635" s="212"/>
      <c r="B635" s="21" t="s">
        <v>4560</v>
      </c>
      <c r="C635" s="198">
        <v>2</v>
      </c>
      <c r="D635" s="199" t="s">
        <v>4568</v>
      </c>
      <c r="E635" s="210" t="s">
        <v>4702</v>
      </c>
      <c r="F635" s="198" t="s">
        <v>4414</v>
      </c>
      <c r="G635" s="199">
        <v>0.8</v>
      </c>
      <c r="H635" s="213">
        <v>1.6</v>
      </c>
      <c r="I635" s="199"/>
      <c r="J635" s="217"/>
      <c r="K635" s="218" t="s">
        <v>45</v>
      </c>
      <c r="L635" s="214" t="s">
        <v>2069</v>
      </c>
      <c r="M635" s="200"/>
      <c r="N635" s="8" t="s">
        <v>38</v>
      </c>
      <c r="O635" s="215"/>
      <c r="P635" s="216"/>
      <c r="Q635" s="14">
        <f>Tabela1[[#This Row],[QTDE/ Fabricação]]-Tabela1[[#This Row],[QTE]]</f>
        <v>-2</v>
      </c>
      <c r="R635" s="18">
        <f t="shared" si="113"/>
        <v>1.6</v>
      </c>
      <c r="S635" s="18">
        <f t="shared" si="114"/>
        <v>1.6</v>
      </c>
      <c r="T635" s="19">
        <f t="shared" si="115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1.6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4512</v>
      </c>
      <c r="AQ635" s="203"/>
      <c r="AR635" s="37"/>
      <c r="AS635" s="37"/>
      <c r="AT635" s="37"/>
      <c r="AU635" s="37"/>
      <c r="AV635" s="37"/>
      <c r="AW635" s="37"/>
    </row>
    <row r="636" spans="1:49" ht="15.75" hidden="1" customHeight="1" x14ac:dyDescent="0.25">
      <c r="A636" s="212"/>
      <c r="B636" s="21" t="s">
        <v>4560</v>
      </c>
      <c r="C636" s="198">
        <v>6</v>
      </c>
      <c r="D636" s="199" t="s">
        <v>4569</v>
      </c>
      <c r="E636" s="210" t="s">
        <v>4703</v>
      </c>
      <c r="F636" s="198" t="s">
        <v>4414</v>
      </c>
      <c r="G636" s="199">
        <v>0.04</v>
      </c>
      <c r="H636" s="213">
        <v>0.24</v>
      </c>
      <c r="I636" s="199"/>
      <c r="J636" s="217"/>
      <c r="K636" s="218" t="s">
        <v>45</v>
      </c>
      <c r="L636" s="214" t="s">
        <v>2069</v>
      </c>
      <c r="M636" s="200"/>
      <c r="N636" s="8" t="s">
        <v>38</v>
      </c>
      <c r="O636" s="215"/>
      <c r="P636" s="216"/>
      <c r="Q636" s="14">
        <f>Tabela1[[#This Row],[QTDE/ Fabricação]]-Tabela1[[#This Row],[QTE]]</f>
        <v>-6</v>
      </c>
      <c r="R636" s="18">
        <f t="shared" si="113"/>
        <v>0.24</v>
      </c>
      <c r="S636" s="18">
        <f t="shared" si="114"/>
        <v>0.24</v>
      </c>
      <c r="T636" s="19">
        <f t="shared" si="115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0.24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4512</v>
      </c>
      <c r="AQ636" s="203"/>
      <c r="AR636" s="37"/>
      <c r="AS636" s="37"/>
      <c r="AT636" s="37"/>
      <c r="AU636" s="37"/>
      <c r="AV636" s="37"/>
      <c r="AW636" s="37"/>
    </row>
    <row r="637" spans="1:49" ht="15.75" hidden="1" customHeight="1" x14ac:dyDescent="0.25">
      <c r="A637" s="212"/>
      <c r="B637" s="21" t="s">
        <v>4560</v>
      </c>
      <c r="C637" s="198">
        <v>2</v>
      </c>
      <c r="D637" s="199" t="s">
        <v>4570</v>
      </c>
      <c r="E637" s="210" t="s">
        <v>4704</v>
      </c>
      <c r="F637" s="198" t="s">
        <v>4414</v>
      </c>
      <c r="G637" s="199">
        <v>0.05</v>
      </c>
      <c r="H637" s="213">
        <v>0.1</v>
      </c>
      <c r="I637" s="199"/>
      <c r="J637" s="217"/>
      <c r="K637" s="218" t="s">
        <v>45</v>
      </c>
      <c r="L637" s="214" t="s">
        <v>2069</v>
      </c>
      <c r="M637" s="200"/>
      <c r="N637" s="8" t="s">
        <v>38</v>
      </c>
      <c r="O637" s="215"/>
      <c r="P637" s="216"/>
      <c r="Q637" s="14">
        <f>Tabela1[[#This Row],[QTDE/ Fabricação]]-Tabela1[[#This Row],[QTE]]</f>
        <v>-2</v>
      </c>
      <c r="R637" s="18">
        <f t="shared" si="113"/>
        <v>0.1</v>
      </c>
      <c r="S637" s="18">
        <f t="shared" si="114"/>
        <v>0.1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4512</v>
      </c>
      <c r="AQ637" s="203"/>
      <c r="AR637" s="37"/>
      <c r="AS637" s="37"/>
      <c r="AT637" s="37"/>
      <c r="AU637" s="37"/>
      <c r="AV637" s="37"/>
      <c r="AW637" s="37"/>
    </row>
    <row r="638" spans="1:49" ht="15.75" hidden="1" customHeight="1" x14ac:dyDescent="0.25">
      <c r="A638" s="212"/>
      <c r="B638" s="21" t="s">
        <v>4560</v>
      </c>
      <c r="C638" s="198">
        <v>6</v>
      </c>
      <c r="D638" s="199" t="s">
        <v>4571</v>
      </c>
      <c r="E638" s="210" t="s">
        <v>4705</v>
      </c>
      <c r="F638" s="198" t="s">
        <v>4414</v>
      </c>
      <c r="G638" s="199">
        <v>0.03</v>
      </c>
      <c r="H638" s="213">
        <v>0.18</v>
      </c>
      <c r="I638" s="199"/>
      <c r="J638" s="217"/>
      <c r="K638" s="218" t="s">
        <v>45</v>
      </c>
      <c r="L638" s="214" t="s">
        <v>2069</v>
      </c>
      <c r="M638" s="200"/>
      <c r="N638" s="8" t="s">
        <v>38</v>
      </c>
      <c r="O638" s="215"/>
      <c r="P638" s="216"/>
      <c r="Q638" s="14">
        <f>Tabela1[[#This Row],[QTDE/ Fabricação]]-Tabela1[[#This Row],[QTE]]</f>
        <v>-6</v>
      </c>
      <c r="R638" s="18">
        <f t="shared" si="113"/>
        <v>0.18</v>
      </c>
      <c r="S638" s="18">
        <f t="shared" si="114"/>
        <v>0.18</v>
      </c>
      <c r="T638" s="19">
        <f t="shared" si="115"/>
        <v>0</v>
      </c>
      <c r="U638" s="16">
        <f>IFERROR(SUMIF('LISTA DE EMBARQUE'!B:B,MICRO!E:E,'LISTA DE EMBARQUE'!G:G),"")</f>
        <v>6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0.18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4512</v>
      </c>
      <c r="AQ638" s="203"/>
      <c r="AR638" s="37"/>
      <c r="AS638" s="37"/>
      <c r="AT638" s="37"/>
      <c r="AU638" s="37"/>
      <c r="AV638" s="37"/>
      <c r="AW638" s="37"/>
    </row>
    <row r="639" spans="1:49" ht="15.75" hidden="1" customHeight="1" x14ac:dyDescent="0.25">
      <c r="A639" s="212"/>
      <c r="B639" s="21" t="s">
        <v>4560</v>
      </c>
      <c r="C639" s="198">
        <v>2</v>
      </c>
      <c r="D639" s="199" t="s">
        <v>4572</v>
      </c>
      <c r="E639" s="210" t="s">
        <v>4706</v>
      </c>
      <c r="F639" s="198" t="s">
        <v>4414</v>
      </c>
      <c r="G639" s="199">
        <v>0.05</v>
      </c>
      <c r="H639" s="213">
        <v>0.1</v>
      </c>
      <c r="I639" s="199"/>
      <c r="J639" s="217"/>
      <c r="K639" s="218" t="s">
        <v>45</v>
      </c>
      <c r="L639" s="214" t="s">
        <v>2069</v>
      </c>
      <c r="M639" s="200"/>
      <c r="N639" s="8" t="s">
        <v>38</v>
      </c>
      <c r="O639" s="215"/>
      <c r="P639" s="216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4512</v>
      </c>
      <c r="AQ639" s="203"/>
      <c r="AR639" s="37"/>
      <c r="AS639" s="37"/>
      <c r="AT639" s="37"/>
      <c r="AU639" s="37"/>
      <c r="AV639" s="37"/>
      <c r="AW639" s="37"/>
    </row>
    <row r="640" spans="1:49" ht="15.75" hidden="1" customHeight="1" x14ac:dyDescent="0.25">
      <c r="A640" s="212"/>
      <c r="B640" s="21" t="s">
        <v>4560</v>
      </c>
      <c r="C640" s="198">
        <v>2</v>
      </c>
      <c r="D640" s="199" t="s">
        <v>4573</v>
      </c>
      <c r="E640" s="210" t="s">
        <v>4707</v>
      </c>
      <c r="F640" s="198" t="s">
        <v>4414</v>
      </c>
      <c r="G640" s="199">
        <v>0.08</v>
      </c>
      <c r="H640" s="213">
        <v>0.16</v>
      </c>
      <c r="I640" s="199"/>
      <c r="J640" s="217"/>
      <c r="K640" s="218" t="s">
        <v>45</v>
      </c>
      <c r="L640" s="214" t="s">
        <v>2069</v>
      </c>
      <c r="M640" s="200"/>
      <c r="N640" s="8" t="s">
        <v>38</v>
      </c>
      <c r="O640" s="215"/>
      <c r="P640" s="216"/>
      <c r="Q640" s="14">
        <f>Tabela1[[#This Row],[QTDE/ Fabricação]]-Tabela1[[#This Row],[QTE]]</f>
        <v>-2</v>
      </c>
      <c r="R640" s="18">
        <f t="shared" si="113"/>
        <v>0.16</v>
      </c>
      <c r="S640" s="18">
        <f t="shared" si="114"/>
        <v>0.16</v>
      </c>
      <c r="T640" s="19">
        <f t="shared" si="115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0.16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4512</v>
      </c>
      <c r="AQ640" s="203"/>
      <c r="AR640" s="37"/>
      <c r="AS640" s="37"/>
      <c r="AT640" s="37"/>
      <c r="AU640" s="37"/>
      <c r="AV640" s="37"/>
      <c r="AW640" s="37"/>
    </row>
    <row r="641" spans="1:49" ht="15.75" hidden="1" customHeight="1" x14ac:dyDescent="0.25">
      <c r="A641" s="212"/>
      <c r="B641" s="21" t="s">
        <v>4560</v>
      </c>
      <c r="C641" s="198">
        <v>4</v>
      </c>
      <c r="D641" s="199" t="s">
        <v>4574</v>
      </c>
      <c r="E641" s="210" t="s">
        <v>4708</v>
      </c>
      <c r="F641" s="198" t="s">
        <v>4414</v>
      </c>
      <c r="G641" s="199">
        <v>0.03</v>
      </c>
      <c r="H641" s="213">
        <v>0.12</v>
      </c>
      <c r="I641" s="199"/>
      <c r="J641" s="217"/>
      <c r="K641" s="218" t="s">
        <v>45</v>
      </c>
      <c r="L641" s="214" t="s">
        <v>2069</v>
      </c>
      <c r="M641" s="200"/>
      <c r="N641" s="8" t="s">
        <v>38</v>
      </c>
      <c r="O641" s="215"/>
      <c r="P641" s="216"/>
      <c r="Q641" s="14">
        <f>Tabela1[[#This Row],[QTDE/ Fabricação]]-Tabela1[[#This Row],[QTE]]</f>
        <v>-4</v>
      </c>
      <c r="R641" s="18">
        <f t="shared" si="113"/>
        <v>0.12</v>
      </c>
      <c r="S641" s="18">
        <f t="shared" si="114"/>
        <v>0.12</v>
      </c>
      <c r="T641" s="19">
        <f t="shared" si="115"/>
        <v>0</v>
      </c>
      <c r="U641" s="16">
        <f>IFERROR(SUMIF('LISTA DE EMBARQUE'!B:B,MICRO!E:E,'LISTA DE EMBARQUE'!G:G),"")</f>
        <v>4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0.12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4512</v>
      </c>
      <c r="AQ641" s="203"/>
      <c r="AR641" s="37"/>
      <c r="AS641" s="37"/>
      <c r="AT641" s="37"/>
      <c r="AU641" s="37"/>
      <c r="AV641" s="37"/>
      <c r="AW641" s="37"/>
    </row>
    <row r="642" spans="1:49" ht="15.75" hidden="1" customHeight="1" x14ac:dyDescent="0.25">
      <c r="A642" s="212"/>
      <c r="B642" s="21" t="s">
        <v>4560</v>
      </c>
      <c r="C642" s="198">
        <v>2</v>
      </c>
      <c r="D642" s="199" t="s">
        <v>4575</v>
      </c>
      <c r="E642" s="210" t="s">
        <v>4709</v>
      </c>
      <c r="F642" s="198" t="s">
        <v>4414</v>
      </c>
      <c r="G642" s="199">
        <v>0.05</v>
      </c>
      <c r="H642" s="213">
        <v>0.1</v>
      </c>
      <c r="I642" s="199"/>
      <c r="J642" s="217"/>
      <c r="K642" s="218" t="s">
        <v>45</v>
      </c>
      <c r="L642" s="214" t="s">
        <v>2069</v>
      </c>
      <c r="M642" s="200"/>
      <c r="N642" s="8" t="s">
        <v>38</v>
      </c>
      <c r="O642" s="215"/>
      <c r="P642" s="216"/>
      <c r="Q642" s="14">
        <f>Tabela1[[#This Row],[QTDE/ Fabricação]]-Tabela1[[#This Row],[QTE]]</f>
        <v>-2</v>
      </c>
      <c r="R642" s="18">
        <f t="shared" si="113"/>
        <v>0.1</v>
      </c>
      <c r="S642" s="18">
        <f t="shared" si="114"/>
        <v>0.1</v>
      </c>
      <c r="T642" s="19">
        <f t="shared" si="115"/>
        <v>0</v>
      </c>
      <c r="U642" s="16">
        <f>IFERROR(SUMIF('LISTA DE EMBARQUE'!B:B,MICRO!E:E,'LISTA DE EMBARQUE'!G:G),"")</f>
        <v>2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4512</v>
      </c>
      <c r="AQ642" s="203"/>
      <c r="AR642" s="37"/>
      <c r="AS642" s="37"/>
      <c r="AT642" s="37"/>
      <c r="AU642" s="37"/>
      <c r="AV642" s="37"/>
      <c r="AW642" s="37"/>
    </row>
    <row r="643" spans="1:49" ht="15.75" hidden="1" customHeight="1" x14ac:dyDescent="0.25">
      <c r="A643" s="212"/>
      <c r="B643" s="21" t="s">
        <v>4560</v>
      </c>
      <c r="C643" s="198">
        <v>3</v>
      </c>
      <c r="D643" s="199" t="s">
        <v>4576</v>
      </c>
      <c r="E643" s="210" t="s">
        <v>4710</v>
      </c>
      <c r="F643" s="198" t="s">
        <v>4414</v>
      </c>
      <c r="G643" s="199">
        <v>0.08</v>
      </c>
      <c r="H643" s="213">
        <v>0.24</v>
      </c>
      <c r="I643" s="199"/>
      <c r="J643" s="217"/>
      <c r="K643" s="218" t="s">
        <v>45</v>
      </c>
      <c r="L643" s="214" t="s">
        <v>2069</v>
      </c>
      <c r="M643" s="200"/>
      <c r="N643" s="8" t="s">
        <v>38</v>
      </c>
      <c r="O643" s="215"/>
      <c r="P643" s="216"/>
      <c r="Q643" s="14">
        <f>Tabela1[[#This Row],[QTDE/ Fabricação]]-Tabela1[[#This Row],[QTE]]</f>
        <v>-3</v>
      </c>
      <c r="R643" s="18">
        <f t="shared" si="113"/>
        <v>0.24</v>
      </c>
      <c r="S643" s="18">
        <f t="shared" si="114"/>
        <v>0.24</v>
      </c>
      <c r="T643" s="19">
        <f t="shared" si="115"/>
        <v>0</v>
      </c>
      <c r="U643" s="16">
        <f>IFERROR(SUMIF('LISTA DE EMBARQUE'!B:B,MICRO!E:E,'LISTA DE EMBARQUE'!G:G),"")</f>
        <v>3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0.24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4512</v>
      </c>
      <c r="AQ643" s="203"/>
      <c r="AR643" s="37"/>
      <c r="AS643" s="37"/>
      <c r="AT643" s="37"/>
      <c r="AU643" s="37"/>
      <c r="AV643" s="37"/>
      <c r="AW643" s="37"/>
    </row>
    <row r="644" spans="1:49" ht="15.75" hidden="1" customHeight="1" x14ac:dyDescent="0.25">
      <c r="A644" s="212"/>
      <c r="B644" s="21" t="s">
        <v>4560</v>
      </c>
      <c r="C644" s="198">
        <v>5</v>
      </c>
      <c r="D644" s="199" t="s">
        <v>4577</v>
      </c>
      <c r="E644" s="210" t="s">
        <v>4711</v>
      </c>
      <c r="F644" s="198" t="s">
        <v>4414</v>
      </c>
      <c r="G644" s="199">
        <v>0.03</v>
      </c>
      <c r="H644" s="213">
        <v>0.15</v>
      </c>
      <c r="I644" s="199"/>
      <c r="J644" s="217"/>
      <c r="K644" s="218" t="s">
        <v>45</v>
      </c>
      <c r="L644" s="214" t="s">
        <v>2069</v>
      </c>
      <c r="M644" s="200"/>
      <c r="N644" s="8" t="s">
        <v>38</v>
      </c>
      <c r="O644" s="215"/>
      <c r="P644" s="216"/>
      <c r="Q644" s="14">
        <f>Tabela1[[#This Row],[QTDE/ Fabricação]]-Tabela1[[#This Row],[QTE]]</f>
        <v>-5</v>
      </c>
      <c r="R644" s="18">
        <f t="shared" si="113"/>
        <v>0.15</v>
      </c>
      <c r="S644" s="18">
        <f t="shared" si="114"/>
        <v>0.15</v>
      </c>
      <c r="T644" s="19">
        <f t="shared" si="115"/>
        <v>0</v>
      </c>
      <c r="U644" s="16">
        <f>IFERROR(SUMIF('LISTA DE EMBARQUE'!B:B,MICRO!E:E,'LISTA DE EMBARQUE'!G:G),"")</f>
        <v>5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0.15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4512</v>
      </c>
      <c r="AQ644" s="203"/>
      <c r="AR644" s="37"/>
      <c r="AS644" s="37"/>
      <c r="AT644" s="37"/>
      <c r="AU644" s="37"/>
      <c r="AV644" s="37"/>
      <c r="AW644" s="37"/>
    </row>
    <row r="645" spans="1:49" ht="15.75" hidden="1" customHeight="1" x14ac:dyDescent="0.25">
      <c r="A645" s="212"/>
      <c r="B645" s="21" t="s">
        <v>4560</v>
      </c>
      <c r="C645" s="198">
        <v>7</v>
      </c>
      <c r="D645" s="199" t="s">
        <v>4578</v>
      </c>
      <c r="E645" s="210" t="s">
        <v>4712</v>
      </c>
      <c r="F645" s="198" t="s">
        <v>4414</v>
      </c>
      <c r="G645" s="199">
        <v>0.02</v>
      </c>
      <c r="H645" s="213">
        <v>0.14000000000000001</v>
      </c>
      <c r="I645" s="199"/>
      <c r="J645" s="217"/>
      <c r="K645" s="218" t="s">
        <v>45</v>
      </c>
      <c r="L645" s="214" t="s">
        <v>2069</v>
      </c>
      <c r="M645" s="200"/>
      <c r="N645" s="8" t="s">
        <v>38</v>
      </c>
      <c r="O645" s="215"/>
      <c r="P645" s="216"/>
      <c r="Q645" s="14">
        <f>Tabela1[[#This Row],[QTDE/ Fabricação]]-Tabela1[[#This Row],[QTE]]</f>
        <v>-7</v>
      </c>
      <c r="R645" s="18">
        <f t="shared" si="113"/>
        <v>0.14000000000000001</v>
      </c>
      <c r="S645" s="18">
        <f t="shared" si="114"/>
        <v>0.14000000000000001</v>
      </c>
      <c r="T645" s="19">
        <f t="shared" si="115"/>
        <v>0</v>
      </c>
      <c r="U645" s="16">
        <f>IFERROR(SUMIF('LISTA DE EMBARQUE'!B:B,MICRO!E:E,'LISTA DE EMBARQUE'!G:G),"")</f>
        <v>7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0.14000000000000001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4512</v>
      </c>
      <c r="AQ645" s="203"/>
      <c r="AR645" s="37"/>
      <c r="AS645" s="37"/>
      <c r="AT645" s="37"/>
      <c r="AU645" s="37"/>
      <c r="AV645" s="37"/>
      <c r="AW645" s="37"/>
    </row>
    <row r="646" spans="1:49" ht="15.75" hidden="1" customHeight="1" x14ac:dyDescent="0.25">
      <c r="A646" s="212"/>
      <c r="B646" s="21" t="s">
        <v>4560</v>
      </c>
      <c r="C646" s="198">
        <v>32</v>
      </c>
      <c r="D646" s="199" t="s">
        <v>4579</v>
      </c>
      <c r="E646" s="210" t="s">
        <v>4713</v>
      </c>
      <c r="F646" s="198" t="s">
        <v>4414</v>
      </c>
      <c r="G646" s="199">
        <v>0.02</v>
      </c>
      <c r="H646" s="213">
        <v>0.64</v>
      </c>
      <c r="I646" s="199"/>
      <c r="J646" s="217"/>
      <c r="K646" s="218" t="s">
        <v>45</v>
      </c>
      <c r="L646" s="214" t="s">
        <v>2069</v>
      </c>
      <c r="M646" s="200"/>
      <c r="N646" s="8" t="s">
        <v>38</v>
      </c>
      <c r="O646" s="215"/>
      <c r="P646" s="216"/>
      <c r="Q646" s="14">
        <f>Tabela1[[#This Row],[QTDE/ Fabricação]]-Tabela1[[#This Row],[QTE]]</f>
        <v>-32</v>
      </c>
      <c r="R646" s="18">
        <f t="shared" si="113"/>
        <v>0.64</v>
      </c>
      <c r="S646" s="18">
        <f t="shared" si="114"/>
        <v>0.64</v>
      </c>
      <c r="T646" s="19">
        <f t="shared" si="115"/>
        <v>0</v>
      </c>
      <c r="U646" s="16">
        <f>IFERROR(SUMIF('LISTA DE EMBARQUE'!B:B,MICRO!E:E,'LISTA DE EMBARQUE'!G:G),"")</f>
        <v>32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0.64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4512</v>
      </c>
      <c r="AQ646" s="203"/>
      <c r="AR646" s="37"/>
      <c r="AS646" s="37"/>
      <c r="AT646" s="37"/>
      <c r="AU646" s="37"/>
      <c r="AV646" s="37"/>
      <c r="AW646" s="37"/>
    </row>
    <row r="647" spans="1:49" ht="15.75" hidden="1" customHeight="1" x14ac:dyDescent="0.25">
      <c r="A647" s="212"/>
      <c r="B647" s="21" t="s">
        <v>4560</v>
      </c>
      <c r="C647" s="198">
        <v>16</v>
      </c>
      <c r="D647" s="199" t="s">
        <v>4580</v>
      </c>
      <c r="E647" s="210" t="s">
        <v>4714</v>
      </c>
      <c r="F647" s="198" t="s">
        <v>4414</v>
      </c>
      <c r="G647" s="199">
        <v>0.04</v>
      </c>
      <c r="H647" s="213">
        <v>0.64</v>
      </c>
      <c r="I647" s="199"/>
      <c r="J647" s="217"/>
      <c r="K647" s="218" t="s">
        <v>45</v>
      </c>
      <c r="L647" s="214" t="s">
        <v>2069</v>
      </c>
      <c r="M647" s="200"/>
      <c r="N647" s="8" t="s">
        <v>38</v>
      </c>
      <c r="O647" s="215"/>
      <c r="P647" s="216"/>
      <c r="Q647" s="14">
        <f>Tabela1[[#This Row],[QTDE/ Fabricação]]-Tabela1[[#This Row],[QTE]]</f>
        <v>-16</v>
      </c>
      <c r="R647" s="18">
        <f t="shared" si="113"/>
        <v>0.64</v>
      </c>
      <c r="S647" s="18">
        <f t="shared" si="114"/>
        <v>0.64</v>
      </c>
      <c r="T647" s="19">
        <f t="shared" si="115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0.64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4512</v>
      </c>
      <c r="AQ647" s="203"/>
      <c r="AR647" s="37"/>
      <c r="AS647" s="37"/>
      <c r="AT647" s="37"/>
      <c r="AU647" s="37"/>
      <c r="AV647" s="37"/>
      <c r="AW647" s="37"/>
    </row>
    <row r="648" spans="1:49" ht="15.75" hidden="1" customHeight="1" x14ac:dyDescent="0.25">
      <c r="A648" s="212"/>
      <c r="B648" s="21" t="s">
        <v>4560</v>
      </c>
      <c r="C648" s="198">
        <v>14</v>
      </c>
      <c r="D648" s="199" t="s">
        <v>4581</v>
      </c>
      <c r="E648" s="210" t="s">
        <v>4715</v>
      </c>
      <c r="F648" s="198" t="s">
        <v>4414</v>
      </c>
      <c r="G648" s="199">
        <v>0.06</v>
      </c>
      <c r="H648" s="213">
        <v>0.84</v>
      </c>
      <c r="I648" s="199"/>
      <c r="J648" s="217"/>
      <c r="K648" s="218" t="s">
        <v>45</v>
      </c>
      <c r="L648" s="214" t="s">
        <v>2069</v>
      </c>
      <c r="M648" s="200"/>
      <c r="N648" s="8" t="s">
        <v>38</v>
      </c>
      <c r="O648" s="215"/>
      <c r="P648" s="216"/>
      <c r="Q648" s="14">
        <f>Tabela1[[#This Row],[QTDE/ Fabricação]]-Tabela1[[#This Row],[QTE]]</f>
        <v>-14</v>
      </c>
      <c r="R648" s="18">
        <f t="shared" si="113"/>
        <v>0.84</v>
      </c>
      <c r="S648" s="18">
        <f t="shared" si="114"/>
        <v>0.84</v>
      </c>
      <c r="T648" s="19">
        <f t="shared" si="115"/>
        <v>0</v>
      </c>
      <c r="U648" s="16">
        <f>IFERROR(SUMIF('LISTA DE EMBARQUE'!B:B,MICRO!E:E,'LISTA DE EMBARQUE'!G:G),"")</f>
        <v>14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0.84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4512</v>
      </c>
      <c r="AQ648" s="203"/>
      <c r="AR648" s="37"/>
      <c r="AS648" s="37"/>
      <c r="AT648" s="37"/>
      <c r="AU648" s="37"/>
      <c r="AV648" s="37"/>
      <c r="AW648" s="37"/>
    </row>
    <row r="649" spans="1:49" ht="15.75" hidden="1" customHeight="1" x14ac:dyDescent="0.25">
      <c r="A649" s="212"/>
      <c r="B649" s="21" t="s">
        <v>4582</v>
      </c>
      <c r="C649" s="198">
        <v>16</v>
      </c>
      <c r="D649" s="199" t="s">
        <v>4583</v>
      </c>
      <c r="E649" s="210" t="s">
        <v>4716</v>
      </c>
      <c r="F649" s="198" t="s">
        <v>4414</v>
      </c>
      <c r="G649" s="199">
        <v>1.2</v>
      </c>
      <c r="H649" s="213">
        <v>19.2</v>
      </c>
      <c r="I649" s="199"/>
      <c r="J649" s="217"/>
      <c r="K649" s="218" t="s">
        <v>45</v>
      </c>
      <c r="L649" s="214" t="s">
        <v>2069</v>
      </c>
      <c r="M649" s="200"/>
      <c r="N649" s="8" t="s">
        <v>38</v>
      </c>
      <c r="O649" s="215"/>
      <c r="P649" s="216"/>
      <c r="Q649" s="14">
        <f>Tabela1[[#This Row],[QTDE/ Fabricação]]-Tabela1[[#This Row],[QTE]]</f>
        <v>-16</v>
      </c>
      <c r="R649" s="18">
        <f t="shared" si="113"/>
        <v>19.2</v>
      </c>
      <c r="S649" s="18">
        <f t="shared" si="114"/>
        <v>19.2</v>
      </c>
      <c r="T649" s="19">
        <f t="shared" si="115"/>
        <v>0</v>
      </c>
      <c r="U649" s="16">
        <f>IFERROR(SUMIF('LISTA DE EMBARQUE'!B:B,MICRO!E:E,'LISTA DE EMBARQUE'!G:G),"")</f>
        <v>16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19.2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4512</v>
      </c>
      <c r="AQ649" s="203"/>
      <c r="AR649" s="37"/>
      <c r="AS649" s="37"/>
      <c r="AT649" s="37"/>
      <c r="AU649" s="37"/>
      <c r="AV649" s="37"/>
      <c r="AW649" s="37"/>
    </row>
    <row r="650" spans="1:49" ht="15.75" hidden="1" customHeight="1" x14ac:dyDescent="0.25">
      <c r="A650" s="212"/>
      <c r="B650" s="21" t="s">
        <v>4582</v>
      </c>
      <c r="C650" s="198">
        <v>8</v>
      </c>
      <c r="D650" s="199" t="s">
        <v>4584</v>
      </c>
      <c r="E650" s="210" t="s">
        <v>4717</v>
      </c>
      <c r="F650" s="198" t="s">
        <v>4414</v>
      </c>
      <c r="G650" s="199">
        <v>1.8</v>
      </c>
      <c r="H650" s="213">
        <v>14.4</v>
      </c>
      <c r="I650" s="199"/>
      <c r="J650" s="217"/>
      <c r="K650" s="218" t="s">
        <v>45</v>
      </c>
      <c r="L650" s="214" t="s">
        <v>2069</v>
      </c>
      <c r="M650" s="200"/>
      <c r="N650" s="8" t="s">
        <v>38</v>
      </c>
      <c r="O650" s="215"/>
      <c r="P650" s="216"/>
      <c r="Q650" s="14">
        <f>Tabela1[[#This Row],[QTDE/ Fabricação]]-Tabela1[[#This Row],[QTE]]</f>
        <v>-8</v>
      </c>
      <c r="R650" s="18">
        <f t="shared" si="113"/>
        <v>14.4</v>
      </c>
      <c r="S650" s="18">
        <f t="shared" si="114"/>
        <v>14.4</v>
      </c>
      <c r="T650" s="19">
        <f t="shared" si="115"/>
        <v>0</v>
      </c>
      <c r="U650" s="16">
        <f>IFERROR(SUMIF('LISTA DE EMBARQUE'!B:B,MICRO!E:E,'LISTA DE EMBARQUE'!G:G),"")</f>
        <v>8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14.4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4512</v>
      </c>
      <c r="AQ650" s="203"/>
      <c r="AR650" s="37"/>
      <c r="AS650" s="37"/>
      <c r="AT650" s="37"/>
      <c r="AU650" s="37"/>
      <c r="AV650" s="37"/>
      <c r="AW650" s="37"/>
    </row>
    <row r="651" spans="1:49" ht="15.75" hidden="1" customHeight="1" x14ac:dyDescent="0.25">
      <c r="A651" s="212"/>
      <c r="B651" s="21" t="s">
        <v>4582</v>
      </c>
      <c r="C651" s="198">
        <v>7</v>
      </c>
      <c r="D651" s="199" t="s">
        <v>4585</v>
      </c>
      <c r="E651" s="210" t="s">
        <v>4718</v>
      </c>
      <c r="F651" s="198" t="s">
        <v>4414</v>
      </c>
      <c r="G651" s="199">
        <v>2.1</v>
      </c>
      <c r="H651" s="213">
        <v>14.700000000000001</v>
      </c>
      <c r="I651" s="199"/>
      <c r="J651" s="217"/>
      <c r="K651" s="218" t="s">
        <v>45</v>
      </c>
      <c r="L651" s="214" t="s">
        <v>2069</v>
      </c>
      <c r="M651" s="200"/>
      <c r="N651" s="8" t="s">
        <v>38</v>
      </c>
      <c r="O651" s="215"/>
      <c r="P651" s="216"/>
      <c r="Q651" s="14">
        <f>Tabela1[[#This Row],[QTDE/ Fabricação]]-Tabela1[[#This Row],[QTE]]</f>
        <v>-7</v>
      </c>
      <c r="R651" s="18">
        <f t="shared" si="113"/>
        <v>14.700000000000001</v>
      </c>
      <c r="S651" s="18">
        <f t="shared" si="114"/>
        <v>14.700000000000001</v>
      </c>
      <c r="T651" s="19">
        <f t="shared" si="115"/>
        <v>0</v>
      </c>
      <c r="U651" s="16">
        <f>IFERROR(SUMIF('LISTA DE EMBARQUE'!B:B,MICRO!E:E,'LISTA DE EMBARQUE'!G:G),"")</f>
        <v>7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14.700000000000001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4512</v>
      </c>
      <c r="AQ651" s="203"/>
      <c r="AR651" s="37"/>
      <c r="AS651" s="37"/>
      <c r="AT651" s="37"/>
      <c r="AU651" s="37"/>
      <c r="AV651" s="37"/>
      <c r="AW651" s="37"/>
    </row>
    <row r="652" spans="1:49" ht="15.75" hidden="1" customHeight="1" x14ac:dyDescent="0.25">
      <c r="A652" s="212"/>
      <c r="B652" s="21" t="s">
        <v>4582</v>
      </c>
      <c r="C652" s="198">
        <v>3</v>
      </c>
      <c r="D652" s="199" t="s">
        <v>4586</v>
      </c>
      <c r="E652" s="210" t="s">
        <v>4719</v>
      </c>
      <c r="F652" s="198" t="s">
        <v>4414</v>
      </c>
      <c r="G652" s="199">
        <v>0.05</v>
      </c>
      <c r="H652" s="213">
        <v>0.15000000000000002</v>
      </c>
      <c r="I652" s="199"/>
      <c r="J652" s="217"/>
      <c r="K652" s="218" t="s">
        <v>45</v>
      </c>
      <c r="L652" s="214" t="s">
        <v>2069</v>
      </c>
      <c r="M652" s="200"/>
      <c r="N652" s="8" t="s">
        <v>38</v>
      </c>
      <c r="O652" s="215"/>
      <c r="P652" s="216"/>
      <c r="Q652" s="14">
        <f>Tabela1[[#This Row],[QTDE/ Fabricação]]-Tabela1[[#This Row],[QTE]]</f>
        <v>-3</v>
      </c>
      <c r="R652" s="18">
        <f t="shared" si="113"/>
        <v>0.15000000000000002</v>
      </c>
      <c r="S652" s="18">
        <f t="shared" si="114"/>
        <v>0.15000000000000002</v>
      </c>
      <c r="T652" s="19">
        <f t="shared" si="115"/>
        <v>0</v>
      </c>
      <c r="U652" s="16">
        <f>IFERROR(SUMIF('LISTA DE EMBARQUE'!B:B,MICRO!E:E,'LISTA DE EMBARQUE'!G:G),"")</f>
        <v>3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0.15000000000000002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4512</v>
      </c>
      <c r="AQ652" s="203"/>
      <c r="AR652" s="37"/>
      <c r="AS652" s="37"/>
      <c r="AT652" s="37"/>
      <c r="AU652" s="37"/>
      <c r="AV652" s="37"/>
      <c r="AW652" s="37"/>
    </row>
    <row r="653" spans="1:49" ht="15.75" hidden="1" customHeight="1" x14ac:dyDescent="0.25">
      <c r="A653" s="212"/>
      <c r="B653" s="21" t="s">
        <v>4582</v>
      </c>
      <c r="C653" s="198">
        <v>3</v>
      </c>
      <c r="D653" s="199" t="s">
        <v>4587</v>
      </c>
      <c r="E653" s="210" t="s">
        <v>4720</v>
      </c>
      <c r="F653" s="198" t="s">
        <v>4414</v>
      </c>
      <c r="G653" s="199">
        <v>0.02</v>
      </c>
      <c r="H653" s="213">
        <v>0.06</v>
      </c>
      <c r="I653" s="199"/>
      <c r="J653" s="217"/>
      <c r="K653" s="218" t="s">
        <v>45</v>
      </c>
      <c r="L653" s="214" t="s">
        <v>2069</v>
      </c>
      <c r="M653" s="200"/>
      <c r="N653" s="8" t="s">
        <v>38</v>
      </c>
      <c r="O653" s="215"/>
      <c r="P653" s="216"/>
      <c r="Q653" s="14">
        <f>Tabela1[[#This Row],[QTDE/ Fabricação]]-Tabela1[[#This Row],[QTE]]</f>
        <v>-3</v>
      </c>
      <c r="R653" s="18">
        <f t="shared" si="113"/>
        <v>0.06</v>
      </c>
      <c r="S653" s="18">
        <f t="shared" si="114"/>
        <v>0.06</v>
      </c>
      <c r="T653" s="19">
        <f t="shared" si="115"/>
        <v>0</v>
      </c>
      <c r="U653" s="16">
        <f>IFERROR(SUMIF('LISTA DE EMBARQUE'!B:B,MICRO!E:E,'LISTA DE EMBARQUE'!G:G),"")</f>
        <v>3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0.06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4512</v>
      </c>
      <c r="AQ653" s="203"/>
      <c r="AR653" s="37"/>
      <c r="AS653" s="37"/>
      <c r="AT653" s="37"/>
      <c r="AU653" s="37"/>
      <c r="AV653" s="37"/>
      <c r="AW653" s="37"/>
    </row>
    <row r="654" spans="1:49" ht="15.75" hidden="1" customHeight="1" x14ac:dyDescent="0.25">
      <c r="A654" s="212"/>
      <c r="B654" s="21" t="s">
        <v>4582</v>
      </c>
      <c r="C654" s="198">
        <v>2</v>
      </c>
      <c r="D654" s="199" t="s">
        <v>4588</v>
      </c>
      <c r="E654" s="210" t="s">
        <v>4721</v>
      </c>
      <c r="F654" s="198" t="s">
        <v>4414</v>
      </c>
      <c r="G654" s="199">
        <v>0.8</v>
      </c>
      <c r="H654" s="213">
        <v>1.6</v>
      </c>
      <c r="I654" s="199"/>
      <c r="J654" s="217"/>
      <c r="K654" s="218" t="s">
        <v>45</v>
      </c>
      <c r="L654" s="214" t="s">
        <v>2069</v>
      </c>
      <c r="M654" s="200"/>
      <c r="N654" s="8" t="s">
        <v>38</v>
      </c>
      <c r="O654" s="215"/>
      <c r="P654" s="216"/>
      <c r="Q654" s="14">
        <f>Tabela1[[#This Row],[QTDE/ Fabricação]]-Tabela1[[#This Row],[QTE]]</f>
        <v>-2</v>
      </c>
      <c r="R654" s="18">
        <f t="shared" si="113"/>
        <v>1.6</v>
      </c>
      <c r="S654" s="18">
        <f t="shared" si="114"/>
        <v>1.6</v>
      </c>
      <c r="T654" s="19">
        <f t="shared" si="115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1.6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4512</v>
      </c>
      <c r="AQ654" s="203"/>
      <c r="AR654" s="37"/>
      <c r="AS654" s="37"/>
      <c r="AT654" s="37"/>
      <c r="AU654" s="37"/>
      <c r="AV654" s="37"/>
      <c r="AW654" s="37"/>
    </row>
    <row r="655" spans="1:49" ht="15.75" hidden="1" customHeight="1" x14ac:dyDescent="0.25">
      <c r="A655" s="212"/>
      <c r="B655" s="21" t="s">
        <v>4582</v>
      </c>
      <c r="C655" s="198">
        <v>6</v>
      </c>
      <c r="D655" s="199" t="s">
        <v>4589</v>
      </c>
      <c r="E655" s="210" t="s">
        <v>4722</v>
      </c>
      <c r="F655" s="198" t="s">
        <v>4414</v>
      </c>
      <c r="G655" s="199">
        <v>0.04</v>
      </c>
      <c r="H655" s="213">
        <v>0.24</v>
      </c>
      <c r="I655" s="199"/>
      <c r="J655" s="217"/>
      <c r="K655" s="218" t="s">
        <v>45</v>
      </c>
      <c r="L655" s="214" t="s">
        <v>2069</v>
      </c>
      <c r="M655" s="200"/>
      <c r="N655" s="8" t="s">
        <v>38</v>
      </c>
      <c r="O655" s="215"/>
      <c r="P655" s="216"/>
      <c r="Q655" s="14">
        <f>Tabela1[[#This Row],[QTDE/ Fabricação]]-Tabela1[[#This Row],[QTE]]</f>
        <v>-6</v>
      </c>
      <c r="R655" s="18">
        <f t="shared" si="113"/>
        <v>0.24</v>
      </c>
      <c r="S655" s="18">
        <f t="shared" si="114"/>
        <v>0.24</v>
      </c>
      <c r="T655" s="19">
        <f t="shared" si="115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0.24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4512</v>
      </c>
      <c r="AQ655" s="203"/>
      <c r="AR655" s="37"/>
      <c r="AS655" s="37"/>
      <c r="AT655" s="37"/>
      <c r="AU655" s="37"/>
      <c r="AV655" s="37"/>
      <c r="AW655" s="37"/>
    </row>
    <row r="656" spans="1:49" ht="15.75" hidden="1" customHeight="1" x14ac:dyDescent="0.25">
      <c r="A656" s="212"/>
      <c r="B656" s="21" t="s">
        <v>4582</v>
      </c>
      <c r="C656" s="198">
        <v>2</v>
      </c>
      <c r="D656" s="199" t="s">
        <v>4590</v>
      </c>
      <c r="E656" s="210" t="s">
        <v>4723</v>
      </c>
      <c r="F656" s="198" t="s">
        <v>4414</v>
      </c>
      <c r="G656" s="199">
        <v>0.05</v>
      </c>
      <c r="H656" s="213">
        <v>0.1</v>
      </c>
      <c r="I656" s="199"/>
      <c r="J656" s="217"/>
      <c r="K656" s="218" t="s">
        <v>45</v>
      </c>
      <c r="L656" s="214" t="s">
        <v>2069</v>
      </c>
      <c r="M656" s="200"/>
      <c r="N656" s="8" t="s">
        <v>38</v>
      </c>
      <c r="O656" s="215"/>
      <c r="P656" s="216"/>
      <c r="Q656" s="14">
        <f>Tabela1[[#This Row],[QTDE/ Fabricação]]-Tabela1[[#This Row],[QTE]]</f>
        <v>-2</v>
      </c>
      <c r="R656" s="18">
        <f t="shared" si="113"/>
        <v>0.1</v>
      </c>
      <c r="S656" s="18">
        <f t="shared" si="114"/>
        <v>0.1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4512</v>
      </c>
      <c r="AQ656" s="203"/>
      <c r="AR656" s="37"/>
      <c r="AS656" s="37"/>
      <c r="AT656" s="37"/>
      <c r="AU656" s="37"/>
      <c r="AV656" s="37"/>
      <c r="AW656" s="37"/>
    </row>
    <row r="657" spans="1:49" ht="15.75" hidden="1" customHeight="1" x14ac:dyDescent="0.25">
      <c r="A657" s="212"/>
      <c r="B657" s="21" t="s">
        <v>4582</v>
      </c>
      <c r="C657" s="198">
        <v>6</v>
      </c>
      <c r="D657" s="199" t="s">
        <v>4591</v>
      </c>
      <c r="E657" s="210" t="s">
        <v>4724</v>
      </c>
      <c r="F657" s="198" t="s">
        <v>4414</v>
      </c>
      <c r="G657" s="199">
        <v>0.03</v>
      </c>
      <c r="H657" s="213">
        <v>0.18</v>
      </c>
      <c r="I657" s="199"/>
      <c r="J657" s="217"/>
      <c r="K657" s="218" t="s">
        <v>45</v>
      </c>
      <c r="L657" s="214" t="s">
        <v>2069</v>
      </c>
      <c r="M657" s="200"/>
      <c r="N657" s="8" t="s">
        <v>38</v>
      </c>
      <c r="O657" s="215"/>
      <c r="P657" s="216"/>
      <c r="Q657" s="14">
        <f>Tabela1[[#This Row],[QTDE/ Fabricação]]-Tabela1[[#This Row],[QTE]]</f>
        <v>-6</v>
      </c>
      <c r="R657" s="18">
        <f t="shared" si="113"/>
        <v>0.18</v>
      </c>
      <c r="S657" s="18">
        <f t="shared" si="114"/>
        <v>0.18</v>
      </c>
      <c r="T657" s="19">
        <f t="shared" si="115"/>
        <v>0</v>
      </c>
      <c r="U657" s="16">
        <f>IFERROR(SUMIF('LISTA DE EMBARQUE'!B:B,MICRO!E:E,'LISTA DE EMBARQUE'!G:G),"")</f>
        <v>6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0.18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4512</v>
      </c>
      <c r="AQ657" s="203"/>
      <c r="AR657" s="37"/>
      <c r="AS657" s="37"/>
      <c r="AT657" s="37"/>
      <c r="AU657" s="37"/>
      <c r="AV657" s="37"/>
      <c r="AW657" s="37"/>
    </row>
    <row r="658" spans="1:49" ht="15.75" hidden="1" customHeight="1" x14ac:dyDescent="0.25">
      <c r="A658" s="212"/>
      <c r="B658" s="21" t="s">
        <v>4582</v>
      </c>
      <c r="C658" s="198">
        <v>2</v>
      </c>
      <c r="D658" s="199" t="s">
        <v>4592</v>
      </c>
      <c r="E658" s="210" t="s">
        <v>4725</v>
      </c>
      <c r="F658" s="198" t="s">
        <v>4414</v>
      </c>
      <c r="G658" s="199">
        <v>0.05</v>
      </c>
      <c r="H658" s="213">
        <v>0.1</v>
      </c>
      <c r="I658" s="199"/>
      <c r="J658" s="217"/>
      <c r="K658" s="218" t="s">
        <v>45</v>
      </c>
      <c r="L658" s="214" t="s">
        <v>2069</v>
      </c>
      <c r="M658" s="200"/>
      <c r="N658" s="8" t="s">
        <v>38</v>
      </c>
      <c r="O658" s="215"/>
      <c r="P658" s="216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4512</v>
      </c>
      <c r="AQ658" s="203"/>
      <c r="AR658" s="37"/>
      <c r="AS658" s="37"/>
      <c r="AT658" s="37"/>
      <c r="AU658" s="37"/>
      <c r="AV658" s="37"/>
      <c r="AW658" s="37"/>
    </row>
    <row r="659" spans="1:49" ht="15.75" hidden="1" customHeight="1" x14ac:dyDescent="0.25">
      <c r="A659" s="212"/>
      <c r="B659" s="21" t="s">
        <v>4582</v>
      </c>
      <c r="C659" s="198">
        <v>2</v>
      </c>
      <c r="D659" s="199" t="s">
        <v>4593</v>
      </c>
      <c r="E659" s="210" t="s">
        <v>4726</v>
      </c>
      <c r="F659" s="198" t="s">
        <v>4414</v>
      </c>
      <c r="G659" s="199">
        <v>0.08</v>
      </c>
      <c r="H659" s="213">
        <v>0.16</v>
      </c>
      <c r="I659" s="199"/>
      <c r="J659" s="217"/>
      <c r="K659" s="218" t="s">
        <v>45</v>
      </c>
      <c r="L659" s="214" t="s">
        <v>2069</v>
      </c>
      <c r="M659" s="200"/>
      <c r="N659" s="8" t="s">
        <v>38</v>
      </c>
      <c r="O659" s="215"/>
      <c r="P659" s="216"/>
      <c r="Q659" s="14">
        <f>Tabela1[[#This Row],[QTDE/ Fabricação]]-Tabela1[[#This Row],[QTE]]</f>
        <v>-2</v>
      </c>
      <c r="R659" s="18">
        <f t="shared" si="113"/>
        <v>0.16</v>
      </c>
      <c r="S659" s="18">
        <f t="shared" si="114"/>
        <v>0.16</v>
      </c>
      <c r="T659" s="19">
        <f t="shared" si="115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0.16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4512</v>
      </c>
      <c r="AQ659" s="203"/>
      <c r="AR659" s="37"/>
      <c r="AS659" s="37"/>
      <c r="AT659" s="37"/>
      <c r="AU659" s="37"/>
      <c r="AV659" s="37"/>
      <c r="AW659" s="37"/>
    </row>
    <row r="660" spans="1:49" ht="15.75" hidden="1" customHeight="1" x14ac:dyDescent="0.25">
      <c r="A660" s="212"/>
      <c r="B660" s="21" t="s">
        <v>4582</v>
      </c>
      <c r="C660" s="198">
        <v>4</v>
      </c>
      <c r="D660" s="199" t="s">
        <v>4594</v>
      </c>
      <c r="E660" s="210" t="s">
        <v>4727</v>
      </c>
      <c r="F660" s="198" t="s">
        <v>4414</v>
      </c>
      <c r="G660" s="199">
        <v>0.03</v>
      </c>
      <c r="H660" s="213">
        <v>0.12</v>
      </c>
      <c r="I660" s="199"/>
      <c r="J660" s="217"/>
      <c r="K660" s="218" t="s">
        <v>45</v>
      </c>
      <c r="L660" s="214" t="s">
        <v>2069</v>
      </c>
      <c r="M660" s="200"/>
      <c r="N660" s="8" t="s">
        <v>38</v>
      </c>
      <c r="O660" s="215"/>
      <c r="P660" s="216"/>
      <c r="Q660" s="14">
        <f>Tabela1[[#This Row],[QTDE/ Fabricação]]-Tabela1[[#This Row],[QTE]]</f>
        <v>-4</v>
      </c>
      <c r="R660" s="18">
        <f t="shared" si="113"/>
        <v>0.12</v>
      </c>
      <c r="S660" s="18">
        <f t="shared" si="114"/>
        <v>0.12</v>
      </c>
      <c r="T660" s="19">
        <f t="shared" si="115"/>
        <v>0</v>
      </c>
      <c r="U660" s="16">
        <f>IFERROR(SUMIF('LISTA DE EMBARQUE'!B:B,MICRO!E:E,'LISTA DE EMBARQUE'!G:G),"")</f>
        <v>4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0.12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4512</v>
      </c>
      <c r="AQ660" s="203"/>
      <c r="AR660" s="37"/>
      <c r="AS660" s="37"/>
      <c r="AT660" s="37"/>
      <c r="AU660" s="37"/>
      <c r="AV660" s="37"/>
      <c r="AW660" s="37"/>
    </row>
    <row r="661" spans="1:49" ht="15.75" hidden="1" customHeight="1" x14ac:dyDescent="0.25">
      <c r="A661" s="212"/>
      <c r="B661" s="21" t="s">
        <v>4582</v>
      </c>
      <c r="C661" s="198">
        <v>2</v>
      </c>
      <c r="D661" s="199" t="s">
        <v>4595</v>
      </c>
      <c r="E661" s="210" t="s">
        <v>4728</v>
      </c>
      <c r="F661" s="198" t="s">
        <v>4414</v>
      </c>
      <c r="G661" s="199">
        <v>0.05</v>
      </c>
      <c r="H661" s="213">
        <v>0.1</v>
      </c>
      <c r="I661" s="199"/>
      <c r="J661" s="217"/>
      <c r="K661" s="218" t="s">
        <v>45</v>
      </c>
      <c r="L661" s="214" t="s">
        <v>2069</v>
      </c>
      <c r="M661" s="200"/>
      <c r="N661" s="8" t="s">
        <v>38</v>
      </c>
      <c r="O661" s="215"/>
      <c r="P661" s="216"/>
      <c r="Q661" s="14">
        <f>Tabela1[[#This Row],[QTDE/ Fabricação]]-Tabela1[[#This Row],[QTE]]</f>
        <v>-2</v>
      </c>
      <c r="R661" s="18">
        <f t="shared" si="113"/>
        <v>0.1</v>
      </c>
      <c r="S661" s="18">
        <f t="shared" si="114"/>
        <v>0.1</v>
      </c>
      <c r="T661" s="19">
        <f t="shared" si="115"/>
        <v>0</v>
      </c>
      <c r="U661" s="16">
        <f>IFERROR(SUMIF('LISTA DE EMBARQUE'!B:B,MICRO!E:E,'LISTA DE EMBARQUE'!G:G),"")</f>
        <v>2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4512</v>
      </c>
      <c r="AQ661" s="203"/>
      <c r="AR661" s="37"/>
      <c r="AS661" s="37"/>
      <c r="AT661" s="37"/>
      <c r="AU661" s="37"/>
      <c r="AV661" s="37"/>
      <c r="AW661" s="37"/>
    </row>
    <row r="662" spans="1:49" ht="15.75" hidden="1" customHeight="1" x14ac:dyDescent="0.25">
      <c r="A662" s="212"/>
      <c r="B662" s="21" t="s">
        <v>4582</v>
      </c>
      <c r="C662" s="198">
        <v>3</v>
      </c>
      <c r="D662" s="199" t="s">
        <v>4596</v>
      </c>
      <c r="E662" s="210" t="s">
        <v>4729</v>
      </c>
      <c r="F662" s="198" t="s">
        <v>4414</v>
      </c>
      <c r="G662" s="199">
        <v>0.08</v>
      </c>
      <c r="H662" s="213">
        <v>0.24</v>
      </c>
      <c r="I662" s="199"/>
      <c r="J662" s="217"/>
      <c r="K662" s="218" t="s">
        <v>45</v>
      </c>
      <c r="L662" s="214" t="s">
        <v>2069</v>
      </c>
      <c r="M662" s="200"/>
      <c r="N662" s="8" t="s">
        <v>38</v>
      </c>
      <c r="O662" s="215"/>
      <c r="P662" s="216"/>
      <c r="Q662" s="14">
        <f>Tabela1[[#This Row],[QTDE/ Fabricação]]-Tabela1[[#This Row],[QTE]]</f>
        <v>-3</v>
      </c>
      <c r="R662" s="18">
        <f t="shared" si="113"/>
        <v>0.24</v>
      </c>
      <c r="S662" s="18">
        <f t="shared" si="114"/>
        <v>0.24</v>
      </c>
      <c r="T662" s="19">
        <f t="shared" si="115"/>
        <v>0</v>
      </c>
      <c r="U662" s="16">
        <f>IFERROR(SUMIF('LISTA DE EMBARQUE'!B:B,MICRO!E:E,'LISTA DE EMBARQUE'!G:G),"")</f>
        <v>3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0.24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4512</v>
      </c>
      <c r="AQ662" s="203"/>
      <c r="AR662" s="37"/>
      <c r="AS662" s="37"/>
      <c r="AT662" s="37"/>
      <c r="AU662" s="37"/>
      <c r="AV662" s="37"/>
      <c r="AW662" s="37"/>
    </row>
    <row r="663" spans="1:49" ht="15.75" hidden="1" customHeight="1" x14ac:dyDescent="0.25">
      <c r="A663" s="212"/>
      <c r="B663" s="21" t="s">
        <v>4582</v>
      </c>
      <c r="C663" s="198">
        <v>5</v>
      </c>
      <c r="D663" s="199" t="s">
        <v>4597</v>
      </c>
      <c r="E663" s="210" t="s">
        <v>4730</v>
      </c>
      <c r="F663" s="198" t="s">
        <v>4414</v>
      </c>
      <c r="G663" s="199">
        <v>0.03</v>
      </c>
      <c r="H663" s="213">
        <v>0.15</v>
      </c>
      <c r="I663" s="199"/>
      <c r="J663" s="217"/>
      <c r="K663" s="218" t="s">
        <v>45</v>
      </c>
      <c r="L663" s="214" t="s">
        <v>2069</v>
      </c>
      <c r="M663" s="200"/>
      <c r="N663" s="8" t="s">
        <v>38</v>
      </c>
      <c r="O663" s="215"/>
      <c r="P663" s="216"/>
      <c r="Q663" s="14">
        <f>Tabela1[[#This Row],[QTDE/ Fabricação]]-Tabela1[[#This Row],[QTE]]</f>
        <v>-5</v>
      </c>
      <c r="R663" s="18">
        <f t="shared" si="113"/>
        <v>0.15</v>
      </c>
      <c r="S663" s="18">
        <f t="shared" si="114"/>
        <v>0.15</v>
      </c>
      <c r="T663" s="19">
        <f t="shared" si="115"/>
        <v>0</v>
      </c>
      <c r="U663" s="16">
        <f>IFERROR(SUMIF('LISTA DE EMBARQUE'!B:B,MICRO!E:E,'LISTA DE EMBARQUE'!G:G),"")</f>
        <v>5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0.15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4512</v>
      </c>
      <c r="AQ663" s="203"/>
      <c r="AR663" s="37"/>
      <c r="AS663" s="37"/>
      <c r="AT663" s="37"/>
      <c r="AU663" s="37"/>
      <c r="AV663" s="37"/>
      <c r="AW663" s="37"/>
    </row>
    <row r="664" spans="1:49" ht="15.75" hidden="1" customHeight="1" x14ac:dyDescent="0.25">
      <c r="A664" s="212"/>
      <c r="B664" s="21" t="s">
        <v>4582</v>
      </c>
      <c r="C664" s="198">
        <v>7</v>
      </c>
      <c r="D664" s="199" t="s">
        <v>4598</v>
      </c>
      <c r="E664" s="210" t="s">
        <v>4731</v>
      </c>
      <c r="F664" s="198" t="s">
        <v>4414</v>
      </c>
      <c r="G664" s="199">
        <v>0.02</v>
      </c>
      <c r="H664" s="213">
        <v>0.14000000000000001</v>
      </c>
      <c r="I664" s="199"/>
      <c r="J664" s="217"/>
      <c r="K664" s="218" t="s">
        <v>45</v>
      </c>
      <c r="L664" s="214" t="s">
        <v>2069</v>
      </c>
      <c r="M664" s="200"/>
      <c r="N664" s="8" t="s">
        <v>38</v>
      </c>
      <c r="O664" s="215"/>
      <c r="P664" s="216"/>
      <c r="Q664" s="14">
        <f>Tabela1[[#This Row],[QTDE/ Fabricação]]-Tabela1[[#This Row],[QTE]]</f>
        <v>-7</v>
      </c>
      <c r="R664" s="18">
        <f t="shared" si="113"/>
        <v>0.14000000000000001</v>
      </c>
      <c r="S664" s="18">
        <f t="shared" si="114"/>
        <v>0.14000000000000001</v>
      </c>
      <c r="T664" s="19">
        <f t="shared" si="115"/>
        <v>0</v>
      </c>
      <c r="U664" s="16">
        <f>IFERROR(SUMIF('LISTA DE EMBARQUE'!B:B,MICRO!E:E,'LISTA DE EMBARQUE'!G:G),"")</f>
        <v>7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0.14000000000000001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4512</v>
      </c>
      <c r="AQ664" s="203"/>
      <c r="AR664" s="37"/>
      <c r="AS664" s="37"/>
      <c r="AT664" s="37"/>
      <c r="AU664" s="37"/>
      <c r="AV664" s="37"/>
      <c r="AW664" s="37"/>
    </row>
    <row r="665" spans="1:49" ht="15.75" hidden="1" customHeight="1" x14ac:dyDescent="0.25">
      <c r="A665" s="212"/>
      <c r="B665" s="21" t="s">
        <v>4582</v>
      </c>
      <c r="C665" s="198">
        <v>32</v>
      </c>
      <c r="D665" s="199" t="s">
        <v>4599</v>
      </c>
      <c r="E665" s="210" t="s">
        <v>4732</v>
      </c>
      <c r="F665" s="198" t="s">
        <v>4414</v>
      </c>
      <c r="G665" s="199">
        <v>0.02</v>
      </c>
      <c r="H665" s="213">
        <v>0.64</v>
      </c>
      <c r="I665" s="199"/>
      <c r="J665" s="217"/>
      <c r="K665" s="218" t="s">
        <v>45</v>
      </c>
      <c r="L665" s="214" t="s">
        <v>2069</v>
      </c>
      <c r="M665" s="200"/>
      <c r="N665" s="8" t="s">
        <v>38</v>
      </c>
      <c r="O665" s="215"/>
      <c r="P665" s="216"/>
      <c r="Q665" s="14">
        <f>Tabela1[[#This Row],[QTDE/ Fabricação]]-Tabela1[[#This Row],[QTE]]</f>
        <v>-32</v>
      </c>
      <c r="R665" s="18">
        <f t="shared" si="113"/>
        <v>0.64</v>
      </c>
      <c r="S665" s="18">
        <f t="shared" si="114"/>
        <v>0.64</v>
      </c>
      <c r="T665" s="19">
        <f t="shared" si="115"/>
        <v>0</v>
      </c>
      <c r="U665" s="16">
        <f>IFERROR(SUMIF('LISTA DE EMBARQUE'!B:B,MICRO!E:E,'LISTA DE EMBARQUE'!G:G),"")</f>
        <v>32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0.64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4512</v>
      </c>
      <c r="AQ665" s="203"/>
      <c r="AR665" s="37"/>
      <c r="AS665" s="37"/>
      <c r="AT665" s="37"/>
      <c r="AU665" s="37"/>
      <c r="AV665" s="37"/>
      <c r="AW665" s="37"/>
    </row>
    <row r="666" spans="1:49" ht="15.75" hidden="1" customHeight="1" x14ac:dyDescent="0.25">
      <c r="A666" s="212"/>
      <c r="B666" s="21" t="s">
        <v>4582</v>
      </c>
      <c r="C666" s="198">
        <v>16</v>
      </c>
      <c r="D666" s="199" t="s">
        <v>4600</v>
      </c>
      <c r="E666" s="210" t="s">
        <v>4733</v>
      </c>
      <c r="F666" s="198" t="s">
        <v>4414</v>
      </c>
      <c r="G666" s="199">
        <v>0.04</v>
      </c>
      <c r="H666" s="213">
        <v>0.64</v>
      </c>
      <c r="I666" s="199"/>
      <c r="J666" s="217"/>
      <c r="K666" s="218" t="s">
        <v>45</v>
      </c>
      <c r="L666" s="214" t="s">
        <v>2069</v>
      </c>
      <c r="M666" s="200"/>
      <c r="N666" s="8" t="s">
        <v>38</v>
      </c>
      <c r="O666" s="215"/>
      <c r="P666" s="216"/>
      <c r="Q666" s="14">
        <f>Tabela1[[#This Row],[QTDE/ Fabricação]]-Tabela1[[#This Row],[QTE]]</f>
        <v>-16</v>
      </c>
      <c r="R666" s="18">
        <f t="shared" si="113"/>
        <v>0.64</v>
      </c>
      <c r="S666" s="18">
        <f t="shared" si="114"/>
        <v>0.64</v>
      </c>
      <c r="T666" s="19">
        <f t="shared" si="115"/>
        <v>0</v>
      </c>
      <c r="U666" s="16">
        <f>IFERROR(SUMIF('LISTA DE EMBARQUE'!B:B,MICRO!E:E,'LISTA DE EMBARQUE'!G:G),"")</f>
        <v>16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0.64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4512</v>
      </c>
      <c r="AQ666" s="203"/>
      <c r="AR666" s="37"/>
      <c r="AS666" s="37"/>
      <c r="AT666" s="37"/>
      <c r="AU666" s="37"/>
      <c r="AV666" s="37"/>
      <c r="AW666" s="37"/>
    </row>
    <row r="667" spans="1:49" ht="15.75" hidden="1" customHeight="1" x14ac:dyDescent="0.25">
      <c r="A667" s="212"/>
      <c r="B667" s="21" t="s">
        <v>4582</v>
      </c>
      <c r="C667" s="198">
        <v>14</v>
      </c>
      <c r="D667" s="199" t="s">
        <v>4601</v>
      </c>
      <c r="E667" s="210" t="s">
        <v>4734</v>
      </c>
      <c r="F667" s="198" t="s">
        <v>4414</v>
      </c>
      <c r="G667" s="199">
        <v>0.06</v>
      </c>
      <c r="H667" s="213">
        <v>0.84</v>
      </c>
      <c r="I667" s="199"/>
      <c r="J667" s="217"/>
      <c r="K667" s="218" t="s">
        <v>45</v>
      </c>
      <c r="L667" s="214" t="s">
        <v>2069</v>
      </c>
      <c r="M667" s="200"/>
      <c r="N667" s="8" t="s">
        <v>38</v>
      </c>
      <c r="O667" s="215"/>
      <c r="P667" s="216"/>
      <c r="Q667" s="14">
        <f>Tabela1[[#This Row],[QTDE/ Fabricação]]-Tabela1[[#This Row],[QTE]]</f>
        <v>-14</v>
      </c>
      <c r="R667" s="18">
        <f t="shared" si="113"/>
        <v>0.84</v>
      </c>
      <c r="S667" s="18">
        <f t="shared" si="114"/>
        <v>0.84</v>
      </c>
      <c r="T667" s="19">
        <f t="shared" si="115"/>
        <v>0</v>
      </c>
      <c r="U667" s="16">
        <f>IFERROR(SUMIF('LISTA DE EMBARQUE'!B:B,MICRO!E:E,'LISTA DE EMBARQUE'!G:G),"")</f>
        <v>14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0.84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4512</v>
      </c>
      <c r="AQ667" s="203"/>
      <c r="AR667" s="37"/>
      <c r="AS667" s="37"/>
      <c r="AT667" s="37"/>
      <c r="AU667" s="37"/>
      <c r="AV667" s="37"/>
      <c r="AW667" s="37"/>
    </row>
    <row r="668" spans="1:49" ht="15.75" hidden="1" customHeight="1" x14ac:dyDescent="0.25">
      <c r="A668" s="212"/>
      <c r="B668" s="21" t="s">
        <v>4582</v>
      </c>
      <c r="C668" s="198">
        <v>130</v>
      </c>
      <c r="D668" s="199" t="s">
        <v>4602</v>
      </c>
      <c r="E668" s="210" t="s">
        <v>4735</v>
      </c>
      <c r="F668" s="198" t="s">
        <v>4414</v>
      </c>
      <c r="G668" s="199">
        <v>0.35</v>
      </c>
      <c r="H668" s="213">
        <v>45.5</v>
      </c>
      <c r="I668" s="199"/>
      <c r="J668" s="217"/>
      <c r="K668" s="218" t="s">
        <v>45</v>
      </c>
      <c r="L668" s="214" t="s">
        <v>2069</v>
      </c>
      <c r="M668" s="200"/>
      <c r="N668" s="8" t="s">
        <v>38</v>
      </c>
      <c r="O668" s="215"/>
      <c r="P668" s="216"/>
      <c r="Q668" s="14">
        <f>Tabela1[[#This Row],[QTDE/ Fabricação]]-Tabela1[[#This Row],[QTE]]</f>
        <v>-130</v>
      </c>
      <c r="R668" s="18">
        <f t="shared" si="113"/>
        <v>45.5</v>
      </c>
      <c r="S668" s="18">
        <f t="shared" si="114"/>
        <v>45.5</v>
      </c>
      <c r="T668" s="19">
        <f t="shared" si="115"/>
        <v>0</v>
      </c>
      <c r="U668" s="16">
        <f>IFERROR(SUMIF('LISTA DE EMBARQUE'!B:B,MICRO!E:E,'LISTA DE EMBARQUE'!G:G),"")</f>
        <v>130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45.5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4512</v>
      </c>
      <c r="AQ668" s="203"/>
      <c r="AR668" s="37"/>
      <c r="AS668" s="37"/>
      <c r="AT668" s="37"/>
      <c r="AU668" s="37"/>
      <c r="AV668" s="37"/>
      <c r="AW668" s="37"/>
    </row>
    <row r="669" spans="1:49" ht="15.75" hidden="1" customHeight="1" x14ac:dyDescent="0.25">
      <c r="A669" s="212"/>
      <c r="B669" s="21" t="s">
        <v>4582</v>
      </c>
      <c r="C669" s="198">
        <v>250</v>
      </c>
      <c r="D669" s="199" t="s">
        <v>4603</v>
      </c>
      <c r="E669" s="210" t="s">
        <v>4736</v>
      </c>
      <c r="F669" s="198" t="s">
        <v>4414</v>
      </c>
      <c r="G669" s="199"/>
      <c r="H669" s="213">
        <v>0</v>
      </c>
      <c r="I669" s="199"/>
      <c r="J669" s="217"/>
      <c r="K669" s="218" t="s">
        <v>45</v>
      </c>
      <c r="L669" s="214" t="s">
        <v>2069</v>
      </c>
      <c r="M669" s="200"/>
      <c r="N669" s="8" t="s">
        <v>38</v>
      </c>
      <c r="O669" s="215"/>
      <c r="P669" s="216"/>
      <c r="Q669" s="14">
        <f>Tabela1[[#This Row],[QTDE/ Fabricação]]-Tabela1[[#This Row],[QTE]]</f>
        <v>-250</v>
      </c>
      <c r="R669" s="18">
        <f t="shared" si="113"/>
        <v>0</v>
      </c>
      <c r="S669" s="18">
        <f t="shared" si="114"/>
        <v>0</v>
      </c>
      <c r="T669" s="19">
        <f t="shared" si="115"/>
        <v>0</v>
      </c>
      <c r="U669" s="16">
        <f>IFERROR(SUMIF('LISTA DE EMBARQUE'!B:B,MICRO!E:E,'LISTA DE EMBARQUE'!G:G),"")</f>
        <v>250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4512</v>
      </c>
      <c r="AQ669" s="203"/>
      <c r="AR669" s="37"/>
      <c r="AS669" s="37"/>
      <c r="AT669" s="37"/>
      <c r="AU669" s="37"/>
      <c r="AV669" s="37"/>
      <c r="AW669" s="37"/>
    </row>
    <row r="670" spans="1:49" ht="15.75" hidden="1" customHeight="1" x14ac:dyDescent="0.25">
      <c r="A670" s="212"/>
      <c r="B670" s="21" t="s">
        <v>4582</v>
      </c>
      <c r="C670" s="198">
        <v>5</v>
      </c>
      <c r="D670" s="199" t="s">
        <v>4604</v>
      </c>
      <c r="E670" s="210" t="s">
        <v>4737</v>
      </c>
      <c r="F670" s="198" t="s">
        <v>4414</v>
      </c>
      <c r="G670" s="199">
        <v>0.3</v>
      </c>
      <c r="H670" s="213">
        <v>1.5</v>
      </c>
      <c r="I670" s="199"/>
      <c r="J670" s="217"/>
      <c r="K670" s="218" t="s">
        <v>45</v>
      </c>
      <c r="L670" s="214" t="s">
        <v>2069</v>
      </c>
      <c r="M670" s="200"/>
      <c r="N670" s="8" t="s">
        <v>38</v>
      </c>
      <c r="O670" s="215"/>
      <c r="P670" s="216"/>
      <c r="Q670" s="14">
        <f>Tabela1[[#This Row],[QTDE/ Fabricação]]-Tabela1[[#This Row],[QTE]]</f>
        <v>-5</v>
      </c>
      <c r="R670" s="18">
        <f t="shared" si="113"/>
        <v>1.5</v>
      </c>
      <c r="S670" s="18">
        <f t="shared" si="114"/>
        <v>1.5</v>
      </c>
      <c r="T670" s="19">
        <f t="shared" si="115"/>
        <v>0</v>
      </c>
      <c r="U670" s="16">
        <f>IFERROR(SUMIF('LISTA DE EMBARQUE'!B:B,MICRO!E:E,'LISTA DE EMBARQUE'!G:G),"")</f>
        <v>5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1.5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4512</v>
      </c>
      <c r="AQ670" s="203"/>
      <c r="AR670" s="37"/>
      <c r="AS670" s="37"/>
      <c r="AT670" s="37"/>
      <c r="AU670" s="37"/>
      <c r="AV670" s="37"/>
      <c r="AW670" s="37"/>
    </row>
    <row r="671" spans="1:49" ht="15.75" hidden="1" customHeight="1" x14ac:dyDescent="0.25">
      <c r="A671" s="212"/>
      <c r="B671" s="21" t="s">
        <v>4582</v>
      </c>
      <c r="C671" s="198">
        <v>6</v>
      </c>
      <c r="D671" s="199" t="s">
        <v>4605</v>
      </c>
      <c r="E671" s="210" t="s">
        <v>4738</v>
      </c>
      <c r="F671" s="198" t="s">
        <v>4414</v>
      </c>
      <c r="G671" s="199">
        <v>0.02</v>
      </c>
      <c r="H671" s="213">
        <v>0.12</v>
      </c>
      <c r="I671" s="199"/>
      <c r="J671" s="217"/>
      <c r="K671" s="218" t="s">
        <v>45</v>
      </c>
      <c r="L671" s="214" t="s">
        <v>2069</v>
      </c>
      <c r="M671" s="200"/>
      <c r="N671" s="8" t="s">
        <v>38</v>
      </c>
      <c r="O671" s="215"/>
      <c r="P671" s="216"/>
      <c r="Q671" s="14">
        <f>Tabela1[[#This Row],[QTDE/ Fabricação]]-Tabela1[[#This Row],[QTE]]</f>
        <v>-6</v>
      </c>
      <c r="R671" s="18">
        <f t="shared" si="113"/>
        <v>0.12</v>
      </c>
      <c r="S671" s="18">
        <f t="shared" si="114"/>
        <v>0.12</v>
      </c>
      <c r="T671" s="19">
        <f t="shared" si="115"/>
        <v>0</v>
      </c>
      <c r="U671" s="16">
        <f>IFERROR(SUMIF('LISTA DE EMBARQUE'!B:B,MICRO!E:E,'LISTA DE EMBARQUE'!G:G),"")</f>
        <v>6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4512</v>
      </c>
      <c r="AQ671" s="203"/>
      <c r="AR671" s="37"/>
      <c r="AS671" s="37"/>
      <c r="AT671" s="37"/>
      <c r="AU671" s="37"/>
      <c r="AV671" s="37"/>
      <c r="AW671" s="37"/>
    </row>
    <row r="672" spans="1:49" ht="15.75" hidden="1" customHeight="1" x14ac:dyDescent="0.25">
      <c r="A672" s="212"/>
      <c r="B672" s="21" t="s">
        <v>4582</v>
      </c>
      <c r="C672" s="198">
        <v>6</v>
      </c>
      <c r="D672" s="199" t="s">
        <v>4606</v>
      </c>
      <c r="E672" s="210" t="s">
        <v>4739</v>
      </c>
      <c r="F672" s="198" t="s">
        <v>4414</v>
      </c>
      <c r="G672" s="199">
        <v>0.03</v>
      </c>
      <c r="H672" s="213">
        <v>0.18</v>
      </c>
      <c r="I672" s="199"/>
      <c r="J672" s="217"/>
      <c r="K672" s="218" t="s">
        <v>45</v>
      </c>
      <c r="L672" s="214" t="s">
        <v>2069</v>
      </c>
      <c r="M672" s="200"/>
      <c r="N672" s="8" t="s">
        <v>38</v>
      </c>
      <c r="O672" s="215"/>
      <c r="P672" s="216"/>
      <c r="Q672" s="14">
        <f>Tabela1[[#This Row],[QTDE/ Fabricação]]-Tabela1[[#This Row],[QTE]]</f>
        <v>-6</v>
      </c>
      <c r="R672" s="18">
        <f t="shared" si="113"/>
        <v>0.18</v>
      </c>
      <c r="S672" s="18">
        <f t="shared" si="114"/>
        <v>0.18</v>
      </c>
      <c r="T672" s="19">
        <f t="shared" si="115"/>
        <v>0</v>
      </c>
      <c r="U672" s="16">
        <f>IFERROR(SUMIF('LISTA DE EMBARQUE'!B:B,MICRO!E:E,'LISTA DE EMBARQUE'!G:G),"")</f>
        <v>6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0.18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4512</v>
      </c>
      <c r="AQ672" s="203"/>
      <c r="AR672" s="37"/>
      <c r="AS672" s="37"/>
      <c r="AT672" s="37"/>
      <c r="AU672" s="37"/>
      <c r="AV672" s="37"/>
      <c r="AW672" s="37"/>
    </row>
    <row r="673" spans="1:49" ht="15.75" hidden="1" customHeight="1" x14ac:dyDescent="0.25">
      <c r="A673" s="212"/>
      <c r="B673" s="21" t="s">
        <v>4582</v>
      </c>
      <c r="C673" s="198">
        <v>4</v>
      </c>
      <c r="D673" s="199" t="s">
        <v>4607</v>
      </c>
      <c r="E673" s="210" t="s">
        <v>4740</v>
      </c>
      <c r="F673" s="198" t="s">
        <v>4414</v>
      </c>
      <c r="G673" s="199">
        <v>0.01</v>
      </c>
      <c r="H673" s="213">
        <v>0.04</v>
      </c>
      <c r="I673" s="199"/>
      <c r="J673" s="217"/>
      <c r="K673" s="218" t="s">
        <v>45</v>
      </c>
      <c r="L673" s="214" t="s">
        <v>2069</v>
      </c>
      <c r="M673" s="200"/>
      <c r="N673" s="8" t="s">
        <v>38</v>
      </c>
      <c r="O673" s="215"/>
      <c r="P673" s="216"/>
      <c r="Q673" s="14">
        <f>Tabela1[[#This Row],[QTDE/ Fabricação]]-Tabela1[[#This Row],[QTE]]</f>
        <v>-4</v>
      </c>
      <c r="R673" s="18">
        <f t="shared" si="113"/>
        <v>0.04</v>
      </c>
      <c r="S673" s="18">
        <f t="shared" si="114"/>
        <v>0.04</v>
      </c>
      <c r="T673" s="19">
        <f t="shared" si="115"/>
        <v>0</v>
      </c>
      <c r="U673" s="16">
        <f>IFERROR(SUMIF('LISTA DE EMBARQUE'!B:B,MICRO!E:E,'LISTA DE EMBARQUE'!G:G),"")</f>
        <v>4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0.04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4512</v>
      </c>
      <c r="AQ673" s="203"/>
      <c r="AR673" s="37"/>
      <c r="AS673" s="37"/>
      <c r="AT673" s="37"/>
      <c r="AU673" s="37"/>
      <c r="AV673" s="37"/>
      <c r="AW673" s="37"/>
    </row>
    <row r="674" spans="1:49" ht="15.75" hidden="1" customHeight="1" x14ac:dyDescent="0.25">
      <c r="A674" s="212"/>
      <c r="B674" s="21" t="s">
        <v>4582</v>
      </c>
      <c r="C674" s="198">
        <v>3</v>
      </c>
      <c r="D674" s="199" t="s">
        <v>4608</v>
      </c>
      <c r="E674" s="210" t="s">
        <v>4741</v>
      </c>
      <c r="F674" s="198" t="s">
        <v>4414</v>
      </c>
      <c r="G674" s="199">
        <v>0.05</v>
      </c>
      <c r="H674" s="213">
        <v>0.15000000000000002</v>
      </c>
      <c r="I674" s="199"/>
      <c r="J674" s="217"/>
      <c r="K674" s="218" t="s">
        <v>45</v>
      </c>
      <c r="L674" s="214" t="s">
        <v>2069</v>
      </c>
      <c r="M674" s="200"/>
      <c r="N674" s="8" t="s">
        <v>38</v>
      </c>
      <c r="O674" s="215"/>
      <c r="P674" s="216"/>
      <c r="Q674" s="14">
        <f>Tabela1[[#This Row],[QTDE/ Fabricação]]-Tabela1[[#This Row],[QTE]]</f>
        <v>-3</v>
      </c>
      <c r="R674" s="18">
        <f t="shared" si="113"/>
        <v>0.15000000000000002</v>
      </c>
      <c r="S674" s="18">
        <f t="shared" si="114"/>
        <v>0.15000000000000002</v>
      </c>
      <c r="T674" s="19">
        <f t="shared" si="115"/>
        <v>0</v>
      </c>
      <c r="U674" s="16">
        <f>IFERROR(SUMIF('LISTA DE EMBARQUE'!B:B,MICRO!E:E,'LISTA DE EMBARQUE'!G:G),"")</f>
        <v>3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0.15000000000000002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4512</v>
      </c>
      <c r="AQ674" s="203"/>
      <c r="AR674" s="37"/>
      <c r="AS674" s="37"/>
      <c r="AT674" s="37"/>
      <c r="AU674" s="37"/>
      <c r="AV674" s="37"/>
      <c r="AW674" s="37"/>
    </row>
    <row r="675" spans="1:49" ht="15.75" hidden="1" customHeight="1" x14ac:dyDescent="0.25">
      <c r="A675" s="212"/>
      <c r="B675" s="21" t="s">
        <v>4582</v>
      </c>
      <c r="C675" s="198">
        <v>3</v>
      </c>
      <c r="D675" s="199" t="s">
        <v>4609</v>
      </c>
      <c r="E675" s="210" t="s">
        <v>4742</v>
      </c>
      <c r="F675" s="198" t="s">
        <v>4414</v>
      </c>
      <c r="G675" s="199">
        <v>0.05</v>
      </c>
      <c r="H675" s="213">
        <v>0.15000000000000002</v>
      </c>
      <c r="I675" s="199"/>
      <c r="J675" s="217"/>
      <c r="K675" s="218" t="s">
        <v>45</v>
      </c>
      <c r="L675" s="214" t="s">
        <v>2069</v>
      </c>
      <c r="M675" s="200"/>
      <c r="N675" s="8" t="s">
        <v>38</v>
      </c>
      <c r="O675" s="215"/>
      <c r="P675" s="216"/>
      <c r="Q675" s="14">
        <f>Tabela1[[#This Row],[QTDE/ Fabricação]]-Tabela1[[#This Row],[QTE]]</f>
        <v>-3</v>
      </c>
      <c r="R675" s="18">
        <f t="shared" si="113"/>
        <v>0.15000000000000002</v>
      </c>
      <c r="S675" s="18">
        <f t="shared" si="114"/>
        <v>0.15000000000000002</v>
      </c>
      <c r="T675" s="19">
        <f t="shared" si="115"/>
        <v>0</v>
      </c>
      <c r="U675" s="16">
        <f>IFERROR(SUMIF('LISTA DE EMBARQUE'!B:B,MICRO!E:E,'LISTA DE EMBARQUE'!G:G),"")</f>
        <v>3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0.15000000000000002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4512</v>
      </c>
      <c r="AQ675" s="203"/>
      <c r="AR675" s="37"/>
      <c r="AS675" s="37"/>
      <c r="AT675" s="37"/>
      <c r="AU675" s="37"/>
      <c r="AV675" s="37"/>
      <c r="AW675" s="37"/>
    </row>
    <row r="676" spans="1:49" ht="15.75" hidden="1" customHeight="1" x14ac:dyDescent="0.25">
      <c r="A676" s="212"/>
      <c r="B676" s="21" t="s">
        <v>4582</v>
      </c>
      <c r="C676" s="198">
        <v>5</v>
      </c>
      <c r="D676" s="199" t="s">
        <v>4610</v>
      </c>
      <c r="E676" s="210" t="s">
        <v>4743</v>
      </c>
      <c r="F676" s="198" t="s">
        <v>4414</v>
      </c>
      <c r="G676" s="199">
        <v>0.02</v>
      </c>
      <c r="H676" s="213">
        <v>0.1</v>
      </c>
      <c r="I676" s="199"/>
      <c r="J676" s="217"/>
      <c r="K676" s="218" t="s">
        <v>45</v>
      </c>
      <c r="L676" s="214" t="s">
        <v>2069</v>
      </c>
      <c r="M676" s="200"/>
      <c r="N676" s="8" t="s">
        <v>38</v>
      </c>
      <c r="O676" s="215"/>
      <c r="P676" s="216"/>
      <c r="Q676" s="14">
        <f>Tabela1[[#This Row],[QTDE/ Fabricação]]-Tabela1[[#This Row],[QTE]]</f>
        <v>-5</v>
      </c>
      <c r="R676" s="18">
        <f t="shared" si="113"/>
        <v>0.1</v>
      </c>
      <c r="S676" s="18">
        <f t="shared" si="114"/>
        <v>0.1</v>
      </c>
      <c r="T676" s="19">
        <f t="shared" si="115"/>
        <v>0</v>
      </c>
      <c r="U676" s="16">
        <f>IFERROR(SUMIF('LISTA DE EMBARQUE'!B:B,MICRO!E:E,'LISTA DE EMBARQUE'!G:G),"")</f>
        <v>5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0.1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4512</v>
      </c>
      <c r="AQ676" s="203"/>
      <c r="AR676" s="37"/>
      <c r="AS676" s="37"/>
      <c r="AT676" s="37"/>
      <c r="AU676" s="37"/>
      <c r="AV676" s="37"/>
      <c r="AW676" s="37"/>
    </row>
    <row r="677" spans="1:49" ht="15.75" hidden="1" customHeight="1" x14ac:dyDescent="0.25">
      <c r="A677" s="212"/>
      <c r="B677" s="21" t="s">
        <v>4582</v>
      </c>
      <c r="C677" s="198">
        <v>2</v>
      </c>
      <c r="D677" s="199" t="s">
        <v>4611</v>
      </c>
      <c r="E677" s="210" t="s">
        <v>4744</v>
      </c>
      <c r="F677" s="198" t="s">
        <v>4414</v>
      </c>
      <c r="G677" s="199">
        <v>0.04</v>
      </c>
      <c r="H677" s="213">
        <v>0.08</v>
      </c>
      <c r="I677" s="199"/>
      <c r="J677" s="217"/>
      <c r="K677" s="218" t="s">
        <v>45</v>
      </c>
      <c r="L677" s="214" t="s">
        <v>2069</v>
      </c>
      <c r="M677" s="200"/>
      <c r="N677" s="8" t="s">
        <v>38</v>
      </c>
      <c r="O677" s="215"/>
      <c r="P677" s="216"/>
      <c r="Q677" s="14">
        <f>Tabela1[[#This Row],[QTDE/ Fabricação]]-Tabela1[[#This Row],[QTE]]</f>
        <v>-2</v>
      </c>
      <c r="R677" s="18">
        <f t="shared" si="113"/>
        <v>0.08</v>
      </c>
      <c r="S677" s="18">
        <f t="shared" si="114"/>
        <v>0.08</v>
      </c>
      <c r="T677" s="19">
        <f t="shared" si="115"/>
        <v>0</v>
      </c>
      <c r="U677" s="16">
        <f>IFERROR(SUMIF('LISTA DE EMBARQUE'!B:B,MICRO!E:E,'LISTA DE EMBARQUE'!G:G),"")</f>
        <v>2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0.08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4512</v>
      </c>
      <c r="AQ677" s="203"/>
      <c r="AR677" s="37"/>
      <c r="AS677" s="37"/>
      <c r="AT677" s="37"/>
      <c r="AU677" s="37"/>
      <c r="AV677" s="37"/>
      <c r="AW677" s="37"/>
    </row>
    <row r="678" spans="1:49" ht="15.75" hidden="1" customHeight="1" x14ac:dyDescent="0.25">
      <c r="A678" s="212"/>
      <c r="B678" s="21" t="s">
        <v>4582</v>
      </c>
      <c r="C678" s="198">
        <v>1</v>
      </c>
      <c r="D678" s="199" t="s">
        <v>4612</v>
      </c>
      <c r="E678" s="210" t="s">
        <v>4745</v>
      </c>
      <c r="F678" s="198" t="s">
        <v>4414</v>
      </c>
      <c r="G678" s="199">
        <v>1.2</v>
      </c>
      <c r="H678" s="213">
        <v>1.2</v>
      </c>
      <c r="I678" s="199"/>
      <c r="J678" s="217"/>
      <c r="K678" s="218" t="s">
        <v>45</v>
      </c>
      <c r="L678" s="214" t="s">
        <v>2069</v>
      </c>
      <c r="M678" s="200"/>
      <c r="N678" s="8" t="s">
        <v>38</v>
      </c>
      <c r="O678" s="215"/>
      <c r="P678" s="216"/>
      <c r="Q678" s="14">
        <f>Tabela1[[#This Row],[QTDE/ Fabricação]]-Tabela1[[#This Row],[QTE]]</f>
        <v>-1</v>
      </c>
      <c r="R678" s="18">
        <f t="shared" si="113"/>
        <v>1.2</v>
      </c>
      <c r="S678" s="18">
        <f t="shared" si="114"/>
        <v>1.2</v>
      </c>
      <c r="T678" s="19">
        <f t="shared" si="115"/>
        <v>0</v>
      </c>
      <c r="U678" s="16">
        <f>IFERROR(SUMIF('LISTA DE EMBARQUE'!B:B,MICRO!E:E,'LISTA DE EMBARQUE'!G:G),"")</f>
        <v>1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1.2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4512</v>
      </c>
      <c r="AQ678" s="203"/>
      <c r="AR678" s="37"/>
      <c r="AS678" s="37"/>
      <c r="AT678" s="37"/>
      <c r="AU678" s="37"/>
      <c r="AV678" s="37"/>
      <c r="AW678" s="37"/>
    </row>
    <row r="679" spans="1:49" ht="15.75" hidden="1" customHeight="1" x14ac:dyDescent="0.25">
      <c r="A679" s="212"/>
      <c r="B679" s="21" t="s">
        <v>4560</v>
      </c>
      <c r="C679" s="198">
        <v>130</v>
      </c>
      <c r="D679" s="199" t="s">
        <v>4613</v>
      </c>
      <c r="E679" s="210" t="s">
        <v>4746</v>
      </c>
      <c r="F679" s="198" t="s">
        <v>4414</v>
      </c>
      <c r="G679" s="199">
        <v>1.8</v>
      </c>
      <c r="H679" s="213">
        <v>234</v>
      </c>
      <c r="I679" s="199"/>
      <c r="J679" s="217"/>
      <c r="K679" s="218" t="s">
        <v>45</v>
      </c>
      <c r="L679" s="214" t="s">
        <v>2069</v>
      </c>
      <c r="M679" s="200"/>
      <c r="N679" s="8" t="s">
        <v>38</v>
      </c>
      <c r="O679" s="215"/>
      <c r="P679" s="216"/>
      <c r="Q679" s="14">
        <f>Tabela1[[#This Row],[QTDE/ Fabricação]]-Tabela1[[#This Row],[QTE]]</f>
        <v>-130</v>
      </c>
      <c r="R679" s="18">
        <f t="shared" si="113"/>
        <v>234</v>
      </c>
      <c r="S679" s="18">
        <f t="shared" si="114"/>
        <v>234</v>
      </c>
      <c r="T679" s="19">
        <f t="shared" si="115"/>
        <v>0</v>
      </c>
      <c r="U679" s="16">
        <f>IFERROR(SUMIF('LISTA DE EMBARQUE'!B:B,MICRO!E:E,'LISTA DE EMBARQUE'!G:G),"")</f>
        <v>130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234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4512</v>
      </c>
      <c r="AQ679" s="203"/>
      <c r="AR679" s="37"/>
      <c r="AS679" s="37"/>
      <c r="AT679" s="37"/>
      <c r="AU679" s="37"/>
      <c r="AV679" s="37"/>
      <c r="AW679" s="37"/>
    </row>
    <row r="680" spans="1:49" ht="15.75" hidden="1" customHeight="1" x14ac:dyDescent="0.25">
      <c r="A680" s="212"/>
      <c r="B680" s="21" t="s">
        <v>4560</v>
      </c>
      <c r="C680" s="198">
        <v>250</v>
      </c>
      <c r="D680" s="199" t="s">
        <v>4614</v>
      </c>
      <c r="E680" s="210" t="s">
        <v>4747</v>
      </c>
      <c r="F680" s="198" t="s">
        <v>4414</v>
      </c>
      <c r="G680" s="199">
        <v>1.8</v>
      </c>
      <c r="H680" s="213">
        <v>450</v>
      </c>
      <c r="I680" s="199"/>
      <c r="J680" s="217"/>
      <c r="K680" s="218" t="s">
        <v>45</v>
      </c>
      <c r="L680" s="214" t="s">
        <v>2069</v>
      </c>
      <c r="M680" s="200"/>
      <c r="N680" s="8" t="s">
        <v>38</v>
      </c>
      <c r="O680" s="215"/>
      <c r="P680" s="216"/>
      <c r="Q680" s="14">
        <f>Tabela1[[#This Row],[QTDE/ Fabricação]]-Tabela1[[#This Row],[QTE]]</f>
        <v>-250</v>
      </c>
      <c r="R680" s="18">
        <f t="shared" si="113"/>
        <v>450</v>
      </c>
      <c r="S680" s="18">
        <f t="shared" si="114"/>
        <v>450</v>
      </c>
      <c r="T680" s="19">
        <f t="shared" si="115"/>
        <v>0</v>
      </c>
      <c r="U680" s="16">
        <f>IFERROR(SUMIF('LISTA DE EMBARQUE'!B:B,MICRO!E:E,'LISTA DE EMBARQUE'!G:G),"")</f>
        <v>250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450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4512</v>
      </c>
      <c r="AQ680" s="203"/>
      <c r="AR680" s="37"/>
      <c r="AS680" s="37"/>
      <c r="AT680" s="37"/>
      <c r="AU680" s="37"/>
      <c r="AV680" s="37"/>
      <c r="AW680" s="37"/>
    </row>
    <row r="681" spans="1:49" ht="15.75" hidden="1" customHeight="1" x14ac:dyDescent="0.25">
      <c r="A681" s="212"/>
      <c r="B681" s="21" t="s">
        <v>4560</v>
      </c>
      <c r="C681" s="198">
        <v>5</v>
      </c>
      <c r="D681" s="199" t="s">
        <v>4615</v>
      </c>
      <c r="E681" s="210" t="s">
        <v>4748</v>
      </c>
      <c r="F681" s="198" t="s">
        <v>4414</v>
      </c>
      <c r="G681" s="199">
        <v>0.3</v>
      </c>
      <c r="H681" s="213">
        <v>1.5</v>
      </c>
      <c r="I681" s="199"/>
      <c r="J681" s="217"/>
      <c r="K681" s="218" t="s">
        <v>45</v>
      </c>
      <c r="L681" s="214" t="s">
        <v>2069</v>
      </c>
      <c r="M681" s="200"/>
      <c r="N681" s="8" t="s">
        <v>38</v>
      </c>
      <c r="O681" s="215"/>
      <c r="P681" s="216"/>
      <c r="Q681" s="14">
        <f>Tabela1[[#This Row],[QTDE/ Fabricação]]-Tabela1[[#This Row],[QTE]]</f>
        <v>-5</v>
      </c>
      <c r="R681" s="18">
        <f t="shared" si="113"/>
        <v>1.5</v>
      </c>
      <c r="S681" s="18">
        <f t="shared" si="114"/>
        <v>1.5</v>
      </c>
      <c r="T681" s="19">
        <f t="shared" si="115"/>
        <v>0</v>
      </c>
      <c r="U681" s="16">
        <f>IFERROR(SUMIF('LISTA DE EMBARQUE'!B:B,MICRO!E:E,'LISTA DE EMBARQUE'!G:G),"")</f>
        <v>5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1.5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4512</v>
      </c>
      <c r="AQ681" s="203"/>
      <c r="AR681" s="37"/>
      <c r="AS681" s="37"/>
      <c r="AT681" s="37"/>
      <c r="AU681" s="37"/>
      <c r="AV681" s="37"/>
      <c r="AW681" s="37"/>
    </row>
    <row r="682" spans="1:49" ht="15.75" hidden="1" customHeight="1" x14ac:dyDescent="0.25">
      <c r="A682" s="212"/>
      <c r="B682" s="21" t="s">
        <v>4560</v>
      </c>
      <c r="C682" s="198">
        <v>6</v>
      </c>
      <c r="D682" s="199" t="s">
        <v>4616</v>
      </c>
      <c r="E682" s="210" t="s">
        <v>4749</v>
      </c>
      <c r="F682" s="198" t="s">
        <v>4414</v>
      </c>
      <c r="G682" s="199">
        <v>0.02</v>
      </c>
      <c r="H682" s="213">
        <v>0.12</v>
      </c>
      <c r="I682" s="199"/>
      <c r="J682" s="217"/>
      <c r="K682" s="218" t="s">
        <v>45</v>
      </c>
      <c r="L682" s="214" t="s">
        <v>2069</v>
      </c>
      <c r="M682" s="200"/>
      <c r="N682" s="8" t="s">
        <v>38</v>
      </c>
      <c r="O682" s="215"/>
      <c r="P682" s="216"/>
      <c r="Q682" s="14">
        <f>Tabela1[[#This Row],[QTDE/ Fabricação]]-Tabela1[[#This Row],[QTE]]</f>
        <v>-6</v>
      </c>
      <c r="R682" s="18">
        <f t="shared" si="113"/>
        <v>0.12</v>
      </c>
      <c r="S682" s="18">
        <f t="shared" si="114"/>
        <v>0.12</v>
      </c>
      <c r="T682" s="19">
        <f t="shared" si="115"/>
        <v>0</v>
      </c>
      <c r="U682" s="16">
        <f>IFERROR(SUMIF('LISTA DE EMBARQUE'!B:B,MICRO!E:E,'LISTA DE EMBARQUE'!G:G),"")</f>
        <v>6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0.12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4512</v>
      </c>
      <c r="AQ682" s="203"/>
      <c r="AR682" s="37"/>
      <c r="AS682" s="37"/>
      <c r="AT682" s="37"/>
      <c r="AU682" s="37"/>
      <c r="AV682" s="37"/>
      <c r="AW682" s="37"/>
    </row>
    <row r="683" spans="1:49" ht="15.75" hidden="1" customHeight="1" x14ac:dyDescent="0.25">
      <c r="A683" s="212"/>
      <c r="B683" s="21" t="s">
        <v>4560</v>
      </c>
      <c r="C683" s="198">
        <v>6</v>
      </c>
      <c r="D683" s="199" t="s">
        <v>4617</v>
      </c>
      <c r="E683" s="210" t="s">
        <v>4750</v>
      </c>
      <c r="F683" s="198" t="s">
        <v>4414</v>
      </c>
      <c r="G683" s="199">
        <v>0.03</v>
      </c>
      <c r="H683" s="213">
        <v>0.18</v>
      </c>
      <c r="I683" s="199"/>
      <c r="J683" s="217"/>
      <c r="K683" s="218" t="s">
        <v>45</v>
      </c>
      <c r="L683" s="214" t="s">
        <v>2069</v>
      </c>
      <c r="M683" s="200"/>
      <c r="N683" s="8" t="s">
        <v>38</v>
      </c>
      <c r="O683" s="215"/>
      <c r="P683" s="216"/>
      <c r="Q683" s="14">
        <f>Tabela1[[#This Row],[QTDE/ Fabricação]]-Tabela1[[#This Row],[QTE]]</f>
        <v>-6</v>
      </c>
      <c r="R683" s="18">
        <f t="shared" si="113"/>
        <v>0.18</v>
      </c>
      <c r="S683" s="18">
        <f t="shared" si="114"/>
        <v>0.18</v>
      </c>
      <c r="T683" s="19">
        <f t="shared" si="115"/>
        <v>0</v>
      </c>
      <c r="U683" s="16">
        <f>IFERROR(SUMIF('LISTA DE EMBARQUE'!B:B,MICRO!E:E,'LISTA DE EMBARQUE'!G:G),"")</f>
        <v>6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0.18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4512</v>
      </c>
      <c r="AQ683" s="203"/>
      <c r="AR683" s="37"/>
      <c r="AS683" s="37"/>
      <c r="AT683" s="37"/>
      <c r="AU683" s="37"/>
      <c r="AV683" s="37"/>
      <c r="AW683" s="37"/>
    </row>
    <row r="684" spans="1:49" ht="15.75" hidden="1" customHeight="1" x14ac:dyDescent="0.25">
      <c r="A684" s="212"/>
      <c r="B684" s="21" t="s">
        <v>4560</v>
      </c>
      <c r="C684" s="198">
        <v>4</v>
      </c>
      <c r="D684" s="199" t="s">
        <v>4618</v>
      </c>
      <c r="E684" s="210" t="s">
        <v>4751</v>
      </c>
      <c r="F684" s="198" t="s">
        <v>4414</v>
      </c>
      <c r="G684" s="199">
        <v>0.01</v>
      </c>
      <c r="H684" s="213">
        <v>0.04</v>
      </c>
      <c r="I684" s="199"/>
      <c r="J684" s="217"/>
      <c r="K684" s="218" t="s">
        <v>45</v>
      </c>
      <c r="L684" s="214" t="s">
        <v>2069</v>
      </c>
      <c r="M684" s="200"/>
      <c r="N684" s="8" t="s">
        <v>38</v>
      </c>
      <c r="O684" s="215"/>
      <c r="P684" s="216"/>
      <c r="Q684" s="14">
        <f>Tabela1[[#This Row],[QTDE/ Fabricação]]-Tabela1[[#This Row],[QTE]]</f>
        <v>-4</v>
      </c>
      <c r="R684" s="18">
        <f t="shared" si="113"/>
        <v>0.04</v>
      </c>
      <c r="S684" s="18">
        <f t="shared" si="114"/>
        <v>0.04</v>
      </c>
      <c r="T684" s="19">
        <f t="shared" si="115"/>
        <v>0</v>
      </c>
      <c r="U684" s="16">
        <f>IFERROR(SUMIF('LISTA DE EMBARQUE'!B:B,MICRO!E:E,'LISTA DE EMBARQUE'!G:G),"")</f>
        <v>4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0.04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4512</v>
      </c>
      <c r="AQ684" s="203"/>
      <c r="AR684" s="37"/>
      <c r="AS684" s="37"/>
      <c r="AT684" s="37"/>
      <c r="AU684" s="37"/>
      <c r="AV684" s="37"/>
      <c r="AW684" s="37"/>
    </row>
    <row r="685" spans="1:49" ht="15.75" hidden="1" customHeight="1" x14ac:dyDescent="0.25">
      <c r="A685" s="212"/>
      <c r="B685" s="21" t="s">
        <v>4560</v>
      </c>
      <c r="C685" s="198">
        <v>3</v>
      </c>
      <c r="D685" s="199" t="s">
        <v>4619</v>
      </c>
      <c r="E685" s="210" t="s">
        <v>4752</v>
      </c>
      <c r="F685" s="198" t="s">
        <v>4414</v>
      </c>
      <c r="G685" s="199">
        <v>2</v>
      </c>
      <c r="H685" s="213">
        <v>6</v>
      </c>
      <c r="I685" s="199"/>
      <c r="J685" s="217"/>
      <c r="K685" s="218" t="s">
        <v>45</v>
      </c>
      <c r="L685" s="214" t="s">
        <v>2069</v>
      </c>
      <c r="M685" s="200"/>
      <c r="N685" s="8" t="s">
        <v>38</v>
      </c>
      <c r="O685" s="215"/>
      <c r="P685" s="216"/>
      <c r="Q685" s="14">
        <f>Tabela1[[#This Row],[QTDE/ Fabricação]]-Tabela1[[#This Row],[QTE]]</f>
        <v>-3</v>
      </c>
      <c r="R685" s="18">
        <f t="shared" si="113"/>
        <v>6</v>
      </c>
      <c r="S685" s="18">
        <f t="shared" si="114"/>
        <v>6</v>
      </c>
      <c r="T685" s="19">
        <f t="shared" si="115"/>
        <v>0</v>
      </c>
      <c r="U685" s="16">
        <f>IFERROR(SUMIF('LISTA DE EMBARQUE'!B:B,MICRO!E:E,'LISTA DE EMBARQUE'!G:G),"")</f>
        <v>3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6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4512</v>
      </c>
      <c r="AQ685" s="203"/>
      <c r="AR685" s="37"/>
      <c r="AS685" s="37"/>
      <c r="AT685" s="37"/>
      <c r="AU685" s="37"/>
      <c r="AV685" s="37"/>
      <c r="AW685" s="37"/>
    </row>
    <row r="686" spans="1:49" ht="15.75" hidden="1" customHeight="1" x14ac:dyDescent="0.25">
      <c r="A686" s="212"/>
      <c r="B686" s="21" t="s">
        <v>4560</v>
      </c>
      <c r="C686" s="198">
        <v>3</v>
      </c>
      <c r="D686" s="199" t="s">
        <v>4620</v>
      </c>
      <c r="E686" s="210" t="s">
        <v>4753</v>
      </c>
      <c r="F686" s="198" t="s">
        <v>4414</v>
      </c>
      <c r="G686" s="199">
        <v>1.5</v>
      </c>
      <c r="H686" s="213">
        <v>4.5</v>
      </c>
      <c r="I686" s="199"/>
      <c r="J686" s="217"/>
      <c r="K686" s="218" t="s">
        <v>45</v>
      </c>
      <c r="L686" s="214" t="s">
        <v>2069</v>
      </c>
      <c r="M686" s="200"/>
      <c r="N686" s="8" t="s">
        <v>38</v>
      </c>
      <c r="O686" s="215"/>
      <c r="P686" s="216"/>
      <c r="Q686" s="14">
        <f>Tabela1[[#This Row],[QTDE/ Fabricação]]-Tabela1[[#This Row],[QTE]]</f>
        <v>-3</v>
      </c>
      <c r="R686" s="18">
        <f t="shared" si="113"/>
        <v>4.5</v>
      </c>
      <c r="S686" s="18">
        <f t="shared" si="114"/>
        <v>4.5</v>
      </c>
      <c r="T686" s="19">
        <f t="shared" si="115"/>
        <v>0</v>
      </c>
      <c r="U686" s="16">
        <f>IFERROR(SUMIF('LISTA DE EMBARQUE'!B:B,MICRO!E:E,'LISTA DE EMBARQUE'!G:G),"")</f>
        <v>3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4.5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4512</v>
      </c>
      <c r="AQ686" s="203"/>
      <c r="AR686" s="37"/>
      <c r="AS686" s="37"/>
      <c r="AT686" s="37"/>
      <c r="AU686" s="37"/>
      <c r="AV686" s="37"/>
      <c r="AW686" s="37"/>
    </row>
    <row r="687" spans="1:49" ht="15.75" hidden="1" customHeight="1" x14ac:dyDescent="0.25">
      <c r="A687" s="212"/>
      <c r="B687" s="21" t="s">
        <v>4560</v>
      </c>
      <c r="C687" s="198">
        <v>5</v>
      </c>
      <c r="D687" s="199" t="s">
        <v>4621</v>
      </c>
      <c r="E687" s="210" t="s">
        <v>4754</v>
      </c>
      <c r="F687" s="198" t="s">
        <v>4414</v>
      </c>
      <c r="G687" s="199">
        <v>0.02</v>
      </c>
      <c r="H687" s="213">
        <v>0.1</v>
      </c>
      <c r="I687" s="199"/>
      <c r="J687" s="217"/>
      <c r="K687" s="218" t="s">
        <v>45</v>
      </c>
      <c r="L687" s="214" t="s">
        <v>2069</v>
      </c>
      <c r="M687" s="200"/>
      <c r="N687" s="8" t="s">
        <v>38</v>
      </c>
      <c r="O687" s="215"/>
      <c r="P687" s="216"/>
      <c r="Q687" s="14">
        <f>Tabela1[[#This Row],[QTDE/ Fabricação]]-Tabela1[[#This Row],[QTE]]</f>
        <v>-5</v>
      </c>
      <c r="R687" s="18">
        <f t="shared" si="113"/>
        <v>0.1</v>
      </c>
      <c r="S687" s="18">
        <f t="shared" si="114"/>
        <v>0.1</v>
      </c>
      <c r="T687" s="19">
        <f t="shared" si="115"/>
        <v>0</v>
      </c>
      <c r="U687" s="16">
        <f>IFERROR(SUMIF('LISTA DE EMBARQUE'!B:B,MICRO!E:E,'LISTA DE EMBARQUE'!G:G),"")</f>
        <v>5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0.1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4512</v>
      </c>
      <c r="AQ687" s="203"/>
      <c r="AR687" s="37"/>
      <c r="AS687" s="37"/>
      <c r="AT687" s="37"/>
      <c r="AU687" s="37"/>
      <c r="AV687" s="37"/>
      <c r="AW687" s="37"/>
    </row>
    <row r="688" spans="1:49" ht="15.75" hidden="1" customHeight="1" x14ac:dyDescent="0.25">
      <c r="A688" s="212"/>
      <c r="B688" s="21" t="s">
        <v>4560</v>
      </c>
      <c r="C688" s="198">
        <v>2</v>
      </c>
      <c r="D688" s="199" t="s">
        <v>4622</v>
      </c>
      <c r="E688" s="210" t="s">
        <v>4755</v>
      </c>
      <c r="F688" s="198" t="s">
        <v>4414</v>
      </c>
      <c r="G688" s="199">
        <v>0.04</v>
      </c>
      <c r="H688" s="213">
        <v>0.08</v>
      </c>
      <c r="I688" s="199"/>
      <c r="J688" s="217"/>
      <c r="K688" s="218" t="s">
        <v>45</v>
      </c>
      <c r="L688" s="214" t="s">
        <v>2069</v>
      </c>
      <c r="M688" s="200"/>
      <c r="N688" s="8" t="s">
        <v>38</v>
      </c>
      <c r="O688" s="215"/>
      <c r="P688" s="216"/>
      <c r="Q688" s="14">
        <f>Tabela1[[#This Row],[QTDE/ Fabricação]]-Tabela1[[#This Row],[QTE]]</f>
        <v>-2</v>
      </c>
      <c r="R688" s="18">
        <f t="shared" si="113"/>
        <v>0.08</v>
      </c>
      <c r="S688" s="18">
        <f t="shared" si="114"/>
        <v>0.08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0.08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4512</v>
      </c>
      <c r="AQ688" s="203"/>
      <c r="AR688" s="37"/>
      <c r="AS688" s="37"/>
      <c r="AT688" s="37"/>
      <c r="AU688" s="37"/>
      <c r="AV688" s="37"/>
      <c r="AW688" s="37"/>
    </row>
    <row r="689" spans="1:49" ht="15.75" hidden="1" customHeight="1" x14ac:dyDescent="0.25">
      <c r="A689" s="212"/>
      <c r="B689" s="21" t="s">
        <v>4560</v>
      </c>
      <c r="C689" s="198">
        <v>1</v>
      </c>
      <c r="D689" s="199" t="s">
        <v>4623</v>
      </c>
      <c r="E689" s="210" t="s">
        <v>4756</v>
      </c>
      <c r="F689" s="198" t="s">
        <v>4414</v>
      </c>
      <c r="G689" s="199">
        <v>1.2</v>
      </c>
      <c r="H689" s="213">
        <v>1.2</v>
      </c>
      <c r="I689" s="199"/>
      <c r="J689" s="217"/>
      <c r="K689" s="218" t="s">
        <v>45</v>
      </c>
      <c r="L689" s="214" t="s">
        <v>2069</v>
      </c>
      <c r="M689" s="200"/>
      <c r="N689" s="8" t="s">
        <v>38</v>
      </c>
      <c r="O689" s="215"/>
      <c r="P689" s="216"/>
      <c r="Q689" s="14">
        <f>Tabela1[[#This Row],[QTDE/ Fabricação]]-Tabela1[[#This Row],[QTE]]</f>
        <v>-1</v>
      </c>
      <c r="R689" s="18">
        <f t="shared" si="113"/>
        <v>1.2</v>
      </c>
      <c r="S689" s="18">
        <f t="shared" si="114"/>
        <v>1.2</v>
      </c>
      <c r="T689" s="19">
        <f t="shared" si="115"/>
        <v>0</v>
      </c>
      <c r="U689" s="16">
        <f>IFERROR(SUMIF('LISTA DE EMBARQUE'!B:B,MICRO!E:E,'LISTA DE EMBARQUE'!G:G),"")</f>
        <v>1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1.2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4512</v>
      </c>
      <c r="AQ689" s="203"/>
      <c r="AR689" s="37"/>
      <c r="AS689" s="37"/>
      <c r="AT689" s="37"/>
      <c r="AU689" s="37"/>
      <c r="AV689" s="37"/>
      <c r="AW689" s="37"/>
    </row>
    <row r="690" spans="1:49" ht="15.75" hidden="1" customHeight="1" x14ac:dyDescent="0.25">
      <c r="A690" s="212"/>
      <c r="B690" s="21" t="s">
        <v>4582</v>
      </c>
      <c r="C690" s="198">
        <v>1</v>
      </c>
      <c r="D690" s="199" t="s">
        <v>4624</v>
      </c>
      <c r="E690" s="210" t="s">
        <v>4757</v>
      </c>
      <c r="F690" s="198" t="s">
        <v>4414</v>
      </c>
      <c r="G690" s="199">
        <v>1.8</v>
      </c>
      <c r="H690" s="213">
        <v>1.8</v>
      </c>
      <c r="I690" s="199"/>
      <c r="J690" s="217"/>
      <c r="K690" s="218" t="s">
        <v>45</v>
      </c>
      <c r="L690" s="214" t="s">
        <v>2069</v>
      </c>
      <c r="M690" s="200"/>
      <c r="N690" s="8" t="s">
        <v>38</v>
      </c>
      <c r="O690" s="215"/>
      <c r="P690" s="216"/>
      <c r="Q690" s="14">
        <f>Tabela1[[#This Row],[QTDE/ Fabricação]]-Tabela1[[#This Row],[QTE]]</f>
        <v>-1</v>
      </c>
      <c r="R690" s="18">
        <f t="shared" si="113"/>
        <v>1.8</v>
      </c>
      <c r="S690" s="18">
        <f t="shared" si="114"/>
        <v>1.8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1.8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4512</v>
      </c>
      <c r="AQ690" s="203"/>
      <c r="AR690" s="37"/>
      <c r="AS690" s="37"/>
      <c r="AT690" s="37"/>
      <c r="AU690" s="37"/>
      <c r="AV690" s="37"/>
      <c r="AW690" s="37"/>
    </row>
    <row r="691" spans="1:49" ht="15.75" hidden="1" customHeight="1" x14ac:dyDescent="0.25">
      <c r="A691" s="212"/>
      <c r="B691" s="21" t="s">
        <v>4582</v>
      </c>
      <c r="C691" s="198">
        <v>2</v>
      </c>
      <c r="D691" s="199" t="s">
        <v>4625</v>
      </c>
      <c r="E691" s="210" t="s">
        <v>4758</v>
      </c>
      <c r="F691" s="198" t="s">
        <v>4414</v>
      </c>
      <c r="G691" s="199">
        <v>1.8</v>
      </c>
      <c r="H691" s="213">
        <v>3.6</v>
      </c>
      <c r="I691" s="199"/>
      <c r="J691" s="217"/>
      <c r="K691" s="218" t="s">
        <v>45</v>
      </c>
      <c r="L691" s="214" t="s">
        <v>2069</v>
      </c>
      <c r="M691" s="200"/>
      <c r="N691" s="8" t="s">
        <v>38</v>
      </c>
      <c r="O691" s="215"/>
      <c r="P691" s="216"/>
      <c r="Q691" s="14">
        <f>Tabela1[[#This Row],[QTDE/ Fabricação]]-Tabela1[[#This Row],[QTE]]</f>
        <v>-2</v>
      </c>
      <c r="R691" s="18">
        <f t="shared" si="113"/>
        <v>3.6</v>
      </c>
      <c r="S691" s="18">
        <f t="shared" si="114"/>
        <v>3.6</v>
      </c>
      <c r="T691" s="19">
        <f t="shared" si="115"/>
        <v>0</v>
      </c>
      <c r="U691" s="16">
        <f>IFERROR(SUMIF('LISTA DE EMBARQUE'!B:B,MICRO!E:E,'LISTA DE EMBARQUE'!G:G),"")</f>
        <v>2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3.6</v>
      </c>
      <c r="Y691" s="14">
        <f t="shared" si="116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4512</v>
      </c>
      <c r="AQ691" s="203"/>
      <c r="AR691" s="37"/>
      <c r="AS691" s="37"/>
      <c r="AT691" s="37"/>
      <c r="AU691" s="37"/>
      <c r="AV691" s="37"/>
      <c r="AW691" s="37"/>
    </row>
    <row r="692" spans="1:49" ht="15.75" hidden="1" customHeight="1" x14ac:dyDescent="0.25">
      <c r="A692" s="212"/>
      <c r="B692" s="21" t="s">
        <v>4582</v>
      </c>
      <c r="C692" s="198">
        <v>4</v>
      </c>
      <c r="D692" s="199" t="s">
        <v>4626</v>
      </c>
      <c r="E692" s="210" t="s">
        <v>4759</v>
      </c>
      <c r="F692" s="198" t="s">
        <v>4414</v>
      </c>
      <c r="G692" s="199">
        <v>2</v>
      </c>
      <c r="H692" s="213">
        <v>8</v>
      </c>
      <c r="I692" s="199"/>
      <c r="J692" s="217"/>
      <c r="K692" s="218" t="s">
        <v>45</v>
      </c>
      <c r="L692" s="214" t="s">
        <v>2069</v>
      </c>
      <c r="M692" s="200"/>
      <c r="N692" s="8" t="s">
        <v>38</v>
      </c>
      <c r="O692" s="215"/>
      <c r="P692" s="216"/>
      <c r="Q692" s="14">
        <f>Tabela1[[#This Row],[QTDE/ Fabricação]]-Tabela1[[#This Row],[QTE]]</f>
        <v>-4</v>
      </c>
      <c r="R692" s="18">
        <f t="shared" si="113"/>
        <v>8</v>
      </c>
      <c r="S692" s="18">
        <f t="shared" si="114"/>
        <v>8</v>
      </c>
      <c r="T692" s="19">
        <f t="shared" si="115"/>
        <v>0</v>
      </c>
      <c r="U692" s="16">
        <f>IFERROR(SUMIF('LISTA DE EMBARQUE'!B:B,MICRO!E:E,'LISTA DE EMBARQUE'!G:G),"")</f>
        <v>4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8</v>
      </c>
      <c r="Y692" s="14">
        <f t="shared" si="116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4512</v>
      </c>
      <c r="AQ692" s="203"/>
      <c r="AR692" s="37"/>
      <c r="AS692" s="37"/>
      <c r="AT692" s="37"/>
      <c r="AU692" s="37"/>
      <c r="AV692" s="37"/>
      <c r="AW692" s="37"/>
    </row>
    <row r="693" spans="1:49" ht="15.75" hidden="1" customHeight="1" x14ac:dyDescent="0.25">
      <c r="A693" s="212"/>
      <c r="B693" s="21" t="s">
        <v>4582</v>
      </c>
      <c r="C693" s="198">
        <v>1</v>
      </c>
      <c r="D693" s="199" t="s">
        <v>4627</v>
      </c>
      <c r="E693" s="210" t="s">
        <v>4760</v>
      </c>
      <c r="F693" s="198" t="s">
        <v>4414</v>
      </c>
      <c r="G693" s="199">
        <v>1.5</v>
      </c>
      <c r="H693" s="213">
        <v>1.5</v>
      </c>
      <c r="I693" s="199"/>
      <c r="J693" s="217"/>
      <c r="K693" s="218" t="s">
        <v>45</v>
      </c>
      <c r="L693" s="214" t="s">
        <v>2069</v>
      </c>
      <c r="M693" s="200"/>
      <c r="N693" s="8" t="s">
        <v>38</v>
      </c>
      <c r="O693" s="215"/>
      <c r="P693" s="216"/>
      <c r="Q693" s="14">
        <f>Tabela1[[#This Row],[QTDE/ Fabricação]]-Tabela1[[#This Row],[QTE]]</f>
        <v>-1</v>
      </c>
      <c r="R693" s="18">
        <f t="shared" si="113"/>
        <v>1.5</v>
      </c>
      <c r="S693" s="18">
        <f t="shared" si="114"/>
        <v>1.5</v>
      </c>
      <c r="T693" s="19">
        <f t="shared" si="115"/>
        <v>0</v>
      </c>
      <c r="U693" s="16">
        <f>IFERROR(SUMIF('LISTA DE EMBARQUE'!B:B,MICRO!E:E,'LISTA DE EMBARQUE'!G:G),"")</f>
        <v>1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1.5</v>
      </c>
      <c r="Y693" s="14">
        <f t="shared" si="116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4512</v>
      </c>
      <c r="AQ693" s="203"/>
      <c r="AR693" s="37"/>
      <c r="AS693" s="37"/>
      <c r="AT693" s="37"/>
      <c r="AU693" s="37"/>
      <c r="AV693" s="37"/>
      <c r="AW693" s="37"/>
    </row>
    <row r="694" spans="1:49" ht="15.75" hidden="1" customHeight="1" x14ac:dyDescent="0.25">
      <c r="A694" s="212"/>
      <c r="B694" s="21" t="s">
        <v>4582</v>
      </c>
      <c r="C694" s="198">
        <v>1</v>
      </c>
      <c r="D694" s="199" t="s">
        <v>4628</v>
      </c>
      <c r="E694" s="210" t="s">
        <v>4761</v>
      </c>
      <c r="F694" s="198" t="s">
        <v>4414</v>
      </c>
      <c r="G694" s="199">
        <v>2</v>
      </c>
      <c r="H694" s="213">
        <v>2</v>
      </c>
      <c r="I694" s="199"/>
      <c r="J694" s="217"/>
      <c r="K694" s="218" t="s">
        <v>45</v>
      </c>
      <c r="L694" s="214" t="s">
        <v>2069</v>
      </c>
      <c r="M694" s="200"/>
      <c r="N694" s="8" t="s">
        <v>38</v>
      </c>
      <c r="O694" s="215"/>
      <c r="P694" s="216"/>
      <c r="Q694" s="14">
        <f>Tabela1[[#This Row],[QTDE/ Fabricação]]-Tabela1[[#This Row],[QTE]]</f>
        <v>-1</v>
      </c>
      <c r="R694" s="18">
        <f t="shared" ref="R694:R757" si="117">IFERROR(H694*((AA694*0.25)+(AC694*0.25)+(AD694*0.225)+(AE694*0.225)+(AF694*0.05)),"")</f>
        <v>2</v>
      </c>
      <c r="S694" s="18">
        <f t="shared" ref="S694:S757" si="118">IFERROR(H694*AG694,"")</f>
        <v>2</v>
      </c>
      <c r="T694" s="19">
        <f t="shared" ref="T694:T757" si="119">IFERROR(S694-H694,"")</f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2</v>
      </c>
      <c r="Y694" s="14">
        <f t="shared" ref="Y694:Y757" si="120">U694-C694</f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4512</v>
      </c>
      <c r="AQ694" s="203"/>
      <c r="AR694" s="37"/>
      <c r="AS694" s="37"/>
      <c r="AT694" s="37"/>
      <c r="AU694" s="37"/>
      <c r="AV694" s="37"/>
      <c r="AW694" s="37"/>
    </row>
    <row r="695" spans="1:49" ht="15.75" hidden="1" customHeight="1" x14ac:dyDescent="0.25">
      <c r="A695" s="212"/>
      <c r="B695" s="21" t="s">
        <v>4582</v>
      </c>
      <c r="C695" s="198">
        <v>2</v>
      </c>
      <c r="D695" s="199" t="s">
        <v>4629</v>
      </c>
      <c r="E695" s="210" t="s">
        <v>4762</v>
      </c>
      <c r="F695" s="198" t="s">
        <v>4414</v>
      </c>
      <c r="G695" s="199">
        <v>1.8</v>
      </c>
      <c r="H695" s="213">
        <v>3.6</v>
      </c>
      <c r="I695" s="199"/>
      <c r="J695" s="217"/>
      <c r="K695" s="218" t="s">
        <v>45</v>
      </c>
      <c r="L695" s="214" t="s">
        <v>2069</v>
      </c>
      <c r="M695" s="200"/>
      <c r="N695" s="8" t="s">
        <v>38</v>
      </c>
      <c r="O695" s="215"/>
      <c r="P695" s="216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4512</v>
      </c>
      <c r="AQ695" s="203"/>
      <c r="AR695" s="37"/>
      <c r="AS695" s="37"/>
      <c r="AT695" s="37"/>
      <c r="AU695" s="37"/>
      <c r="AV695" s="37"/>
      <c r="AW695" s="37"/>
    </row>
    <row r="696" spans="1:49" ht="15.75" hidden="1" customHeight="1" x14ac:dyDescent="0.25">
      <c r="A696" s="212"/>
      <c r="B696" s="21" t="s">
        <v>4582</v>
      </c>
      <c r="C696" s="198">
        <v>4</v>
      </c>
      <c r="D696" s="199" t="s">
        <v>4630</v>
      </c>
      <c r="E696" s="210" t="s">
        <v>4763</v>
      </c>
      <c r="F696" s="198" t="s">
        <v>4414</v>
      </c>
      <c r="G696" s="199">
        <v>2</v>
      </c>
      <c r="H696" s="213">
        <v>8</v>
      </c>
      <c r="I696" s="199"/>
      <c r="J696" s="217"/>
      <c r="K696" s="218" t="s">
        <v>45</v>
      </c>
      <c r="L696" s="214" t="s">
        <v>2069</v>
      </c>
      <c r="M696" s="200"/>
      <c r="N696" s="8" t="s">
        <v>38</v>
      </c>
      <c r="O696" s="215"/>
      <c r="P696" s="216"/>
      <c r="Q696" s="14">
        <f>Tabela1[[#This Row],[QTDE/ Fabricação]]-Tabela1[[#This Row],[QTE]]</f>
        <v>-4</v>
      </c>
      <c r="R696" s="18">
        <f t="shared" si="117"/>
        <v>8</v>
      </c>
      <c r="S696" s="18">
        <f t="shared" si="118"/>
        <v>8</v>
      </c>
      <c r="T696" s="19">
        <f t="shared" si="119"/>
        <v>0</v>
      </c>
      <c r="U696" s="16">
        <f>IFERROR(SUMIF('LISTA DE EMBARQUE'!B:B,MICRO!E:E,'LISTA DE EMBARQUE'!G:G),"")</f>
        <v>4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8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4512</v>
      </c>
      <c r="AQ696" s="203"/>
      <c r="AR696" s="37"/>
      <c r="AS696" s="37"/>
      <c r="AT696" s="37"/>
      <c r="AU696" s="37"/>
      <c r="AV696" s="37"/>
      <c r="AW696" s="37"/>
    </row>
    <row r="697" spans="1:49" ht="15.75" hidden="1" customHeight="1" x14ac:dyDescent="0.25">
      <c r="A697" s="212"/>
      <c r="B697" s="21" t="s">
        <v>4582</v>
      </c>
      <c r="C697" s="198">
        <v>1</v>
      </c>
      <c r="D697" s="199" t="s">
        <v>4631</v>
      </c>
      <c r="E697" s="210" t="s">
        <v>4764</v>
      </c>
      <c r="F697" s="198" t="s">
        <v>4414</v>
      </c>
      <c r="G697" s="199">
        <v>1.5</v>
      </c>
      <c r="H697" s="213">
        <v>1.5</v>
      </c>
      <c r="I697" s="199"/>
      <c r="J697" s="217"/>
      <c r="K697" s="218" t="s">
        <v>45</v>
      </c>
      <c r="L697" s="214" t="s">
        <v>2069</v>
      </c>
      <c r="M697" s="200"/>
      <c r="N697" s="8" t="s">
        <v>38</v>
      </c>
      <c r="O697" s="215"/>
      <c r="P697" s="216"/>
      <c r="Q697" s="14">
        <f>Tabela1[[#This Row],[QTDE/ Fabricação]]-Tabela1[[#This Row],[QTE]]</f>
        <v>-1</v>
      </c>
      <c r="R697" s="18">
        <f t="shared" si="117"/>
        <v>1.5</v>
      </c>
      <c r="S697" s="18">
        <f t="shared" si="118"/>
        <v>1.5</v>
      </c>
      <c r="T697" s="19">
        <f t="shared" si="119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1.5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4512</v>
      </c>
      <c r="AQ697" s="203"/>
      <c r="AR697" s="37"/>
      <c r="AS697" s="37"/>
      <c r="AT697" s="37"/>
      <c r="AU697" s="37"/>
      <c r="AV697" s="37"/>
      <c r="AW697" s="37"/>
    </row>
    <row r="698" spans="1:49" ht="15.75" hidden="1" customHeight="1" x14ac:dyDescent="0.25">
      <c r="A698" s="212"/>
      <c r="B698" s="21" t="s">
        <v>4582</v>
      </c>
      <c r="C698" s="198">
        <v>2</v>
      </c>
      <c r="D698" s="199" t="s">
        <v>4632</v>
      </c>
      <c r="E698" s="210" t="s">
        <v>4765</v>
      </c>
      <c r="F698" s="198" t="s">
        <v>4414</v>
      </c>
      <c r="G698" s="199">
        <v>1.8</v>
      </c>
      <c r="H698" s="213">
        <v>3.6</v>
      </c>
      <c r="I698" s="199"/>
      <c r="J698" s="217"/>
      <c r="K698" s="218" t="s">
        <v>45</v>
      </c>
      <c r="L698" s="214" t="s">
        <v>2069</v>
      </c>
      <c r="M698" s="200"/>
      <c r="N698" s="8" t="s">
        <v>38</v>
      </c>
      <c r="O698" s="215"/>
      <c r="P698" s="216"/>
      <c r="Q698" s="14">
        <f>Tabela1[[#This Row],[QTDE/ Fabricação]]-Tabela1[[#This Row],[QTE]]</f>
        <v>-2</v>
      </c>
      <c r="R698" s="18">
        <f t="shared" si="117"/>
        <v>3.6</v>
      </c>
      <c r="S698" s="18">
        <f t="shared" si="118"/>
        <v>3.6</v>
      </c>
      <c r="T698" s="19">
        <f t="shared" si="119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4512</v>
      </c>
      <c r="AQ698" s="203"/>
      <c r="AR698" s="37"/>
      <c r="AS698" s="37"/>
      <c r="AT698" s="37"/>
      <c r="AU698" s="37"/>
      <c r="AV698" s="37"/>
      <c r="AW698" s="37"/>
    </row>
    <row r="699" spans="1:49" ht="15.75" hidden="1" customHeight="1" x14ac:dyDescent="0.25">
      <c r="A699" s="212"/>
      <c r="B699" s="21" t="s">
        <v>4582</v>
      </c>
      <c r="C699" s="198">
        <v>1</v>
      </c>
      <c r="D699" s="199" t="s">
        <v>4633</v>
      </c>
      <c r="E699" s="210" t="s">
        <v>4766</v>
      </c>
      <c r="F699" s="198" t="s">
        <v>4414</v>
      </c>
      <c r="G699" s="199">
        <v>0.01</v>
      </c>
      <c r="H699" s="213">
        <v>0.01</v>
      </c>
      <c r="I699" s="199"/>
      <c r="J699" s="217"/>
      <c r="K699" s="218" t="s">
        <v>45</v>
      </c>
      <c r="L699" s="214" t="s">
        <v>2069</v>
      </c>
      <c r="M699" s="200"/>
      <c r="N699" s="8" t="s">
        <v>38</v>
      </c>
      <c r="O699" s="215"/>
      <c r="P699" s="216"/>
      <c r="Q699" s="14">
        <f>Tabela1[[#This Row],[QTDE/ Fabricação]]-Tabela1[[#This Row],[QTE]]</f>
        <v>-1</v>
      </c>
      <c r="R699" s="18">
        <f t="shared" si="117"/>
        <v>0.01</v>
      </c>
      <c r="S699" s="18">
        <f t="shared" si="118"/>
        <v>0.01</v>
      </c>
      <c r="T699" s="19">
        <f t="shared" si="119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4512</v>
      </c>
      <c r="AQ699" s="203"/>
      <c r="AR699" s="37"/>
      <c r="AS699" s="37"/>
      <c r="AT699" s="37"/>
      <c r="AU699" s="37"/>
      <c r="AV699" s="37"/>
      <c r="AW699" s="37"/>
    </row>
    <row r="700" spans="1:49" ht="15.75" hidden="1" customHeight="1" x14ac:dyDescent="0.25">
      <c r="A700" s="212"/>
      <c r="B700" s="21" t="s">
        <v>4582</v>
      </c>
      <c r="C700" s="198">
        <v>2</v>
      </c>
      <c r="D700" s="199" t="s">
        <v>4632</v>
      </c>
      <c r="E700" s="210" t="s">
        <v>4767</v>
      </c>
      <c r="F700" s="198" t="s">
        <v>4414</v>
      </c>
      <c r="G700" s="199">
        <v>1.8</v>
      </c>
      <c r="H700" s="213">
        <v>3.6</v>
      </c>
      <c r="I700" s="199"/>
      <c r="J700" s="217"/>
      <c r="K700" s="218" t="s">
        <v>45</v>
      </c>
      <c r="L700" s="214" t="s">
        <v>2069</v>
      </c>
      <c r="M700" s="200"/>
      <c r="N700" s="8" t="s">
        <v>38</v>
      </c>
      <c r="O700" s="215"/>
      <c r="P700" s="216"/>
      <c r="Q700" s="14">
        <f>Tabela1[[#This Row],[QTDE/ Fabricação]]-Tabela1[[#This Row],[QTE]]</f>
        <v>-2</v>
      </c>
      <c r="R700" s="18">
        <f t="shared" si="117"/>
        <v>3.6</v>
      </c>
      <c r="S700" s="18">
        <f t="shared" si="118"/>
        <v>3.6</v>
      </c>
      <c r="T700" s="19">
        <f t="shared" si="119"/>
        <v>0</v>
      </c>
      <c r="U700" s="16">
        <f>IFERROR(SUMIF('LISTA DE EMBARQUE'!B:B,MICRO!E:E,'LISTA DE EMBARQUE'!G:G),"")</f>
        <v>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3.6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4512</v>
      </c>
      <c r="AQ700" s="203"/>
      <c r="AR700" s="37"/>
      <c r="AS700" s="37"/>
      <c r="AT700" s="37"/>
      <c r="AU700" s="37"/>
      <c r="AV700" s="37"/>
      <c r="AW700" s="37"/>
    </row>
    <row r="701" spans="1:49" ht="15.75" hidden="1" customHeight="1" x14ac:dyDescent="0.25">
      <c r="A701" s="212"/>
      <c r="B701" s="21" t="s">
        <v>4582</v>
      </c>
      <c r="C701" s="198">
        <v>1</v>
      </c>
      <c r="D701" s="199" t="s">
        <v>4633</v>
      </c>
      <c r="E701" s="210" t="s">
        <v>4768</v>
      </c>
      <c r="F701" s="198" t="s">
        <v>4414</v>
      </c>
      <c r="G701" s="199">
        <v>0.01</v>
      </c>
      <c r="H701" s="213">
        <v>0.01</v>
      </c>
      <c r="I701" s="199"/>
      <c r="J701" s="217"/>
      <c r="K701" s="218" t="s">
        <v>45</v>
      </c>
      <c r="L701" s="214" t="s">
        <v>2069</v>
      </c>
      <c r="M701" s="200"/>
      <c r="N701" s="8" t="s">
        <v>38</v>
      </c>
      <c r="O701" s="215"/>
      <c r="P701" s="216"/>
      <c r="Q701" s="14">
        <f>Tabela1[[#This Row],[QTDE/ Fabricação]]-Tabela1[[#This Row],[QTE]]</f>
        <v>-1</v>
      </c>
      <c r="R701" s="18">
        <f t="shared" si="117"/>
        <v>0.01</v>
      </c>
      <c r="S701" s="18">
        <f t="shared" si="118"/>
        <v>0.01</v>
      </c>
      <c r="T701" s="19">
        <f t="shared" si="119"/>
        <v>0</v>
      </c>
      <c r="U701" s="16">
        <f>IFERROR(SUMIF('LISTA DE EMBARQUE'!B:B,MICRO!E:E,'LISTA DE EMBARQUE'!G:G),"")</f>
        <v>1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0.01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4512</v>
      </c>
      <c r="AQ701" s="203"/>
      <c r="AR701" s="37"/>
      <c r="AS701" s="37"/>
      <c r="AT701" s="37"/>
      <c r="AU701" s="37"/>
      <c r="AV701" s="37"/>
      <c r="AW701" s="37"/>
    </row>
    <row r="702" spans="1:49" ht="15.75" hidden="1" customHeight="1" x14ac:dyDescent="0.25">
      <c r="A702" s="212"/>
      <c r="B702" s="21" t="s">
        <v>3773</v>
      </c>
      <c r="C702" s="198">
        <v>32</v>
      </c>
      <c r="D702" s="199" t="s">
        <v>4634</v>
      </c>
      <c r="E702" s="210" t="s">
        <v>4769</v>
      </c>
      <c r="F702" s="198" t="s">
        <v>4414</v>
      </c>
      <c r="G702" s="199">
        <v>0.02</v>
      </c>
      <c r="H702" s="213">
        <v>0.64</v>
      </c>
      <c r="I702" s="199"/>
      <c r="J702" s="217"/>
      <c r="K702" s="218" t="s">
        <v>45</v>
      </c>
      <c r="L702" s="214" t="s">
        <v>2069</v>
      </c>
      <c r="M702" s="200"/>
      <c r="N702" s="8" t="s">
        <v>38</v>
      </c>
      <c r="O702" s="215"/>
      <c r="P702" s="216"/>
      <c r="Q702" s="14">
        <f>Tabela1[[#This Row],[QTDE/ Fabricação]]-Tabela1[[#This Row],[QTE]]</f>
        <v>-32</v>
      </c>
      <c r="R702" s="18">
        <f t="shared" si="117"/>
        <v>0.64</v>
      </c>
      <c r="S702" s="18">
        <f t="shared" si="118"/>
        <v>0.64</v>
      </c>
      <c r="T702" s="19">
        <f t="shared" si="119"/>
        <v>0</v>
      </c>
      <c r="U702" s="16">
        <f>IFERROR(SUMIF('LISTA DE EMBARQUE'!B:B,MICRO!E:E,'LISTA DE EMBARQUE'!G:G),"")</f>
        <v>32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0.64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4512</v>
      </c>
      <c r="AQ702" s="203"/>
      <c r="AR702" s="37"/>
      <c r="AS702" s="37"/>
      <c r="AT702" s="37"/>
      <c r="AU702" s="37"/>
      <c r="AV702" s="37"/>
      <c r="AW702" s="37"/>
    </row>
    <row r="703" spans="1:49" ht="15.75" hidden="1" customHeight="1" x14ac:dyDescent="0.25">
      <c r="A703" s="212"/>
      <c r="B703" s="21" t="s">
        <v>4166</v>
      </c>
      <c r="C703" s="198">
        <v>216</v>
      </c>
      <c r="D703" s="199" t="s">
        <v>4635</v>
      </c>
      <c r="E703" s="210" t="s">
        <v>4770</v>
      </c>
      <c r="F703" s="198" t="s">
        <v>4414</v>
      </c>
      <c r="G703" s="199">
        <v>0.05</v>
      </c>
      <c r="H703" s="213">
        <v>10.8</v>
      </c>
      <c r="I703" s="199"/>
      <c r="J703" s="217"/>
      <c r="K703" s="218" t="s">
        <v>45</v>
      </c>
      <c r="L703" s="214" t="s">
        <v>2069</v>
      </c>
      <c r="M703" s="200"/>
      <c r="N703" s="8" t="s">
        <v>38</v>
      </c>
      <c r="O703" s="215"/>
      <c r="P703" s="216"/>
      <c r="Q703" s="14">
        <f>Tabela1[[#This Row],[QTDE/ Fabricação]]-Tabela1[[#This Row],[QTE]]</f>
        <v>-216</v>
      </c>
      <c r="R703" s="18">
        <f t="shared" si="117"/>
        <v>10.8</v>
      </c>
      <c r="S703" s="18">
        <f t="shared" si="118"/>
        <v>10.8</v>
      </c>
      <c r="T703" s="19">
        <f t="shared" si="119"/>
        <v>0</v>
      </c>
      <c r="U703" s="16">
        <f>IFERROR(SUMIF('LISTA DE EMBARQUE'!B:B,MICRO!E:E,'LISTA DE EMBARQUE'!G:G),"")</f>
        <v>216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10.8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4512</v>
      </c>
      <c r="AQ703" s="203"/>
      <c r="AR703" s="37"/>
      <c r="AS703" s="37"/>
      <c r="AT703" s="37"/>
      <c r="AU703" s="37"/>
      <c r="AV703" s="37"/>
      <c r="AW703" s="37"/>
    </row>
    <row r="704" spans="1:49" ht="15.75" hidden="1" customHeight="1" x14ac:dyDescent="0.25">
      <c r="A704" s="212"/>
      <c r="B704" s="21" t="s">
        <v>4204</v>
      </c>
      <c r="C704" s="198">
        <v>208</v>
      </c>
      <c r="D704" s="199" t="s">
        <v>4635</v>
      </c>
      <c r="E704" s="210" t="s">
        <v>4771</v>
      </c>
      <c r="F704" s="198" t="s">
        <v>4414</v>
      </c>
      <c r="G704" s="199">
        <v>0.05</v>
      </c>
      <c r="H704" s="213">
        <v>10.4</v>
      </c>
      <c r="I704" s="199"/>
      <c r="J704" s="217"/>
      <c r="K704" s="218" t="s">
        <v>45</v>
      </c>
      <c r="L704" s="214" t="s">
        <v>2069</v>
      </c>
      <c r="M704" s="200"/>
      <c r="N704" s="8" t="s">
        <v>38</v>
      </c>
      <c r="O704" s="215"/>
      <c r="P704" s="216"/>
      <c r="Q704" s="14">
        <f>Tabela1[[#This Row],[QTDE/ Fabricação]]-Tabela1[[#This Row],[QTE]]</f>
        <v>-208</v>
      </c>
      <c r="R704" s="18">
        <f t="shared" si="117"/>
        <v>10.4</v>
      </c>
      <c r="S704" s="18">
        <f t="shared" si="118"/>
        <v>10.4</v>
      </c>
      <c r="T704" s="19">
        <f t="shared" si="119"/>
        <v>0</v>
      </c>
      <c r="U704" s="16">
        <f>IFERROR(SUMIF('LISTA DE EMBARQUE'!B:B,MICRO!E:E,'LISTA DE EMBARQUE'!G:G),"")</f>
        <v>208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10.4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4512</v>
      </c>
      <c r="AQ704" s="203"/>
      <c r="AR704" s="37"/>
      <c r="AS704" s="37"/>
      <c r="AT704" s="37"/>
      <c r="AU704" s="37"/>
      <c r="AV704" s="37"/>
      <c r="AW704" s="37"/>
    </row>
    <row r="705" spans="1:49" ht="15.75" hidden="1" customHeight="1" x14ac:dyDescent="0.25">
      <c r="A705" s="212"/>
      <c r="B705" s="21" t="s">
        <v>4636</v>
      </c>
      <c r="C705" s="198">
        <v>1</v>
      </c>
      <c r="D705" s="199" t="s">
        <v>4637</v>
      </c>
      <c r="E705" s="210" t="s">
        <v>4772</v>
      </c>
      <c r="F705" s="198" t="s">
        <v>4414</v>
      </c>
      <c r="G705" s="199"/>
      <c r="H705" s="213">
        <v>0</v>
      </c>
      <c r="I705" s="199"/>
      <c r="J705" s="217"/>
      <c r="K705" s="218" t="s">
        <v>45</v>
      </c>
      <c r="L705" s="214" t="s">
        <v>2069</v>
      </c>
      <c r="M705" s="200"/>
      <c r="N705" s="8" t="s">
        <v>38</v>
      </c>
      <c r="O705" s="215"/>
      <c r="P705" s="216"/>
      <c r="Q705" s="14">
        <f>Tabela1[[#This Row],[QTDE/ Fabricação]]-Tabela1[[#This Row],[QTE]]</f>
        <v>-1</v>
      </c>
      <c r="R705" s="18">
        <f t="shared" si="117"/>
        <v>0</v>
      </c>
      <c r="S705" s="18">
        <f t="shared" si="118"/>
        <v>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4512</v>
      </c>
      <c r="AQ705" s="203"/>
      <c r="AR705" s="37"/>
      <c r="AS705" s="37"/>
      <c r="AT705" s="37"/>
      <c r="AU705" s="37"/>
      <c r="AV705" s="37"/>
      <c r="AW705" s="37"/>
    </row>
    <row r="706" spans="1:49" ht="15.75" hidden="1" customHeight="1" x14ac:dyDescent="0.25">
      <c r="A706" s="212"/>
      <c r="B706" s="21" t="s">
        <v>4636</v>
      </c>
      <c r="C706" s="198">
        <v>1</v>
      </c>
      <c r="D706" s="199" t="s">
        <v>4637</v>
      </c>
      <c r="E706" s="210" t="s">
        <v>4773</v>
      </c>
      <c r="F706" s="198" t="s">
        <v>4414</v>
      </c>
      <c r="G706" s="199"/>
      <c r="H706" s="213">
        <v>0</v>
      </c>
      <c r="I706" s="199"/>
      <c r="J706" s="217"/>
      <c r="K706" s="218" t="s">
        <v>45</v>
      </c>
      <c r="L706" s="214" t="s">
        <v>2069</v>
      </c>
      <c r="M706" s="200"/>
      <c r="N706" s="8" t="s">
        <v>38</v>
      </c>
      <c r="O706" s="215"/>
      <c r="P706" s="216"/>
      <c r="Q706" s="14">
        <f>Tabela1[[#This Row],[QTDE/ Fabricação]]-Tabela1[[#This Row],[QTE]]</f>
        <v>-1</v>
      </c>
      <c r="R706" s="18">
        <f t="shared" si="117"/>
        <v>0</v>
      </c>
      <c r="S706" s="18">
        <f t="shared" si="118"/>
        <v>0</v>
      </c>
      <c r="T706" s="19">
        <f t="shared" si="119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0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4512</v>
      </c>
      <c r="AQ706" s="203"/>
      <c r="AR706" s="37"/>
      <c r="AS706" s="37"/>
      <c r="AT706" s="37"/>
      <c r="AU706" s="37"/>
      <c r="AV706" s="37"/>
      <c r="AW706" s="37"/>
    </row>
    <row r="707" spans="1:49" ht="15.75" hidden="1" customHeight="1" x14ac:dyDescent="0.25">
      <c r="A707" s="212"/>
      <c r="B707" s="21" t="s">
        <v>4636</v>
      </c>
      <c r="C707" s="198">
        <v>1</v>
      </c>
      <c r="D707" s="199" t="s">
        <v>4638</v>
      </c>
      <c r="E707" s="210" t="s">
        <v>4774</v>
      </c>
      <c r="F707" s="198" t="s">
        <v>4414</v>
      </c>
      <c r="G707" s="199">
        <v>1800</v>
      </c>
      <c r="H707" s="213">
        <v>1800</v>
      </c>
      <c r="I707" s="199"/>
      <c r="J707" s="217"/>
      <c r="K707" s="218" t="s">
        <v>45</v>
      </c>
      <c r="L707" s="214" t="s">
        <v>2069</v>
      </c>
      <c r="M707" s="200"/>
      <c r="N707" s="8" t="s">
        <v>38</v>
      </c>
      <c r="O707" s="215"/>
      <c r="P707" s="216"/>
      <c r="Q707" s="14">
        <f>Tabela1[[#This Row],[QTDE/ Fabricação]]-Tabela1[[#This Row],[QTE]]</f>
        <v>-1</v>
      </c>
      <c r="R707" s="18">
        <f t="shared" si="117"/>
        <v>1800</v>
      </c>
      <c r="S707" s="18">
        <f t="shared" si="118"/>
        <v>1800</v>
      </c>
      <c r="T707" s="19">
        <f t="shared" si="119"/>
        <v>0</v>
      </c>
      <c r="U707" s="16">
        <f>IFERROR(SUMIF('LISTA DE EMBARQUE'!B:B,MICRO!E:E,'LISTA DE EMBARQUE'!G:G),"")</f>
        <v>1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1800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4512</v>
      </c>
      <c r="AQ707" s="203"/>
      <c r="AR707" s="37"/>
      <c r="AS707" s="37"/>
      <c r="AT707" s="37"/>
      <c r="AU707" s="37"/>
      <c r="AV707" s="37"/>
      <c r="AW707" s="37"/>
    </row>
    <row r="708" spans="1:49" ht="15.75" hidden="1" customHeight="1" x14ac:dyDescent="0.25">
      <c r="A708" s="212"/>
      <c r="B708" s="21" t="s">
        <v>4636</v>
      </c>
      <c r="C708" s="198">
        <v>1</v>
      </c>
      <c r="D708" s="199" t="s">
        <v>4638</v>
      </c>
      <c r="E708" s="210" t="s">
        <v>4775</v>
      </c>
      <c r="F708" s="198" t="s">
        <v>4414</v>
      </c>
      <c r="G708" s="199">
        <v>1800</v>
      </c>
      <c r="H708" s="213">
        <v>1800</v>
      </c>
      <c r="I708" s="199"/>
      <c r="J708" s="217"/>
      <c r="K708" s="218" t="s">
        <v>45</v>
      </c>
      <c r="L708" s="214" t="s">
        <v>2069</v>
      </c>
      <c r="M708" s="200"/>
      <c r="N708" s="8" t="s">
        <v>38</v>
      </c>
      <c r="O708" s="215"/>
      <c r="P708" s="216"/>
      <c r="Q708" s="14">
        <f>Tabela1[[#This Row],[QTDE/ Fabricação]]-Tabela1[[#This Row],[QTE]]</f>
        <v>-1</v>
      </c>
      <c r="R708" s="18">
        <f t="shared" si="117"/>
        <v>1800</v>
      </c>
      <c r="S708" s="18">
        <f t="shared" si="118"/>
        <v>1800</v>
      </c>
      <c r="T708" s="19">
        <f t="shared" si="119"/>
        <v>0</v>
      </c>
      <c r="U708" s="16">
        <f>IFERROR(SUMIF('LISTA DE EMBARQUE'!B:B,MICRO!E:E,'LISTA DE EMBARQUE'!G:G),"")</f>
        <v>1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1800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4512</v>
      </c>
      <c r="AQ708" s="203"/>
      <c r="AR708" s="37"/>
      <c r="AS708" s="37"/>
      <c r="AT708" s="37"/>
      <c r="AU708" s="37"/>
      <c r="AV708" s="37"/>
      <c r="AW708" s="37"/>
    </row>
    <row r="709" spans="1:49" ht="15.75" hidden="1" customHeight="1" x14ac:dyDescent="0.25">
      <c r="A709" s="212"/>
      <c r="B709" s="21" t="s">
        <v>3802</v>
      </c>
      <c r="C709" s="198">
        <v>232</v>
      </c>
      <c r="D709" s="199" t="s">
        <v>4639</v>
      </c>
      <c r="E709" s="210" t="s">
        <v>4776</v>
      </c>
      <c r="F709" s="198" t="s">
        <v>4414</v>
      </c>
      <c r="G709" s="199">
        <v>0.188</v>
      </c>
      <c r="H709" s="213">
        <v>43.616</v>
      </c>
      <c r="I709" s="199"/>
      <c r="J709" s="217"/>
      <c r="K709" s="218" t="s">
        <v>45</v>
      </c>
      <c r="L709" s="214" t="s">
        <v>2069</v>
      </c>
      <c r="M709" s="200"/>
      <c r="N709" s="8" t="s">
        <v>38</v>
      </c>
      <c r="O709" s="215"/>
      <c r="P709" s="216"/>
      <c r="Q709" s="14">
        <f>Tabela1[[#This Row],[QTDE/ Fabricação]]-Tabela1[[#This Row],[QTE]]</f>
        <v>-232</v>
      </c>
      <c r="R709" s="18">
        <f t="shared" si="117"/>
        <v>43.616</v>
      </c>
      <c r="S709" s="18">
        <f t="shared" si="118"/>
        <v>43.616</v>
      </c>
      <c r="T709" s="19">
        <f t="shared" si="119"/>
        <v>0</v>
      </c>
      <c r="U709" s="16">
        <f>IFERROR(SUMIF('LISTA DE EMBARQUE'!B:B,MICRO!E:E,'LISTA DE EMBARQUE'!G:G),"")</f>
        <v>232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43.616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4512</v>
      </c>
      <c r="AQ709" s="203"/>
      <c r="AR709" s="37"/>
      <c r="AS709" s="37"/>
      <c r="AT709" s="37"/>
      <c r="AU709" s="37"/>
      <c r="AV709" s="37"/>
      <c r="AW709" s="37"/>
    </row>
    <row r="710" spans="1:49" ht="15.75" hidden="1" customHeight="1" x14ac:dyDescent="0.25">
      <c r="A710" s="212"/>
      <c r="B710" s="21" t="s">
        <v>3821</v>
      </c>
      <c r="C710" s="198">
        <v>96</v>
      </c>
      <c r="D710" s="199" t="s">
        <v>4640</v>
      </c>
      <c r="E710" s="210" t="s">
        <v>4777</v>
      </c>
      <c r="F710" s="198" t="s">
        <v>4414</v>
      </c>
      <c r="G710" s="199">
        <v>0.188</v>
      </c>
      <c r="H710" s="213">
        <v>18.048000000000002</v>
      </c>
      <c r="I710" s="199"/>
      <c r="J710" s="217"/>
      <c r="K710" s="218" t="s">
        <v>45</v>
      </c>
      <c r="L710" s="214" t="s">
        <v>2069</v>
      </c>
      <c r="M710" s="200"/>
      <c r="N710" s="8" t="s">
        <v>38</v>
      </c>
      <c r="O710" s="215"/>
      <c r="P710" s="216"/>
      <c r="Q710" s="14">
        <f>Tabela1[[#This Row],[QTDE/ Fabricação]]-Tabela1[[#This Row],[QTE]]</f>
        <v>-96</v>
      </c>
      <c r="R710" s="18">
        <f t="shared" si="117"/>
        <v>18.048000000000002</v>
      </c>
      <c r="S710" s="18">
        <f t="shared" si="118"/>
        <v>18.048000000000002</v>
      </c>
      <c r="T710" s="19">
        <f t="shared" si="119"/>
        <v>0</v>
      </c>
      <c r="U710" s="16">
        <f>IFERROR(SUMIF('LISTA DE EMBARQUE'!B:B,MICRO!E:E,'LISTA DE EMBARQUE'!G:G),"")</f>
        <v>96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18.048000000000002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4512</v>
      </c>
      <c r="AQ710" s="203"/>
      <c r="AR710" s="37"/>
      <c r="AS710" s="37"/>
      <c r="AT710" s="37"/>
      <c r="AU710" s="37"/>
      <c r="AV710" s="37"/>
      <c r="AW710" s="37"/>
    </row>
    <row r="711" spans="1:49" ht="15.75" hidden="1" customHeight="1" x14ac:dyDescent="0.25">
      <c r="A711" s="212"/>
      <c r="B711" s="21" t="s">
        <v>3858</v>
      </c>
      <c r="C711" s="198">
        <v>218</v>
      </c>
      <c r="D711" s="199" t="s">
        <v>4641</v>
      </c>
      <c r="E711" s="210" t="s">
        <v>4778</v>
      </c>
      <c r="F711" s="198" t="s">
        <v>4414</v>
      </c>
      <c r="G711" s="199">
        <v>0.188</v>
      </c>
      <c r="H711" s="213">
        <v>40.984000000000002</v>
      </c>
      <c r="I711" s="199"/>
      <c r="J711" s="217"/>
      <c r="K711" s="218" t="s">
        <v>45</v>
      </c>
      <c r="L711" s="214" t="s">
        <v>2069</v>
      </c>
      <c r="M711" s="200"/>
      <c r="N711" s="8" t="s">
        <v>38</v>
      </c>
      <c r="O711" s="215"/>
      <c r="P711" s="216"/>
      <c r="Q711" s="14">
        <f>Tabela1[[#This Row],[QTDE/ Fabricação]]-Tabela1[[#This Row],[QTE]]</f>
        <v>-218</v>
      </c>
      <c r="R711" s="18">
        <f t="shared" si="117"/>
        <v>40.984000000000002</v>
      </c>
      <c r="S711" s="18">
        <f t="shared" si="118"/>
        <v>40.984000000000002</v>
      </c>
      <c r="T711" s="19">
        <f t="shared" si="119"/>
        <v>0</v>
      </c>
      <c r="U711" s="16">
        <f>IFERROR(SUMIF('LISTA DE EMBARQUE'!B:B,MICRO!E:E,'LISTA DE EMBARQUE'!G:G),"")</f>
        <v>218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40.984000000000002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4512</v>
      </c>
      <c r="AQ711" s="203"/>
      <c r="AR711" s="37"/>
      <c r="AS711" s="37"/>
      <c r="AT711" s="37"/>
      <c r="AU711" s="37"/>
      <c r="AV711" s="37"/>
      <c r="AW711" s="37"/>
    </row>
    <row r="712" spans="1:49" ht="15.75" hidden="1" customHeight="1" x14ac:dyDescent="0.25">
      <c r="A712" s="212"/>
      <c r="B712" s="21" t="s">
        <v>4642</v>
      </c>
      <c r="C712" s="198">
        <v>58</v>
      </c>
      <c r="D712" s="199" t="s">
        <v>4643</v>
      </c>
      <c r="E712" s="210" t="s">
        <v>4779</v>
      </c>
      <c r="F712" s="198" t="s">
        <v>4414</v>
      </c>
      <c r="G712" s="199">
        <v>0.188</v>
      </c>
      <c r="H712" s="213">
        <v>10.904</v>
      </c>
      <c r="I712" s="199"/>
      <c r="J712" s="217"/>
      <c r="K712" s="218" t="s">
        <v>45</v>
      </c>
      <c r="L712" s="214" t="s">
        <v>2069</v>
      </c>
      <c r="M712" s="200"/>
      <c r="N712" s="8" t="s">
        <v>38</v>
      </c>
      <c r="O712" s="215"/>
      <c r="P712" s="216"/>
      <c r="Q712" s="14">
        <f>Tabela1[[#This Row],[QTDE/ Fabricação]]-Tabela1[[#This Row],[QTE]]</f>
        <v>-58</v>
      </c>
      <c r="R712" s="18">
        <f t="shared" si="117"/>
        <v>10.904</v>
      </c>
      <c r="S712" s="18">
        <f t="shared" si="118"/>
        <v>10.904</v>
      </c>
      <c r="T712" s="19">
        <f t="shared" si="119"/>
        <v>0</v>
      </c>
      <c r="U712" s="16">
        <f>IFERROR(SUMIF('LISTA DE EMBARQUE'!B:B,MICRO!E:E,'LISTA DE EMBARQUE'!G:G),"")</f>
        <v>58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10.904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4512</v>
      </c>
      <c r="AQ712" s="203"/>
      <c r="AR712" s="37"/>
      <c r="AS712" s="37"/>
      <c r="AT712" s="37"/>
      <c r="AU712" s="37"/>
      <c r="AV712" s="37"/>
      <c r="AW712" s="37"/>
    </row>
    <row r="713" spans="1:49" ht="15.75" hidden="1" customHeight="1" x14ac:dyDescent="0.25">
      <c r="A713" s="212"/>
      <c r="B713" s="21" t="s">
        <v>4642</v>
      </c>
      <c r="C713" s="198">
        <v>2</v>
      </c>
      <c r="D713" s="199" t="s">
        <v>4644</v>
      </c>
      <c r="E713" s="210" t="s">
        <v>4780</v>
      </c>
      <c r="F713" s="198" t="s">
        <v>4414</v>
      </c>
      <c r="G713" s="199">
        <v>14.361000000000001</v>
      </c>
      <c r="H713" s="213">
        <v>28.722000000000001</v>
      </c>
      <c r="I713" s="199"/>
      <c r="J713" s="217"/>
      <c r="K713" s="218" t="s">
        <v>45</v>
      </c>
      <c r="L713" s="214" t="s">
        <v>2069</v>
      </c>
      <c r="M713" s="200"/>
      <c r="N713" s="8" t="s">
        <v>38</v>
      </c>
      <c r="O713" s="215"/>
      <c r="P713" s="216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4512</v>
      </c>
      <c r="AQ713" s="203"/>
      <c r="AR713" s="37"/>
      <c r="AS713" s="37"/>
      <c r="AT713" s="37"/>
      <c r="AU713" s="37"/>
      <c r="AV713" s="37"/>
      <c r="AW713" s="37"/>
    </row>
    <row r="714" spans="1:49" ht="15.75" hidden="1" customHeight="1" x14ac:dyDescent="0.25">
      <c r="A714" s="212"/>
      <c r="B714" s="21" t="s">
        <v>4642</v>
      </c>
      <c r="C714" s="198">
        <v>2</v>
      </c>
      <c r="D714" s="199" t="s">
        <v>4645</v>
      </c>
      <c r="E714" s="210" t="s">
        <v>4781</v>
      </c>
      <c r="F714" s="198" t="s">
        <v>4414</v>
      </c>
      <c r="G714" s="199">
        <v>14.361000000000001</v>
      </c>
      <c r="H714" s="213">
        <v>28.722000000000001</v>
      </c>
      <c r="I714" s="199"/>
      <c r="J714" s="217"/>
      <c r="K714" s="218" t="s">
        <v>45</v>
      </c>
      <c r="L714" s="214" t="s">
        <v>2069</v>
      </c>
      <c r="M714" s="200"/>
      <c r="N714" s="8" t="s">
        <v>38</v>
      </c>
      <c r="O714" s="215"/>
      <c r="P714" s="216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4512</v>
      </c>
      <c r="AQ714" s="203"/>
      <c r="AR714" s="37"/>
      <c r="AS714" s="37"/>
      <c r="AT714" s="37"/>
      <c r="AU714" s="37"/>
      <c r="AV714" s="37"/>
      <c r="AW714" s="37"/>
    </row>
    <row r="715" spans="1:49" ht="15.75" hidden="1" customHeight="1" x14ac:dyDescent="0.25">
      <c r="A715" s="212"/>
      <c r="B715" s="21" t="s">
        <v>4642</v>
      </c>
      <c r="C715" s="198">
        <v>2</v>
      </c>
      <c r="D715" s="199" t="s">
        <v>4646</v>
      </c>
      <c r="E715" s="210" t="s">
        <v>4782</v>
      </c>
      <c r="F715" s="198" t="s">
        <v>4414</v>
      </c>
      <c r="G715" s="199">
        <v>14.361000000000001</v>
      </c>
      <c r="H715" s="213">
        <v>28.722000000000001</v>
      </c>
      <c r="I715" s="199"/>
      <c r="J715" s="217"/>
      <c r="K715" s="218" t="s">
        <v>45</v>
      </c>
      <c r="L715" s="214" t="s">
        <v>2069</v>
      </c>
      <c r="M715" s="200"/>
      <c r="N715" s="8" t="s">
        <v>38</v>
      </c>
      <c r="O715" s="215"/>
      <c r="P715" s="216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4512</v>
      </c>
      <c r="AQ715" s="203"/>
      <c r="AR715" s="37"/>
      <c r="AS715" s="37"/>
      <c r="AT715" s="37"/>
      <c r="AU715" s="37"/>
      <c r="AV715" s="37"/>
      <c r="AW715" s="37"/>
    </row>
    <row r="716" spans="1:49" ht="15.75" hidden="1" customHeight="1" x14ac:dyDescent="0.25">
      <c r="A716" s="212"/>
      <c r="B716" s="21" t="s">
        <v>4642</v>
      </c>
      <c r="C716" s="198">
        <v>2</v>
      </c>
      <c r="D716" s="199" t="s">
        <v>4647</v>
      </c>
      <c r="E716" s="210" t="s">
        <v>4783</v>
      </c>
      <c r="F716" s="198" t="s">
        <v>4414</v>
      </c>
      <c r="G716" s="199">
        <v>14.361000000000001</v>
      </c>
      <c r="H716" s="213">
        <v>28.722000000000001</v>
      </c>
      <c r="I716" s="199"/>
      <c r="J716" s="217"/>
      <c r="K716" s="218" t="s">
        <v>45</v>
      </c>
      <c r="L716" s="214" t="s">
        <v>2069</v>
      </c>
      <c r="M716" s="200"/>
      <c r="N716" s="8" t="s">
        <v>38</v>
      </c>
      <c r="O716" s="215"/>
      <c r="P716" s="216"/>
      <c r="Q716" s="14">
        <f>Tabela1[[#This Row],[QTDE/ Fabricação]]-Tabela1[[#This Row],[QTE]]</f>
        <v>-2</v>
      </c>
      <c r="R716" s="18">
        <f t="shared" si="117"/>
        <v>28.722000000000001</v>
      </c>
      <c r="S716" s="18">
        <f t="shared" si="118"/>
        <v>28.722000000000001</v>
      </c>
      <c r="T716" s="19">
        <f t="shared" si="119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4512</v>
      </c>
      <c r="AQ716" s="203"/>
      <c r="AR716" s="37"/>
      <c r="AS716" s="37"/>
      <c r="AT716" s="37"/>
      <c r="AU716" s="37"/>
      <c r="AV716" s="37"/>
      <c r="AW716" s="37"/>
    </row>
    <row r="717" spans="1:49" ht="15.75" hidden="1" customHeight="1" x14ac:dyDescent="0.25">
      <c r="A717" s="212"/>
      <c r="B717" s="21" t="s">
        <v>4642</v>
      </c>
      <c r="C717" s="198">
        <v>2</v>
      </c>
      <c r="D717" s="199" t="s">
        <v>4648</v>
      </c>
      <c r="E717" s="210" t="s">
        <v>4784</v>
      </c>
      <c r="F717" s="198" t="s">
        <v>4414</v>
      </c>
      <c r="G717" s="199">
        <v>14.361000000000001</v>
      </c>
      <c r="H717" s="213">
        <v>28.722000000000001</v>
      </c>
      <c r="I717" s="199"/>
      <c r="J717" s="217"/>
      <c r="K717" s="218" t="s">
        <v>45</v>
      </c>
      <c r="L717" s="214" t="s">
        <v>2069</v>
      </c>
      <c r="M717" s="200"/>
      <c r="N717" s="8" t="s">
        <v>38</v>
      </c>
      <c r="O717" s="215"/>
      <c r="P717" s="216"/>
      <c r="Q717" s="14">
        <f>Tabela1[[#This Row],[QTDE/ Fabricação]]-Tabela1[[#This Row],[QTE]]</f>
        <v>-2</v>
      </c>
      <c r="R717" s="18">
        <f t="shared" si="117"/>
        <v>28.722000000000001</v>
      </c>
      <c r="S717" s="18">
        <f t="shared" si="118"/>
        <v>28.722000000000001</v>
      </c>
      <c r="T717" s="19">
        <f t="shared" si="119"/>
        <v>0</v>
      </c>
      <c r="U717" s="16">
        <f>IFERROR(SUMIF('LISTA DE EMBARQUE'!B:B,MICRO!E:E,'LISTA DE EMBARQUE'!G:G),"")</f>
        <v>2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28.722000000000001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4512</v>
      </c>
      <c r="AQ717" s="203"/>
      <c r="AR717" s="37"/>
      <c r="AS717" s="37"/>
      <c r="AT717" s="37"/>
      <c r="AU717" s="37"/>
      <c r="AV717" s="37"/>
      <c r="AW717" s="37"/>
    </row>
    <row r="718" spans="1:49" ht="15.75" hidden="1" customHeight="1" x14ac:dyDescent="0.25">
      <c r="A718" s="212"/>
      <c r="B718" s="21" t="s">
        <v>4642</v>
      </c>
      <c r="C718" s="198">
        <v>2</v>
      </c>
      <c r="D718" s="199" t="s">
        <v>4649</v>
      </c>
      <c r="E718" s="210" t="s">
        <v>4785</v>
      </c>
      <c r="F718" s="198" t="s">
        <v>4414</v>
      </c>
      <c r="G718" s="199">
        <v>14.361000000000001</v>
      </c>
      <c r="H718" s="213">
        <v>28.722000000000001</v>
      </c>
      <c r="I718" s="199"/>
      <c r="J718" s="217"/>
      <c r="K718" s="218" t="s">
        <v>45</v>
      </c>
      <c r="L718" s="214" t="s">
        <v>2069</v>
      </c>
      <c r="M718" s="200"/>
      <c r="N718" s="8" t="s">
        <v>38</v>
      </c>
      <c r="O718" s="215"/>
      <c r="P718" s="216"/>
      <c r="Q718" s="14">
        <f>Tabela1[[#This Row],[QTDE/ Fabricação]]-Tabela1[[#This Row],[QTE]]</f>
        <v>-2</v>
      </c>
      <c r="R718" s="18">
        <f t="shared" si="117"/>
        <v>28.722000000000001</v>
      </c>
      <c r="S718" s="18">
        <f t="shared" si="118"/>
        <v>28.722000000000001</v>
      </c>
      <c r="T718" s="19">
        <f t="shared" si="119"/>
        <v>0</v>
      </c>
      <c r="U718" s="16">
        <f>IFERROR(SUMIF('LISTA DE EMBARQUE'!B:B,MICRO!E:E,'LISTA DE EMBARQUE'!G:G),"")</f>
        <v>2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28.722000000000001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4512</v>
      </c>
      <c r="AQ718" s="203"/>
      <c r="AR718" s="37"/>
      <c r="AS718" s="37"/>
      <c r="AT718" s="37"/>
      <c r="AU718" s="37"/>
      <c r="AV718" s="37"/>
      <c r="AW718" s="37"/>
    </row>
    <row r="719" spans="1:49" ht="15.75" hidden="1" customHeight="1" x14ac:dyDescent="0.25">
      <c r="A719" s="212"/>
      <c r="B719" s="21" t="s">
        <v>3802</v>
      </c>
      <c r="C719" s="198">
        <v>4</v>
      </c>
      <c r="D719" s="199" t="s">
        <v>4650</v>
      </c>
      <c r="E719" s="210" t="s">
        <v>4786</v>
      </c>
      <c r="F719" s="198" t="s">
        <v>4414</v>
      </c>
      <c r="G719" s="199">
        <v>14.361000000000001</v>
      </c>
      <c r="H719" s="213">
        <v>57.444000000000003</v>
      </c>
      <c r="I719" s="199"/>
      <c r="J719" s="217"/>
      <c r="K719" s="218" t="s">
        <v>45</v>
      </c>
      <c r="L719" s="214" t="s">
        <v>2069</v>
      </c>
      <c r="M719" s="200"/>
      <c r="N719" s="8" t="s">
        <v>38</v>
      </c>
      <c r="O719" s="215"/>
      <c r="P719" s="216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4512</v>
      </c>
      <c r="AQ719" s="203"/>
      <c r="AR719" s="37"/>
      <c r="AS719" s="37"/>
      <c r="AT719" s="37"/>
      <c r="AU719" s="37"/>
      <c r="AV719" s="37"/>
      <c r="AW719" s="37"/>
    </row>
    <row r="720" spans="1:49" ht="15.75" hidden="1" customHeight="1" x14ac:dyDescent="0.25">
      <c r="A720" s="212"/>
      <c r="B720" s="21" t="s">
        <v>3802</v>
      </c>
      <c r="C720" s="198">
        <v>4</v>
      </c>
      <c r="D720" s="199" t="s">
        <v>4651</v>
      </c>
      <c r="E720" s="210" t="s">
        <v>4787</v>
      </c>
      <c r="F720" s="198" t="s">
        <v>4414</v>
      </c>
      <c r="G720" s="199">
        <v>14.361000000000001</v>
      </c>
      <c r="H720" s="213">
        <v>57.444000000000003</v>
      </c>
      <c r="I720" s="199"/>
      <c r="J720" s="217"/>
      <c r="K720" s="218" t="s">
        <v>45</v>
      </c>
      <c r="L720" s="214" t="s">
        <v>2069</v>
      </c>
      <c r="M720" s="200"/>
      <c r="N720" s="8" t="s">
        <v>38</v>
      </c>
      <c r="O720" s="215"/>
      <c r="P720" s="216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4512</v>
      </c>
      <c r="AQ720" s="203"/>
      <c r="AR720" s="37"/>
      <c r="AS720" s="37"/>
      <c r="AT720" s="37"/>
      <c r="AU720" s="37"/>
      <c r="AV720" s="37"/>
      <c r="AW720" s="37"/>
    </row>
    <row r="721" spans="1:49" ht="15.75" hidden="1" customHeight="1" x14ac:dyDescent="0.25">
      <c r="A721" s="212"/>
      <c r="B721" s="21" t="s">
        <v>3802</v>
      </c>
      <c r="C721" s="198">
        <v>4</v>
      </c>
      <c r="D721" s="199" t="s">
        <v>4652</v>
      </c>
      <c r="E721" s="210" t="s">
        <v>4788</v>
      </c>
      <c r="F721" s="198" t="s">
        <v>4414</v>
      </c>
      <c r="G721" s="199">
        <v>14.361000000000001</v>
      </c>
      <c r="H721" s="213">
        <v>57.444000000000003</v>
      </c>
      <c r="I721" s="199"/>
      <c r="J721" s="217"/>
      <c r="K721" s="218" t="s">
        <v>45</v>
      </c>
      <c r="L721" s="214" t="s">
        <v>2069</v>
      </c>
      <c r="M721" s="200"/>
      <c r="N721" s="8" t="s">
        <v>38</v>
      </c>
      <c r="O721" s="215"/>
      <c r="P721" s="216"/>
      <c r="Q721" s="14">
        <f>Tabela1[[#This Row],[QTDE/ Fabricação]]-Tabela1[[#This Row],[QTE]]</f>
        <v>-4</v>
      </c>
      <c r="R721" s="18">
        <f t="shared" si="117"/>
        <v>57.444000000000003</v>
      </c>
      <c r="S721" s="18">
        <f t="shared" si="118"/>
        <v>57.444000000000003</v>
      </c>
      <c r="T721" s="19">
        <f t="shared" si="119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4512</v>
      </c>
      <c r="AQ721" s="203"/>
      <c r="AR721" s="37"/>
      <c r="AS721" s="37"/>
      <c r="AT721" s="37"/>
      <c r="AU721" s="37"/>
      <c r="AV721" s="37"/>
      <c r="AW721" s="37"/>
    </row>
    <row r="722" spans="1:49" ht="15.75" hidden="1" customHeight="1" x14ac:dyDescent="0.25">
      <c r="A722" s="212"/>
      <c r="B722" s="21" t="s">
        <v>3802</v>
      </c>
      <c r="C722" s="198">
        <v>4</v>
      </c>
      <c r="D722" s="199" t="s">
        <v>4653</v>
      </c>
      <c r="E722" s="210" t="s">
        <v>4789</v>
      </c>
      <c r="F722" s="198" t="s">
        <v>4414</v>
      </c>
      <c r="G722" s="199">
        <v>14.361000000000001</v>
      </c>
      <c r="H722" s="213">
        <v>57.444000000000003</v>
      </c>
      <c r="I722" s="199"/>
      <c r="J722" s="217"/>
      <c r="K722" s="218" t="s">
        <v>45</v>
      </c>
      <c r="L722" s="214" t="s">
        <v>2069</v>
      </c>
      <c r="M722" s="200"/>
      <c r="N722" s="8" t="s">
        <v>38</v>
      </c>
      <c r="O722" s="215"/>
      <c r="P722" s="216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4512</v>
      </c>
      <c r="AQ722" s="203"/>
      <c r="AR722" s="37"/>
      <c r="AS722" s="37"/>
      <c r="AT722" s="37"/>
      <c r="AU722" s="37"/>
      <c r="AV722" s="37"/>
      <c r="AW722" s="37"/>
    </row>
    <row r="723" spans="1:49" ht="15.75" hidden="1" customHeight="1" x14ac:dyDescent="0.25">
      <c r="A723" s="212"/>
      <c r="B723" s="21" t="s">
        <v>3802</v>
      </c>
      <c r="C723" s="198">
        <v>4</v>
      </c>
      <c r="D723" s="199" t="s">
        <v>4654</v>
      </c>
      <c r="E723" s="210" t="s">
        <v>4790</v>
      </c>
      <c r="F723" s="198" t="s">
        <v>4414</v>
      </c>
      <c r="G723" s="199">
        <v>14.361000000000001</v>
      </c>
      <c r="H723" s="213">
        <v>57.444000000000003</v>
      </c>
      <c r="I723" s="199"/>
      <c r="J723" s="217"/>
      <c r="K723" s="218" t="s">
        <v>45</v>
      </c>
      <c r="L723" s="214" t="s">
        <v>2069</v>
      </c>
      <c r="M723" s="200"/>
      <c r="N723" s="8" t="s">
        <v>38</v>
      </c>
      <c r="O723" s="215"/>
      <c r="P723" s="216"/>
      <c r="Q723" s="14">
        <f>Tabela1[[#This Row],[QTDE/ Fabricação]]-Tabela1[[#This Row],[QTE]]</f>
        <v>-4</v>
      </c>
      <c r="R723" s="18">
        <f t="shared" si="117"/>
        <v>57.444000000000003</v>
      </c>
      <c r="S723" s="18">
        <f t="shared" si="118"/>
        <v>57.444000000000003</v>
      </c>
      <c r="T723" s="19">
        <f t="shared" si="119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4512</v>
      </c>
      <c r="AQ723" s="203"/>
      <c r="AR723" s="37"/>
      <c r="AS723" s="37"/>
      <c r="AT723" s="37"/>
      <c r="AU723" s="37"/>
      <c r="AV723" s="37"/>
      <c r="AW723" s="37"/>
    </row>
    <row r="724" spans="1:49" ht="15.75" hidden="1" customHeight="1" x14ac:dyDescent="0.25">
      <c r="A724" s="212"/>
      <c r="B724" s="21" t="s">
        <v>3802</v>
      </c>
      <c r="C724" s="198">
        <v>8</v>
      </c>
      <c r="D724" s="199" t="s">
        <v>4655</v>
      </c>
      <c r="E724" s="210" t="s">
        <v>4791</v>
      </c>
      <c r="F724" s="198" t="s">
        <v>4414</v>
      </c>
      <c r="G724" s="199">
        <v>14.361000000000001</v>
      </c>
      <c r="H724" s="213">
        <v>114.88800000000001</v>
      </c>
      <c r="I724" s="199"/>
      <c r="J724" s="217"/>
      <c r="K724" s="218" t="s">
        <v>45</v>
      </c>
      <c r="L724" s="214" t="s">
        <v>2069</v>
      </c>
      <c r="M724" s="200"/>
      <c r="N724" s="8" t="s">
        <v>38</v>
      </c>
      <c r="O724" s="215"/>
      <c r="P724" s="216"/>
      <c r="Q724" s="14">
        <f>Tabela1[[#This Row],[QTDE/ Fabricação]]-Tabela1[[#This Row],[QTE]]</f>
        <v>-8</v>
      </c>
      <c r="R724" s="18">
        <f t="shared" si="117"/>
        <v>114.88800000000001</v>
      </c>
      <c r="S724" s="18">
        <f t="shared" si="118"/>
        <v>114.88800000000001</v>
      </c>
      <c r="T724" s="19">
        <f t="shared" si="119"/>
        <v>0</v>
      </c>
      <c r="U724" s="16">
        <f>IFERROR(SUMIF('LISTA DE EMBARQUE'!B:B,MICRO!E:E,'LISTA DE EMBARQUE'!G:G),"")</f>
        <v>8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114.88800000000001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4512</v>
      </c>
      <c r="AQ724" s="203"/>
      <c r="AR724" s="37"/>
      <c r="AS724" s="37"/>
      <c r="AT724" s="37"/>
      <c r="AU724" s="37"/>
      <c r="AV724" s="37"/>
      <c r="AW724" s="37"/>
    </row>
    <row r="725" spans="1:49" ht="15.75" hidden="1" customHeight="1" x14ac:dyDescent="0.25">
      <c r="A725" s="212"/>
      <c r="B725" s="21" t="s">
        <v>3821</v>
      </c>
      <c r="C725" s="198">
        <v>4</v>
      </c>
      <c r="D725" s="199" t="s">
        <v>4656</v>
      </c>
      <c r="E725" s="210" t="s">
        <v>4792</v>
      </c>
      <c r="F725" s="198" t="s">
        <v>4414</v>
      </c>
      <c r="G725" s="199">
        <v>14.361000000000001</v>
      </c>
      <c r="H725" s="213">
        <v>57.444000000000003</v>
      </c>
      <c r="I725" s="199"/>
      <c r="J725" s="217"/>
      <c r="K725" s="218" t="s">
        <v>45</v>
      </c>
      <c r="L725" s="214" t="s">
        <v>2069</v>
      </c>
      <c r="M725" s="200"/>
      <c r="N725" s="8" t="s">
        <v>38</v>
      </c>
      <c r="O725" s="215"/>
      <c r="P725" s="216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4512</v>
      </c>
      <c r="AQ725" s="203"/>
      <c r="AR725" s="37"/>
      <c r="AS725" s="37"/>
      <c r="AT725" s="37"/>
      <c r="AU725" s="37"/>
      <c r="AV725" s="37"/>
      <c r="AW725" s="37"/>
    </row>
    <row r="726" spans="1:49" ht="15.75" hidden="1" customHeight="1" x14ac:dyDescent="0.25">
      <c r="A726" s="212"/>
      <c r="B726" s="21" t="s">
        <v>3821</v>
      </c>
      <c r="C726" s="198">
        <v>12</v>
      </c>
      <c r="D726" s="199" t="s">
        <v>4657</v>
      </c>
      <c r="E726" s="210" t="s">
        <v>4793</v>
      </c>
      <c r="F726" s="198" t="s">
        <v>4414</v>
      </c>
      <c r="G726" s="199">
        <v>14.361000000000001</v>
      </c>
      <c r="H726" s="213">
        <v>172.33199999999999</v>
      </c>
      <c r="I726" s="199"/>
      <c r="J726" s="217"/>
      <c r="K726" s="218" t="s">
        <v>45</v>
      </c>
      <c r="L726" s="214" t="s">
        <v>2069</v>
      </c>
      <c r="M726" s="200"/>
      <c r="N726" s="8" t="s">
        <v>38</v>
      </c>
      <c r="O726" s="215"/>
      <c r="P726" s="216"/>
      <c r="Q726" s="14">
        <f>Tabela1[[#This Row],[QTDE/ Fabricação]]-Tabela1[[#This Row],[QTE]]</f>
        <v>-12</v>
      </c>
      <c r="R726" s="18">
        <f t="shared" si="117"/>
        <v>172.33199999999999</v>
      </c>
      <c r="S726" s="18">
        <f t="shared" si="118"/>
        <v>172.33199999999999</v>
      </c>
      <c r="T726" s="19">
        <f t="shared" si="119"/>
        <v>0</v>
      </c>
      <c r="U726" s="16">
        <f>IFERROR(SUMIF('LISTA DE EMBARQUE'!B:B,MICRO!E:E,'LISTA DE EMBARQUE'!G:G),"")</f>
        <v>12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172.33199999999999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4512</v>
      </c>
      <c r="AQ726" s="203"/>
      <c r="AR726" s="37"/>
      <c r="AS726" s="37"/>
      <c r="AT726" s="37"/>
      <c r="AU726" s="37"/>
      <c r="AV726" s="37"/>
      <c r="AW726" s="37"/>
    </row>
    <row r="727" spans="1:49" ht="15.75" hidden="1" customHeight="1" x14ac:dyDescent="0.25">
      <c r="A727" s="212"/>
      <c r="B727" s="21" t="s">
        <v>3821</v>
      </c>
      <c r="C727" s="198">
        <v>4</v>
      </c>
      <c r="D727" s="199" t="s">
        <v>4658</v>
      </c>
      <c r="E727" s="210" t="s">
        <v>4794</v>
      </c>
      <c r="F727" s="198" t="s">
        <v>4414</v>
      </c>
      <c r="G727" s="199">
        <v>14.361000000000001</v>
      </c>
      <c r="H727" s="213">
        <v>57.444000000000003</v>
      </c>
      <c r="I727" s="199"/>
      <c r="J727" s="217"/>
      <c r="K727" s="218" t="s">
        <v>45</v>
      </c>
      <c r="L727" s="214" t="s">
        <v>2069</v>
      </c>
      <c r="M727" s="200"/>
      <c r="N727" s="8" t="s">
        <v>38</v>
      </c>
      <c r="O727" s="215"/>
      <c r="P727" s="216"/>
      <c r="Q727" s="14">
        <f>Tabela1[[#This Row],[QTDE/ Fabricação]]-Tabela1[[#This Row],[QTE]]</f>
        <v>-4</v>
      </c>
      <c r="R727" s="18">
        <f t="shared" si="117"/>
        <v>57.444000000000003</v>
      </c>
      <c r="S727" s="18">
        <f t="shared" si="118"/>
        <v>57.444000000000003</v>
      </c>
      <c r="T727" s="19">
        <f t="shared" si="119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4512</v>
      </c>
      <c r="AQ727" s="203"/>
      <c r="AR727" s="37"/>
      <c r="AS727" s="37"/>
      <c r="AT727" s="37"/>
      <c r="AU727" s="37"/>
      <c r="AV727" s="37"/>
      <c r="AW727" s="37"/>
    </row>
    <row r="728" spans="1:49" ht="15.75" hidden="1" customHeight="1" x14ac:dyDescent="0.25">
      <c r="A728" s="212"/>
      <c r="B728" s="21" t="s">
        <v>3821</v>
      </c>
      <c r="C728" s="198">
        <v>4</v>
      </c>
      <c r="D728" s="199" t="s">
        <v>4658</v>
      </c>
      <c r="E728" s="210" t="s">
        <v>4795</v>
      </c>
      <c r="F728" s="198" t="s">
        <v>4414</v>
      </c>
      <c r="G728" s="199">
        <v>14.361000000000001</v>
      </c>
      <c r="H728" s="213">
        <v>57.444000000000003</v>
      </c>
      <c r="I728" s="199"/>
      <c r="J728" s="217"/>
      <c r="K728" s="218" t="s">
        <v>45</v>
      </c>
      <c r="L728" s="214" t="s">
        <v>2069</v>
      </c>
      <c r="M728" s="200"/>
      <c r="N728" s="8" t="s">
        <v>38</v>
      </c>
      <c r="O728" s="215"/>
      <c r="P728" s="216"/>
      <c r="Q728" s="14">
        <f>Tabela1[[#This Row],[QTDE/ Fabricação]]-Tabela1[[#This Row],[QTE]]</f>
        <v>-4</v>
      </c>
      <c r="R728" s="18">
        <f t="shared" si="117"/>
        <v>57.444000000000003</v>
      </c>
      <c r="S728" s="18">
        <f t="shared" si="118"/>
        <v>57.444000000000003</v>
      </c>
      <c r="T728" s="19">
        <f t="shared" si="119"/>
        <v>0</v>
      </c>
      <c r="U728" s="16">
        <f>IFERROR(SUMIF('LISTA DE EMBARQUE'!B:B,MICRO!E:E,'LISTA DE EMBARQUE'!G:G),"")</f>
        <v>4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57.444000000000003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4512</v>
      </c>
      <c r="AQ728" s="203"/>
      <c r="AR728" s="37"/>
      <c r="AS728" s="37"/>
      <c r="AT728" s="37"/>
      <c r="AU728" s="37"/>
      <c r="AV728" s="37"/>
      <c r="AW728" s="37"/>
    </row>
    <row r="729" spans="1:49" ht="15.75" hidden="1" customHeight="1" x14ac:dyDescent="0.25">
      <c r="A729" s="212"/>
      <c r="B729" s="21" t="s">
        <v>3875</v>
      </c>
      <c r="C729" s="198">
        <v>4</v>
      </c>
      <c r="D729" s="199" t="s">
        <v>4659</v>
      </c>
      <c r="E729" s="210" t="s">
        <v>4796</v>
      </c>
      <c r="F729" s="198" t="s">
        <v>4414</v>
      </c>
      <c r="G729" s="199">
        <v>14.361000000000001</v>
      </c>
      <c r="H729" s="213">
        <v>57.444000000000003</v>
      </c>
      <c r="I729" s="199"/>
      <c r="J729" s="217"/>
      <c r="K729" s="218" t="s">
        <v>45</v>
      </c>
      <c r="L729" s="214" t="s">
        <v>2069</v>
      </c>
      <c r="M729" s="200"/>
      <c r="N729" s="8" t="s">
        <v>38</v>
      </c>
      <c r="O729" s="215"/>
      <c r="P729" s="216"/>
      <c r="Q729" s="14">
        <f>Tabela1[[#This Row],[QTDE/ Fabricação]]-Tabela1[[#This Row],[QTE]]</f>
        <v>-4</v>
      </c>
      <c r="R729" s="18">
        <f t="shared" si="117"/>
        <v>57.444000000000003</v>
      </c>
      <c r="S729" s="18">
        <f t="shared" si="118"/>
        <v>57.444000000000003</v>
      </c>
      <c r="T729" s="19">
        <f t="shared" si="119"/>
        <v>0</v>
      </c>
      <c r="U729" s="16">
        <f>IFERROR(SUMIF('LISTA DE EMBARQUE'!B:B,MICRO!E:E,'LISTA DE EMBARQUE'!G:G),"")</f>
        <v>4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57.444000000000003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4512</v>
      </c>
      <c r="AQ729" s="203"/>
      <c r="AR729" s="37"/>
      <c r="AS729" s="37"/>
      <c r="AT729" s="37"/>
      <c r="AU729" s="37"/>
      <c r="AV729" s="37"/>
      <c r="AW729" s="37"/>
    </row>
    <row r="730" spans="1:49" ht="15.75" hidden="1" customHeight="1" x14ac:dyDescent="0.25">
      <c r="A730" s="212"/>
      <c r="B730" s="21" t="s">
        <v>3875</v>
      </c>
      <c r="C730" s="198">
        <v>20</v>
      </c>
      <c r="D730" s="199" t="s">
        <v>4660</v>
      </c>
      <c r="E730" s="210" t="s">
        <v>4797</v>
      </c>
      <c r="F730" s="198" t="s">
        <v>4414</v>
      </c>
      <c r="G730" s="199">
        <v>14.361000000000001</v>
      </c>
      <c r="H730" s="213">
        <v>287.22000000000003</v>
      </c>
      <c r="I730" s="199"/>
      <c r="J730" s="217"/>
      <c r="K730" s="218" t="s">
        <v>45</v>
      </c>
      <c r="L730" s="214" t="s">
        <v>2069</v>
      </c>
      <c r="M730" s="200"/>
      <c r="N730" s="8" t="s">
        <v>38</v>
      </c>
      <c r="O730" s="215"/>
      <c r="P730" s="216"/>
      <c r="Q730" s="14">
        <f>Tabela1[[#This Row],[QTDE/ Fabricação]]-Tabela1[[#This Row],[QTE]]</f>
        <v>-20</v>
      </c>
      <c r="R730" s="18">
        <f t="shared" si="117"/>
        <v>287.22000000000003</v>
      </c>
      <c r="S730" s="18">
        <f t="shared" si="118"/>
        <v>287.22000000000003</v>
      </c>
      <c r="T730" s="19">
        <f t="shared" si="119"/>
        <v>0</v>
      </c>
      <c r="U730" s="16">
        <f>IFERROR(SUMIF('LISTA DE EMBARQUE'!B:B,MICRO!E:E,'LISTA DE EMBARQUE'!G:G),"")</f>
        <v>20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287.22000000000003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4512</v>
      </c>
      <c r="AQ730" s="203"/>
      <c r="AR730" s="37"/>
      <c r="AS730" s="37"/>
      <c r="AT730" s="37"/>
      <c r="AU730" s="37"/>
      <c r="AV730" s="37"/>
      <c r="AW730" s="37"/>
    </row>
    <row r="731" spans="1:49" ht="15.75" hidden="1" customHeight="1" x14ac:dyDescent="0.25">
      <c r="A731" s="212"/>
      <c r="B731" s="21" t="s">
        <v>3858</v>
      </c>
      <c r="C731" s="198">
        <v>2</v>
      </c>
      <c r="D731" s="199" t="s">
        <v>4661</v>
      </c>
      <c r="E731" s="210" t="s">
        <v>4798</v>
      </c>
      <c r="F731" s="198" t="s">
        <v>4414</v>
      </c>
      <c r="G731" s="199">
        <v>14.361000000000001</v>
      </c>
      <c r="H731" s="213">
        <v>28.722000000000001</v>
      </c>
      <c r="I731" s="199"/>
      <c r="J731" s="217"/>
      <c r="K731" s="218" t="s">
        <v>45</v>
      </c>
      <c r="L731" s="214" t="s">
        <v>2069</v>
      </c>
      <c r="M731" s="200"/>
      <c r="N731" s="8" t="s">
        <v>38</v>
      </c>
      <c r="O731" s="215"/>
      <c r="P731" s="216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4512</v>
      </c>
      <c r="AQ731" s="203"/>
      <c r="AR731" s="37"/>
      <c r="AS731" s="37"/>
      <c r="AT731" s="37"/>
      <c r="AU731" s="37"/>
      <c r="AV731" s="37"/>
      <c r="AW731" s="37"/>
    </row>
    <row r="732" spans="1:49" ht="15.75" hidden="1" customHeight="1" x14ac:dyDescent="0.25">
      <c r="A732" s="212"/>
      <c r="B732" s="21" t="s">
        <v>3858</v>
      </c>
      <c r="C732" s="198">
        <v>22</v>
      </c>
      <c r="D732" s="199" t="s">
        <v>4661</v>
      </c>
      <c r="E732" s="210" t="s">
        <v>4799</v>
      </c>
      <c r="F732" s="198" t="s">
        <v>4414</v>
      </c>
      <c r="G732" s="199">
        <v>14.361000000000001</v>
      </c>
      <c r="H732" s="213">
        <v>315.94200000000001</v>
      </c>
      <c r="I732" s="199"/>
      <c r="J732" s="217"/>
      <c r="K732" s="218" t="s">
        <v>45</v>
      </c>
      <c r="L732" s="214" t="s">
        <v>2069</v>
      </c>
      <c r="M732" s="200"/>
      <c r="N732" s="8" t="s">
        <v>38</v>
      </c>
      <c r="O732" s="215"/>
      <c r="P732" s="216"/>
      <c r="Q732" s="14">
        <f>Tabela1[[#This Row],[QTDE/ Fabricação]]-Tabela1[[#This Row],[QTE]]</f>
        <v>-22</v>
      </c>
      <c r="R732" s="18">
        <f t="shared" si="117"/>
        <v>315.94200000000001</v>
      </c>
      <c r="S732" s="18">
        <f t="shared" si="118"/>
        <v>315.94200000000001</v>
      </c>
      <c r="T732" s="19">
        <f t="shared" si="119"/>
        <v>0</v>
      </c>
      <c r="U732" s="16">
        <f>IFERROR(SUMIF('LISTA DE EMBARQUE'!B:B,MICRO!E:E,'LISTA DE EMBARQUE'!G:G),"")</f>
        <v>22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315.94200000000001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4512</v>
      </c>
      <c r="AQ732" s="203"/>
      <c r="AR732" s="37"/>
      <c r="AS732" s="37"/>
      <c r="AT732" s="37"/>
      <c r="AU732" s="37"/>
      <c r="AV732" s="37"/>
      <c r="AW732" s="37"/>
    </row>
    <row r="733" spans="1:49" ht="15.75" hidden="1" customHeight="1" x14ac:dyDescent="0.25">
      <c r="A733" s="212"/>
      <c r="B733" s="21" t="s">
        <v>3858</v>
      </c>
      <c r="C733" s="198">
        <v>2</v>
      </c>
      <c r="D733" s="199" t="s">
        <v>4662</v>
      </c>
      <c r="E733" s="210" t="s">
        <v>4800</v>
      </c>
      <c r="F733" s="198" t="s">
        <v>4414</v>
      </c>
      <c r="G733" s="199">
        <v>14.361000000000001</v>
      </c>
      <c r="H733" s="213">
        <v>28.722000000000001</v>
      </c>
      <c r="I733" s="199"/>
      <c r="J733" s="217"/>
      <c r="K733" s="218" t="s">
        <v>45</v>
      </c>
      <c r="L733" s="214" t="s">
        <v>2069</v>
      </c>
      <c r="M733" s="200"/>
      <c r="N733" s="8" t="s">
        <v>38</v>
      </c>
      <c r="O733" s="215"/>
      <c r="P733" s="216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4512</v>
      </c>
      <c r="AQ733" s="203"/>
      <c r="AR733" s="37"/>
      <c r="AS733" s="37"/>
      <c r="AT733" s="37"/>
      <c r="AU733" s="37"/>
      <c r="AV733" s="37"/>
      <c r="AW733" s="37"/>
    </row>
    <row r="734" spans="1:49" ht="15.75" hidden="1" customHeight="1" x14ac:dyDescent="0.25">
      <c r="A734" s="212"/>
      <c r="B734" s="21" t="s">
        <v>3858</v>
      </c>
      <c r="C734" s="198">
        <v>2</v>
      </c>
      <c r="D734" s="199" t="s">
        <v>4662</v>
      </c>
      <c r="E734" s="210" t="s">
        <v>4801</v>
      </c>
      <c r="F734" s="198" t="s">
        <v>4414</v>
      </c>
      <c r="G734" s="199">
        <v>14.361000000000001</v>
      </c>
      <c r="H734" s="213">
        <v>28.722000000000001</v>
      </c>
      <c r="I734" s="199"/>
      <c r="J734" s="217"/>
      <c r="K734" s="218" t="s">
        <v>45</v>
      </c>
      <c r="L734" s="214" t="s">
        <v>2069</v>
      </c>
      <c r="M734" s="200"/>
      <c r="N734" s="8" t="s">
        <v>38</v>
      </c>
      <c r="O734" s="215"/>
      <c r="P734" s="216"/>
      <c r="Q734" s="14">
        <f>Tabela1[[#This Row],[QTDE/ Fabricação]]-Tabela1[[#This Row],[QTE]]</f>
        <v>-2</v>
      </c>
      <c r="R734" s="18">
        <f t="shared" si="117"/>
        <v>28.722000000000001</v>
      </c>
      <c r="S734" s="18">
        <f t="shared" si="118"/>
        <v>28.722000000000001</v>
      </c>
      <c r="T734" s="19">
        <f t="shared" si="119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4512</v>
      </c>
      <c r="AQ734" s="203"/>
      <c r="AR734" s="37"/>
      <c r="AS734" s="37"/>
      <c r="AT734" s="37"/>
      <c r="AU734" s="37"/>
      <c r="AV734" s="37"/>
      <c r="AW734" s="37"/>
    </row>
    <row r="735" spans="1:49" ht="15.75" hidden="1" customHeight="1" x14ac:dyDescent="0.25">
      <c r="A735" s="212"/>
      <c r="B735" s="21" t="s">
        <v>3864</v>
      </c>
      <c r="C735" s="198">
        <v>2</v>
      </c>
      <c r="D735" s="199" t="s">
        <v>4663</v>
      </c>
      <c r="E735" s="210" t="s">
        <v>4802</v>
      </c>
      <c r="F735" s="198" t="s">
        <v>4414</v>
      </c>
      <c r="G735" s="199">
        <v>14.361000000000001</v>
      </c>
      <c r="H735" s="213">
        <v>28.722000000000001</v>
      </c>
      <c r="I735" s="199"/>
      <c r="J735" s="217"/>
      <c r="K735" s="218" t="s">
        <v>45</v>
      </c>
      <c r="L735" s="214" t="s">
        <v>2069</v>
      </c>
      <c r="M735" s="200"/>
      <c r="N735" s="8" t="s">
        <v>38</v>
      </c>
      <c r="O735" s="215"/>
      <c r="P735" s="216"/>
      <c r="Q735" s="14">
        <f>Tabela1[[#This Row],[QTDE/ Fabricação]]-Tabela1[[#This Row],[QTE]]</f>
        <v>-2</v>
      </c>
      <c r="R735" s="18">
        <f t="shared" si="117"/>
        <v>28.722000000000001</v>
      </c>
      <c r="S735" s="18">
        <f t="shared" si="118"/>
        <v>28.722000000000001</v>
      </c>
      <c r="T735" s="19">
        <f t="shared" si="119"/>
        <v>0</v>
      </c>
      <c r="U735" s="16">
        <f>IFERROR(SUMIF('LISTA DE EMBARQUE'!B:B,MICRO!E:E,'LISTA DE EMBARQUE'!G:G),"")</f>
        <v>2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28.722000000000001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4512</v>
      </c>
      <c r="AQ735" s="203"/>
      <c r="AR735" s="37"/>
      <c r="AS735" s="37"/>
      <c r="AT735" s="37"/>
      <c r="AU735" s="37"/>
      <c r="AV735" s="37"/>
      <c r="AW735" s="37"/>
    </row>
    <row r="736" spans="1:49" ht="15.75" hidden="1" customHeight="1" x14ac:dyDescent="0.25">
      <c r="A736" s="212"/>
      <c r="B736" s="21" t="s">
        <v>3864</v>
      </c>
      <c r="C736" s="198">
        <v>2</v>
      </c>
      <c r="D736" s="199" t="s">
        <v>4664</v>
      </c>
      <c r="E736" s="210" t="s">
        <v>4803</v>
      </c>
      <c r="F736" s="198" t="s">
        <v>4414</v>
      </c>
      <c r="G736" s="199">
        <v>14.361000000000001</v>
      </c>
      <c r="H736" s="213">
        <v>28.722000000000001</v>
      </c>
      <c r="I736" s="199"/>
      <c r="J736" s="217"/>
      <c r="K736" s="218" t="s">
        <v>45</v>
      </c>
      <c r="L736" s="214" t="s">
        <v>2069</v>
      </c>
      <c r="M736" s="200"/>
      <c r="N736" s="8" t="s">
        <v>38</v>
      </c>
      <c r="O736" s="215"/>
      <c r="P736" s="216"/>
      <c r="Q736" s="14">
        <f>Tabela1[[#This Row],[QTDE/ Fabricação]]-Tabela1[[#This Row],[QTE]]</f>
        <v>-2</v>
      </c>
      <c r="R736" s="18">
        <f t="shared" si="117"/>
        <v>28.722000000000001</v>
      </c>
      <c r="S736" s="18">
        <f t="shared" si="118"/>
        <v>28.722000000000001</v>
      </c>
      <c r="T736" s="19">
        <f t="shared" si="119"/>
        <v>0</v>
      </c>
      <c r="U736" s="16">
        <f>IFERROR(SUMIF('LISTA DE EMBARQUE'!B:B,MICRO!E:E,'LISTA DE EMBARQUE'!G:G),"")</f>
        <v>2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28.722000000000001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4512</v>
      </c>
      <c r="AQ736" s="203"/>
      <c r="AR736" s="37"/>
      <c r="AS736" s="37"/>
      <c r="AT736" s="37"/>
      <c r="AU736" s="37"/>
      <c r="AV736" s="37"/>
      <c r="AW736" s="37"/>
    </row>
    <row r="737" spans="1:49" ht="15.75" hidden="1" customHeight="1" x14ac:dyDescent="0.25">
      <c r="A737" s="212"/>
      <c r="B737" s="21" t="s">
        <v>3864</v>
      </c>
      <c r="C737" s="198">
        <v>4</v>
      </c>
      <c r="D737" s="199" t="s">
        <v>4665</v>
      </c>
      <c r="E737" s="210" t="s">
        <v>4804</v>
      </c>
      <c r="F737" s="198" t="s">
        <v>4414</v>
      </c>
      <c r="G737" s="199">
        <v>14.361000000000001</v>
      </c>
      <c r="H737" s="213">
        <v>57.444000000000003</v>
      </c>
      <c r="I737" s="199"/>
      <c r="J737" s="217"/>
      <c r="K737" s="218" t="s">
        <v>45</v>
      </c>
      <c r="L737" s="214" t="s">
        <v>2069</v>
      </c>
      <c r="M737" s="200"/>
      <c r="N737" s="8" t="s">
        <v>38</v>
      </c>
      <c r="O737" s="215"/>
      <c r="P737" s="216"/>
      <c r="Q737" s="14">
        <f>Tabela1[[#This Row],[QTDE/ Fabricação]]-Tabela1[[#This Row],[QTE]]</f>
        <v>-4</v>
      </c>
      <c r="R737" s="18">
        <f t="shared" si="117"/>
        <v>57.444000000000003</v>
      </c>
      <c r="S737" s="18">
        <f t="shared" si="118"/>
        <v>57.444000000000003</v>
      </c>
      <c r="T737" s="19">
        <f t="shared" si="119"/>
        <v>0</v>
      </c>
      <c r="U737" s="16">
        <f>IFERROR(SUMIF('LISTA DE EMBARQUE'!B:B,MICRO!E:E,'LISTA DE EMBARQUE'!G:G),"")</f>
        <v>4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57.444000000000003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4512</v>
      </c>
      <c r="AQ737" s="203"/>
      <c r="AR737" s="37"/>
      <c r="AS737" s="37"/>
      <c r="AT737" s="37"/>
      <c r="AU737" s="37"/>
      <c r="AV737" s="37"/>
      <c r="AW737" s="37"/>
    </row>
    <row r="738" spans="1:49" ht="15.75" hidden="1" customHeight="1" x14ac:dyDescent="0.25">
      <c r="A738" s="212"/>
      <c r="B738" s="21" t="s">
        <v>3864</v>
      </c>
      <c r="C738" s="198">
        <v>4</v>
      </c>
      <c r="D738" s="199" t="s">
        <v>4666</v>
      </c>
      <c r="E738" s="210" t="s">
        <v>4805</v>
      </c>
      <c r="F738" s="198" t="s">
        <v>4414</v>
      </c>
      <c r="G738" s="199">
        <v>14.361000000000001</v>
      </c>
      <c r="H738" s="213">
        <v>57.444000000000003</v>
      </c>
      <c r="I738" s="199"/>
      <c r="J738" s="217"/>
      <c r="K738" s="218" t="s">
        <v>45</v>
      </c>
      <c r="L738" s="214" t="s">
        <v>2069</v>
      </c>
      <c r="M738" s="200"/>
      <c r="N738" s="8" t="s">
        <v>38</v>
      </c>
      <c r="O738" s="215"/>
      <c r="P738" s="216"/>
      <c r="Q738" s="14">
        <f>Tabela1[[#This Row],[QTDE/ Fabricação]]-Tabela1[[#This Row],[QTE]]</f>
        <v>-4</v>
      </c>
      <c r="R738" s="18">
        <f t="shared" si="117"/>
        <v>57.444000000000003</v>
      </c>
      <c r="S738" s="18">
        <f t="shared" si="118"/>
        <v>57.444000000000003</v>
      </c>
      <c r="T738" s="19">
        <f t="shared" si="119"/>
        <v>0</v>
      </c>
      <c r="U738" s="16">
        <f>IFERROR(SUMIF('LISTA DE EMBARQUE'!B:B,MICRO!E:E,'LISTA DE EMBARQUE'!G:G),"")</f>
        <v>4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57.444000000000003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4512</v>
      </c>
      <c r="AQ738" s="203"/>
      <c r="AR738" s="37"/>
      <c r="AS738" s="37"/>
      <c r="AT738" s="37"/>
      <c r="AU738" s="37"/>
      <c r="AV738" s="37"/>
      <c r="AW738" s="37"/>
    </row>
    <row r="739" spans="1:49" ht="15.75" hidden="1" customHeight="1" x14ac:dyDescent="0.25">
      <c r="A739" s="212"/>
      <c r="B739" s="21" t="s">
        <v>3864</v>
      </c>
      <c r="C739" s="198">
        <v>6</v>
      </c>
      <c r="D739" s="199" t="s">
        <v>4667</v>
      </c>
      <c r="E739" s="210" t="s">
        <v>4806</v>
      </c>
      <c r="F739" s="198" t="s">
        <v>4414</v>
      </c>
      <c r="G739" s="199">
        <v>14.361000000000001</v>
      </c>
      <c r="H739" s="213">
        <v>86.165999999999997</v>
      </c>
      <c r="I739" s="199"/>
      <c r="J739" s="217"/>
      <c r="K739" s="218" t="s">
        <v>45</v>
      </c>
      <c r="L739" s="214" t="s">
        <v>2069</v>
      </c>
      <c r="M739" s="200"/>
      <c r="N739" s="8" t="s">
        <v>38</v>
      </c>
      <c r="O739" s="215"/>
      <c r="P739" s="216"/>
      <c r="Q739" s="14">
        <f>Tabela1[[#This Row],[QTDE/ Fabricação]]-Tabela1[[#This Row],[QTE]]</f>
        <v>-6</v>
      </c>
      <c r="R739" s="18">
        <f t="shared" si="117"/>
        <v>86.165999999999997</v>
      </c>
      <c r="S739" s="18">
        <f t="shared" si="118"/>
        <v>86.165999999999997</v>
      </c>
      <c r="T739" s="19">
        <f t="shared" si="119"/>
        <v>0</v>
      </c>
      <c r="U739" s="16">
        <f>IFERROR(SUMIF('LISTA DE EMBARQUE'!B:B,MICRO!E:E,'LISTA DE EMBARQUE'!G:G),"")</f>
        <v>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86.165999999999997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4512</v>
      </c>
      <c r="AQ739" s="203"/>
      <c r="AR739" s="37"/>
      <c r="AS739" s="37"/>
      <c r="AT739" s="37"/>
      <c r="AU739" s="37"/>
      <c r="AV739" s="37"/>
      <c r="AW739" s="37"/>
    </row>
    <row r="740" spans="1:49" ht="15.75" hidden="1" customHeight="1" x14ac:dyDescent="0.25">
      <c r="A740" s="212"/>
      <c r="B740" s="21" t="s">
        <v>3864</v>
      </c>
      <c r="C740" s="198">
        <v>2</v>
      </c>
      <c r="D740" s="199" t="s">
        <v>4668</v>
      </c>
      <c r="E740" s="210" t="s">
        <v>4807</v>
      </c>
      <c r="F740" s="198" t="s">
        <v>4414</v>
      </c>
      <c r="G740" s="199">
        <v>14.361000000000001</v>
      </c>
      <c r="H740" s="213">
        <v>28.722000000000001</v>
      </c>
      <c r="I740" s="199"/>
      <c r="J740" s="217"/>
      <c r="K740" s="218" t="s">
        <v>45</v>
      </c>
      <c r="L740" s="214" t="s">
        <v>2069</v>
      </c>
      <c r="M740" s="200"/>
      <c r="N740" s="8" t="s">
        <v>38</v>
      </c>
      <c r="O740" s="215"/>
      <c r="P740" s="216"/>
      <c r="Q740" s="14">
        <f>Tabela1[[#This Row],[QTDE/ Fabricação]]-Tabela1[[#This Row],[QTE]]</f>
        <v>-2</v>
      </c>
      <c r="R740" s="18">
        <f t="shared" si="117"/>
        <v>28.722000000000001</v>
      </c>
      <c r="S740" s="18">
        <f t="shared" si="118"/>
        <v>28.722000000000001</v>
      </c>
      <c r="T740" s="19">
        <f t="shared" si="119"/>
        <v>0</v>
      </c>
      <c r="U740" s="16">
        <f>IFERROR(SUMIF('LISTA DE EMBARQUE'!B:B,MICRO!E:E,'LISTA DE EMBARQUE'!G:G),"")</f>
        <v>2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28.722000000000001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4512</v>
      </c>
      <c r="AQ740" s="203"/>
      <c r="AR740" s="37"/>
      <c r="AS740" s="37"/>
      <c r="AT740" s="37"/>
      <c r="AU740" s="37"/>
      <c r="AV740" s="37"/>
      <c r="AW740" s="37"/>
    </row>
    <row r="741" spans="1:49" ht="15.75" hidden="1" customHeight="1" x14ac:dyDescent="0.25">
      <c r="A741" s="212"/>
      <c r="B741" s="21" t="s">
        <v>3855</v>
      </c>
      <c r="C741" s="198">
        <v>2</v>
      </c>
      <c r="D741" s="199" t="s">
        <v>4669</v>
      </c>
      <c r="E741" s="210" t="s">
        <v>4808</v>
      </c>
      <c r="F741" s="198" t="s">
        <v>4414</v>
      </c>
      <c r="G741" s="199">
        <v>14.361000000000001</v>
      </c>
      <c r="H741" s="213">
        <v>28.722000000000001</v>
      </c>
      <c r="I741" s="199"/>
      <c r="J741" s="217"/>
      <c r="K741" s="218" t="s">
        <v>45</v>
      </c>
      <c r="L741" s="214" t="s">
        <v>2069</v>
      </c>
      <c r="M741" s="200"/>
      <c r="N741" s="8" t="s">
        <v>38</v>
      </c>
      <c r="O741" s="215"/>
      <c r="P741" s="216"/>
      <c r="Q741" s="14">
        <f>Tabela1[[#This Row],[QTDE/ Fabricação]]-Tabela1[[#This Row],[QTE]]</f>
        <v>-2</v>
      </c>
      <c r="R741" s="18">
        <f t="shared" si="117"/>
        <v>28.722000000000001</v>
      </c>
      <c r="S741" s="18">
        <f t="shared" si="118"/>
        <v>28.722000000000001</v>
      </c>
      <c r="T741" s="19">
        <f t="shared" si="119"/>
        <v>0</v>
      </c>
      <c r="U741" s="16">
        <f>IFERROR(SUMIF('LISTA DE EMBARQUE'!B:B,MICRO!E:E,'LISTA DE EMBARQUE'!G:G),"")</f>
        <v>2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28.722000000000001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4512</v>
      </c>
      <c r="AQ741" s="203"/>
      <c r="AR741" s="37"/>
      <c r="AS741" s="37"/>
      <c r="AT741" s="37"/>
      <c r="AU741" s="37"/>
      <c r="AV741" s="37"/>
      <c r="AW741" s="37"/>
    </row>
    <row r="742" spans="1:49" ht="15.75" hidden="1" customHeight="1" x14ac:dyDescent="0.25">
      <c r="A742" s="212"/>
      <c r="B742" s="21" t="s">
        <v>3855</v>
      </c>
      <c r="C742" s="198">
        <v>26</v>
      </c>
      <c r="D742" s="199" t="s">
        <v>4670</v>
      </c>
      <c r="E742" s="210" t="s">
        <v>4809</v>
      </c>
      <c r="F742" s="198" t="s">
        <v>4414</v>
      </c>
      <c r="G742" s="199">
        <v>14.361000000000001</v>
      </c>
      <c r="H742" s="213">
        <v>373.38600000000002</v>
      </c>
      <c r="I742" s="199"/>
      <c r="J742" s="217"/>
      <c r="K742" s="218" t="s">
        <v>45</v>
      </c>
      <c r="L742" s="214" t="s">
        <v>2069</v>
      </c>
      <c r="M742" s="200"/>
      <c r="N742" s="8" t="s">
        <v>38</v>
      </c>
      <c r="O742" s="215"/>
      <c r="P742" s="216"/>
      <c r="Q742" s="14">
        <f>Tabela1[[#This Row],[QTDE/ Fabricação]]-Tabela1[[#This Row],[QTE]]</f>
        <v>-26</v>
      </c>
      <c r="R742" s="18">
        <f t="shared" si="117"/>
        <v>373.38600000000002</v>
      </c>
      <c r="S742" s="18">
        <f t="shared" si="118"/>
        <v>373.38600000000002</v>
      </c>
      <c r="T742" s="19">
        <f t="shared" si="119"/>
        <v>0</v>
      </c>
      <c r="U742" s="16">
        <f>IFERROR(SUMIF('LISTA DE EMBARQUE'!B:B,MICRO!E:E,'LISTA DE EMBARQUE'!G:G),"")</f>
        <v>26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373.38600000000002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4512</v>
      </c>
      <c r="AQ742" s="203"/>
      <c r="AR742" s="37"/>
      <c r="AS742" s="37"/>
      <c r="AT742" s="37"/>
      <c r="AU742" s="37"/>
      <c r="AV742" s="37"/>
      <c r="AW742" s="37"/>
    </row>
    <row r="743" spans="1:49" ht="15.75" hidden="1" customHeight="1" x14ac:dyDescent="0.25">
      <c r="A743" s="212"/>
      <c r="B743" s="21" t="s">
        <v>3873</v>
      </c>
      <c r="C743" s="198">
        <v>4</v>
      </c>
      <c r="D743" s="199" t="s">
        <v>4671</v>
      </c>
      <c r="E743" s="210" t="s">
        <v>4810</v>
      </c>
      <c r="F743" s="198" t="s">
        <v>4414</v>
      </c>
      <c r="G743" s="199">
        <v>14.361000000000001</v>
      </c>
      <c r="H743" s="213">
        <v>57.444000000000003</v>
      </c>
      <c r="I743" s="199"/>
      <c r="J743" s="217"/>
      <c r="K743" s="218" t="s">
        <v>45</v>
      </c>
      <c r="L743" s="214" t="s">
        <v>2069</v>
      </c>
      <c r="M743" s="200"/>
      <c r="N743" s="8" t="s">
        <v>38</v>
      </c>
      <c r="O743" s="215"/>
      <c r="P743" s="216"/>
      <c r="Q743" s="14">
        <f>Tabela1[[#This Row],[QTDE/ Fabricação]]-Tabela1[[#This Row],[QTE]]</f>
        <v>-4</v>
      </c>
      <c r="R743" s="18">
        <f t="shared" si="117"/>
        <v>57.444000000000003</v>
      </c>
      <c r="S743" s="18">
        <f t="shared" si="118"/>
        <v>57.444000000000003</v>
      </c>
      <c r="T743" s="19">
        <f t="shared" si="119"/>
        <v>0</v>
      </c>
      <c r="U743" s="16">
        <f>IFERROR(SUMIF('LISTA DE EMBARQUE'!B:B,MICRO!E:E,'LISTA DE EMBARQUE'!G:G),"")</f>
        <v>4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57.444000000000003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4512</v>
      </c>
      <c r="AQ743" s="203"/>
      <c r="AR743" s="37"/>
      <c r="AS743" s="37"/>
      <c r="AT743" s="37"/>
      <c r="AU743" s="37"/>
      <c r="AV743" s="37"/>
      <c r="AW743" s="37"/>
    </row>
    <row r="744" spans="1:49" ht="15.75" hidden="1" customHeight="1" x14ac:dyDescent="0.25">
      <c r="A744" s="212"/>
      <c r="B744" s="21" t="s">
        <v>3873</v>
      </c>
      <c r="C744" s="198">
        <v>20</v>
      </c>
      <c r="D744" s="199" t="s">
        <v>4672</v>
      </c>
      <c r="E744" s="210" t="s">
        <v>4811</v>
      </c>
      <c r="F744" s="198" t="s">
        <v>4414</v>
      </c>
      <c r="G744" s="199">
        <v>14.361000000000001</v>
      </c>
      <c r="H744" s="213">
        <v>287.22000000000003</v>
      </c>
      <c r="I744" s="199"/>
      <c r="J744" s="217"/>
      <c r="K744" s="218" t="s">
        <v>45</v>
      </c>
      <c r="L744" s="214" t="s">
        <v>2069</v>
      </c>
      <c r="M744" s="200"/>
      <c r="N744" s="8" t="s">
        <v>38</v>
      </c>
      <c r="O744" s="215"/>
      <c r="P744" s="216"/>
      <c r="Q744" s="14">
        <f>Tabela1[[#This Row],[QTDE/ Fabricação]]-Tabela1[[#This Row],[QTE]]</f>
        <v>-20</v>
      </c>
      <c r="R744" s="18">
        <f t="shared" si="117"/>
        <v>287.22000000000003</v>
      </c>
      <c r="S744" s="18">
        <f t="shared" si="118"/>
        <v>287.22000000000003</v>
      </c>
      <c r="T744" s="19">
        <f t="shared" si="119"/>
        <v>0</v>
      </c>
      <c r="U744" s="16">
        <f>IFERROR(SUMIF('LISTA DE EMBARQUE'!B:B,MICRO!E:E,'LISTA DE EMBARQUE'!G:G),"")</f>
        <v>20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287.22000000000003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4512</v>
      </c>
      <c r="AQ744" s="203"/>
      <c r="AR744" s="37"/>
      <c r="AS744" s="37"/>
      <c r="AT744" s="37"/>
      <c r="AU744" s="37"/>
      <c r="AV744" s="37"/>
      <c r="AW744" s="37"/>
    </row>
    <row r="745" spans="1:49" ht="15.75" hidden="1" customHeight="1" x14ac:dyDescent="0.25">
      <c r="A745" s="212"/>
      <c r="B745" s="21" t="s">
        <v>4673</v>
      </c>
      <c r="C745" s="198">
        <v>1</v>
      </c>
      <c r="D745" s="199" t="s">
        <v>4674</v>
      </c>
      <c r="E745" s="210" t="s">
        <v>4812</v>
      </c>
      <c r="F745" s="198" t="s">
        <v>4414</v>
      </c>
      <c r="G745" s="199">
        <v>12.6</v>
      </c>
      <c r="H745" s="213">
        <v>12.6</v>
      </c>
      <c r="I745" s="199"/>
      <c r="J745" s="217"/>
      <c r="K745" s="218" t="s">
        <v>45</v>
      </c>
      <c r="L745" s="214" t="s">
        <v>2069</v>
      </c>
      <c r="M745" s="200"/>
      <c r="N745" s="8" t="s">
        <v>38</v>
      </c>
      <c r="O745" s="215"/>
      <c r="P745" s="216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4512</v>
      </c>
      <c r="AQ745" s="203"/>
      <c r="AR745" s="37"/>
      <c r="AS745" s="37"/>
      <c r="AT745" s="37"/>
      <c r="AU745" s="37"/>
      <c r="AV745" s="37"/>
      <c r="AW745" s="37"/>
    </row>
    <row r="746" spans="1:49" ht="15.75" hidden="1" customHeight="1" x14ac:dyDescent="0.25">
      <c r="A746" s="212"/>
      <c r="B746" s="21" t="s">
        <v>4673</v>
      </c>
      <c r="C746" s="198">
        <v>1</v>
      </c>
      <c r="D746" s="199" t="s">
        <v>4676</v>
      </c>
      <c r="E746" s="210" t="s">
        <v>4813</v>
      </c>
      <c r="F746" s="198" t="s">
        <v>4414</v>
      </c>
      <c r="G746" s="199">
        <v>12.6</v>
      </c>
      <c r="H746" s="213">
        <v>12.6</v>
      </c>
      <c r="I746" s="199"/>
      <c r="J746" s="217"/>
      <c r="K746" s="218" t="s">
        <v>45</v>
      </c>
      <c r="L746" s="214" t="s">
        <v>2069</v>
      </c>
      <c r="M746" s="200"/>
      <c r="N746" s="8" t="s">
        <v>38</v>
      </c>
      <c r="O746" s="215"/>
      <c r="P746" s="216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4512</v>
      </c>
      <c r="AQ746" s="203"/>
      <c r="AR746" s="37"/>
      <c r="AS746" s="37"/>
      <c r="AT746" s="37"/>
      <c r="AU746" s="37"/>
      <c r="AV746" s="37"/>
      <c r="AW746" s="37"/>
    </row>
    <row r="747" spans="1:49" ht="15.75" hidden="1" customHeight="1" x14ac:dyDescent="0.25">
      <c r="A747" s="212"/>
      <c r="B747" s="21" t="s">
        <v>4673</v>
      </c>
      <c r="C747" s="198">
        <v>1</v>
      </c>
      <c r="D747" s="199" t="s">
        <v>4677</v>
      </c>
      <c r="E747" s="210" t="s">
        <v>4814</v>
      </c>
      <c r="F747" s="198" t="s">
        <v>4414</v>
      </c>
      <c r="G747" s="199">
        <v>12.6</v>
      </c>
      <c r="H747" s="213">
        <v>12.6</v>
      </c>
      <c r="I747" s="199"/>
      <c r="J747" s="217"/>
      <c r="K747" s="218" t="s">
        <v>45</v>
      </c>
      <c r="L747" s="214" t="s">
        <v>2069</v>
      </c>
      <c r="M747" s="200"/>
      <c r="N747" s="8" t="s">
        <v>38</v>
      </c>
      <c r="O747" s="215"/>
      <c r="P747" s="216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4512</v>
      </c>
      <c r="AQ747" s="203"/>
      <c r="AR747" s="37"/>
      <c r="AS747" s="37"/>
      <c r="AT747" s="37"/>
      <c r="AU747" s="37"/>
      <c r="AV747" s="37"/>
      <c r="AW747" s="37"/>
    </row>
    <row r="748" spans="1:49" ht="15.75" hidden="1" customHeight="1" x14ac:dyDescent="0.25">
      <c r="A748" s="212"/>
      <c r="B748" s="21" t="s">
        <v>4673</v>
      </c>
      <c r="C748" s="198">
        <v>1</v>
      </c>
      <c r="D748" s="199" t="s">
        <v>4678</v>
      </c>
      <c r="E748" s="210" t="s">
        <v>4815</v>
      </c>
      <c r="F748" s="198" t="s">
        <v>4414</v>
      </c>
      <c r="G748" s="199">
        <v>12.6</v>
      </c>
      <c r="H748" s="213">
        <v>12.6</v>
      </c>
      <c r="I748" s="199"/>
      <c r="J748" s="217"/>
      <c r="K748" s="218" t="s">
        <v>45</v>
      </c>
      <c r="L748" s="214" t="s">
        <v>2069</v>
      </c>
      <c r="M748" s="200"/>
      <c r="N748" s="8" t="s">
        <v>38</v>
      </c>
      <c r="O748" s="215"/>
      <c r="P748" s="216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4512</v>
      </c>
      <c r="AQ748" s="203"/>
      <c r="AR748" s="37"/>
      <c r="AS748" s="37"/>
      <c r="AT748" s="37"/>
      <c r="AU748" s="37"/>
      <c r="AV748" s="37"/>
      <c r="AW748" s="37"/>
    </row>
    <row r="749" spans="1:49" ht="15.75" hidden="1" customHeight="1" x14ac:dyDescent="0.25">
      <c r="A749" s="212"/>
      <c r="B749" s="21" t="s">
        <v>4673</v>
      </c>
      <c r="C749" s="198">
        <v>1</v>
      </c>
      <c r="D749" s="199" t="s">
        <v>4679</v>
      </c>
      <c r="E749" s="210" t="s">
        <v>4816</v>
      </c>
      <c r="F749" s="198" t="s">
        <v>4414</v>
      </c>
      <c r="G749" s="199">
        <v>12.6</v>
      </c>
      <c r="H749" s="213">
        <v>12.6</v>
      </c>
      <c r="I749" s="199"/>
      <c r="J749" s="217"/>
      <c r="K749" s="218" t="s">
        <v>45</v>
      </c>
      <c r="L749" s="214" t="s">
        <v>2069</v>
      </c>
      <c r="M749" s="200"/>
      <c r="N749" s="8" t="s">
        <v>38</v>
      </c>
      <c r="O749" s="215"/>
      <c r="P749" s="216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4512</v>
      </c>
      <c r="AQ749" s="203"/>
      <c r="AR749" s="37"/>
      <c r="AS749" s="37"/>
      <c r="AT749" s="37"/>
      <c r="AU749" s="37"/>
      <c r="AV749" s="37"/>
      <c r="AW749" s="37"/>
    </row>
    <row r="750" spans="1:49" ht="15.75" hidden="1" customHeight="1" x14ac:dyDescent="0.25">
      <c r="A750" s="212"/>
      <c r="B750" s="21" t="s">
        <v>4673</v>
      </c>
      <c r="C750" s="198">
        <v>1</v>
      </c>
      <c r="D750" s="199" t="s">
        <v>4680</v>
      </c>
      <c r="E750" s="210" t="s">
        <v>4817</v>
      </c>
      <c r="F750" s="198" t="s">
        <v>4414</v>
      </c>
      <c r="G750" s="199">
        <v>12.6</v>
      </c>
      <c r="H750" s="213">
        <v>12.6</v>
      </c>
      <c r="I750" s="199"/>
      <c r="J750" s="217"/>
      <c r="K750" s="218" t="s">
        <v>45</v>
      </c>
      <c r="L750" s="214" t="s">
        <v>2069</v>
      </c>
      <c r="M750" s="200"/>
      <c r="N750" s="8" t="s">
        <v>38</v>
      </c>
      <c r="O750" s="215"/>
      <c r="P750" s="216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4512</v>
      </c>
      <c r="AQ750" s="203"/>
      <c r="AR750" s="37"/>
      <c r="AS750" s="37"/>
      <c r="AT750" s="37"/>
      <c r="AU750" s="37"/>
      <c r="AV750" s="37"/>
      <c r="AW750" s="37"/>
    </row>
    <row r="751" spans="1:49" ht="15.75" hidden="1" customHeight="1" x14ac:dyDescent="0.25">
      <c r="A751" s="212"/>
      <c r="B751" s="21" t="s">
        <v>4673</v>
      </c>
      <c r="C751" s="198">
        <v>1</v>
      </c>
      <c r="D751" s="199" t="s">
        <v>4681</v>
      </c>
      <c r="E751" s="210" t="s">
        <v>4818</v>
      </c>
      <c r="F751" s="198" t="s">
        <v>4414</v>
      </c>
      <c r="G751" s="199">
        <v>12.6</v>
      </c>
      <c r="H751" s="213">
        <v>12.6</v>
      </c>
      <c r="I751" s="199"/>
      <c r="J751" s="217"/>
      <c r="K751" s="218" t="s">
        <v>45</v>
      </c>
      <c r="L751" s="214" t="s">
        <v>2069</v>
      </c>
      <c r="M751" s="200"/>
      <c r="N751" s="8" t="s">
        <v>38</v>
      </c>
      <c r="O751" s="215"/>
      <c r="P751" s="216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4512</v>
      </c>
      <c r="AQ751" s="203"/>
      <c r="AR751" s="37"/>
      <c r="AS751" s="37"/>
      <c r="AT751" s="37"/>
      <c r="AU751" s="37"/>
      <c r="AV751" s="37"/>
      <c r="AW751" s="37"/>
    </row>
    <row r="752" spans="1:49" ht="15.75" hidden="1" customHeight="1" x14ac:dyDescent="0.25">
      <c r="A752" s="212"/>
      <c r="B752" s="21" t="s">
        <v>4673</v>
      </c>
      <c r="C752" s="198">
        <v>1</v>
      </c>
      <c r="D752" s="199" t="s">
        <v>4682</v>
      </c>
      <c r="E752" s="210" t="s">
        <v>4819</v>
      </c>
      <c r="F752" s="198" t="s">
        <v>4414</v>
      </c>
      <c r="G752" s="199">
        <v>12.6</v>
      </c>
      <c r="H752" s="213">
        <v>12.6</v>
      </c>
      <c r="I752" s="199"/>
      <c r="J752" s="217"/>
      <c r="K752" s="218" t="s">
        <v>45</v>
      </c>
      <c r="L752" s="214" t="s">
        <v>2069</v>
      </c>
      <c r="M752" s="200"/>
      <c r="N752" s="8" t="s">
        <v>38</v>
      </c>
      <c r="O752" s="215"/>
      <c r="P752" s="216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4512</v>
      </c>
      <c r="AQ752" s="203"/>
      <c r="AR752" s="37"/>
      <c r="AS752" s="37"/>
      <c r="AT752" s="37"/>
      <c r="AU752" s="37"/>
      <c r="AV752" s="37"/>
      <c r="AW752" s="37"/>
    </row>
    <row r="753" spans="1:49" ht="15.75" hidden="1" customHeight="1" x14ac:dyDescent="0.25">
      <c r="A753" s="212"/>
      <c r="B753" s="21" t="s">
        <v>4673</v>
      </c>
      <c r="C753" s="198">
        <v>1</v>
      </c>
      <c r="D753" s="199" t="s">
        <v>4683</v>
      </c>
      <c r="E753" s="210" t="s">
        <v>4820</v>
      </c>
      <c r="F753" s="198" t="s">
        <v>4414</v>
      </c>
      <c r="G753" s="199">
        <v>12.6</v>
      </c>
      <c r="H753" s="213">
        <v>12.6</v>
      </c>
      <c r="I753" s="199"/>
      <c r="J753" s="217"/>
      <c r="K753" s="218" t="s">
        <v>45</v>
      </c>
      <c r="L753" s="214" t="s">
        <v>2069</v>
      </c>
      <c r="M753" s="200"/>
      <c r="N753" s="8" t="s">
        <v>38</v>
      </c>
      <c r="O753" s="215"/>
      <c r="P753" s="216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4512</v>
      </c>
      <c r="AQ753" s="203"/>
      <c r="AR753" s="37"/>
      <c r="AS753" s="37"/>
      <c r="AT753" s="37"/>
      <c r="AU753" s="37"/>
      <c r="AV753" s="37"/>
      <c r="AW753" s="37"/>
    </row>
    <row r="754" spans="1:49" ht="15.75" hidden="1" customHeight="1" x14ac:dyDescent="0.25">
      <c r="A754" s="212"/>
      <c r="B754" s="21" t="s">
        <v>4673</v>
      </c>
      <c r="C754" s="198">
        <v>1</v>
      </c>
      <c r="D754" s="199" t="s">
        <v>4684</v>
      </c>
      <c r="E754" s="210" t="s">
        <v>4821</v>
      </c>
      <c r="F754" s="198" t="s">
        <v>4414</v>
      </c>
      <c r="G754" s="199">
        <v>12.6</v>
      </c>
      <c r="H754" s="213">
        <v>12.6</v>
      </c>
      <c r="I754" s="199"/>
      <c r="J754" s="217"/>
      <c r="K754" s="218" t="s">
        <v>45</v>
      </c>
      <c r="L754" s="214" t="s">
        <v>2069</v>
      </c>
      <c r="M754" s="200"/>
      <c r="N754" s="8" t="s">
        <v>38</v>
      </c>
      <c r="O754" s="215"/>
      <c r="P754" s="216"/>
      <c r="Q754" s="14">
        <f>Tabela1[[#This Row],[QTDE/ Fabricação]]-Tabela1[[#This Row],[QTE]]</f>
        <v>-1</v>
      </c>
      <c r="R754" s="18">
        <f t="shared" si="117"/>
        <v>12.6</v>
      </c>
      <c r="S754" s="18">
        <f t="shared" si="118"/>
        <v>12.6</v>
      </c>
      <c r="T754" s="19">
        <f t="shared" si="119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4512</v>
      </c>
      <c r="AQ754" s="203"/>
      <c r="AR754" s="37"/>
      <c r="AS754" s="37"/>
      <c r="AT754" s="37"/>
      <c r="AU754" s="37"/>
      <c r="AV754" s="37"/>
      <c r="AW754" s="37"/>
    </row>
    <row r="755" spans="1:49" ht="15.75" hidden="1" customHeight="1" x14ac:dyDescent="0.25">
      <c r="A755" s="212"/>
      <c r="B755" s="21" t="s">
        <v>4673</v>
      </c>
      <c r="C755" s="198">
        <v>1</v>
      </c>
      <c r="D755" s="199" t="s">
        <v>4685</v>
      </c>
      <c r="E755" s="210" t="s">
        <v>4822</v>
      </c>
      <c r="F755" s="198" t="s">
        <v>4414</v>
      </c>
      <c r="G755" s="199">
        <v>12.6</v>
      </c>
      <c r="H755" s="213">
        <v>12.6</v>
      </c>
      <c r="I755" s="199"/>
      <c r="J755" s="217"/>
      <c r="K755" s="218" t="s">
        <v>45</v>
      </c>
      <c r="L755" s="214" t="s">
        <v>2069</v>
      </c>
      <c r="M755" s="200"/>
      <c r="N755" s="8" t="s">
        <v>38</v>
      </c>
      <c r="O755" s="215"/>
      <c r="P755" s="216"/>
      <c r="Q755" s="14">
        <f>Tabela1[[#This Row],[QTDE/ Fabricação]]-Tabela1[[#This Row],[QTE]]</f>
        <v>-1</v>
      </c>
      <c r="R755" s="18">
        <f t="shared" si="117"/>
        <v>12.6</v>
      </c>
      <c r="S755" s="18">
        <f t="shared" si="118"/>
        <v>12.6</v>
      </c>
      <c r="T755" s="19">
        <f t="shared" si="119"/>
        <v>0</v>
      </c>
      <c r="U755" s="16">
        <f>IFERROR(SUMIF('LISTA DE EMBARQUE'!B:B,MICRO!E:E,'LISTA DE EMBARQUE'!G:G),"")</f>
        <v>1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12.6</v>
      </c>
      <c r="Y755" s="14">
        <f t="shared" si="120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4512</v>
      </c>
      <c r="AQ755" s="203"/>
      <c r="AR755" s="37"/>
      <c r="AS755" s="37"/>
      <c r="AT755" s="37"/>
      <c r="AU755" s="37"/>
      <c r="AV755" s="37"/>
      <c r="AW755" s="37"/>
    </row>
    <row r="756" spans="1:49" ht="15.75" hidden="1" customHeight="1" x14ac:dyDescent="0.25">
      <c r="A756" s="212"/>
      <c r="B756" s="21" t="s">
        <v>4673</v>
      </c>
      <c r="C756" s="198">
        <v>1</v>
      </c>
      <c r="D756" s="199" t="s">
        <v>4686</v>
      </c>
      <c r="E756" s="210" t="s">
        <v>4823</v>
      </c>
      <c r="F756" s="198" t="s">
        <v>4414</v>
      </c>
      <c r="G756" s="199">
        <v>12.6</v>
      </c>
      <c r="H756" s="213">
        <v>12.6</v>
      </c>
      <c r="I756" s="199"/>
      <c r="J756" s="217"/>
      <c r="K756" s="218" t="s">
        <v>45</v>
      </c>
      <c r="L756" s="214" t="s">
        <v>2069</v>
      </c>
      <c r="M756" s="200"/>
      <c r="N756" s="8" t="s">
        <v>38</v>
      </c>
      <c r="O756" s="215"/>
      <c r="P756" s="216"/>
      <c r="Q756" s="14">
        <f>Tabela1[[#This Row],[QTDE/ Fabricação]]-Tabela1[[#This Row],[QTE]]</f>
        <v>-1</v>
      </c>
      <c r="R756" s="18">
        <f t="shared" si="117"/>
        <v>12.6</v>
      </c>
      <c r="S756" s="18">
        <f t="shared" si="118"/>
        <v>12.6</v>
      </c>
      <c r="T756" s="19">
        <f t="shared" si="119"/>
        <v>0</v>
      </c>
      <c r="U756" s="16">
        <f>IFERROR(SUMIF('LISTA DE EMBARQUE'!B:B,MICRO!E:E,'LISTA DE EMBARQUE'!G:G),"")</f>
        <v>1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12.6</v>
      </c>
      <c r="Y756" s="14">
        <f t="shared" si="120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4512</v>
      </c>
      <c r="AQ756" s="203"/>
      <c r="AR756" s="37"/>
      <c r="AS756" s="37"/>
      <c r="AT756" s="37"/>
      <c r="AU756" s="37"/>
      <c r="AV756" s="37"/>
      <c r="AW756" s="37"/>
    </row>
    <row r="757" spans="1:49" ht="15.75" hidden="1" customHeight="1" x14ac:dyDescent="0.25">
      <c r="A757" s="212"/>
      <c r="B757" s="21" t="s">
        <v>4673</v>
      </c>
      <c r="C757" s="198">
        <v>168</v>
      </c>
      <c r="D757" s="199" t="s">
        <v>4687</v>
      </c>
      <c r="E757" s="210" t="s">
        <v>4824</v>
      </c>
      <c r="F757" s="198" t="s">
        <v>4414</v>
      </c>
      <c r="G757" s="199">
        <v>0.188</v>
      </c>
      <c r="H757" s="213">
        <v>31.584</v>
      </c>
      <c r="I757" s="199"/>
      <c r="J757" s="217"/>
      <c r="K757" s="218" t="s">
        <v>45</v>
      </c>
      <c r="L757" s="214" t="s">
        <v>2069</v>
      </c>
      <c r="M757" s="200"/>
      <c r="N757" s="8" t="s">
        <v>38</v>
      </c>
      <c r="O757" s="215"/>
      <c r="P757" s="216"/>
      <c r="Q757" s="14">
        <f>Tabela1[[#This Row],[QTDE/ Fabricação]]-Tabela1[[#This Row],[QTE]]</f>
        <v>-168</v>
      </c>
      <c r="R757" s="18">
        <f t="shared" si="117"/>
        <v>31.584</v>
      </c>
      <c r="S757" s="18">
        <f t="shared" si="118"/>
        <v>31.584</v>
      </c>
      <c r="T757" s="19">
        <f t="shared" si="119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20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4512</v>
      </c>
      <c r="AQ757" s="203"/>
      <c r="AR757" s="37"/>
      <c r="AS757" s="37"/>
      <c r="AT757" s="37"/>
      <c r="AU757" s="37"/>
      <c r="AV757" s="37"/>
      <c r="AW757" s="37"/>
    </row>
    <row r="758" spans="1:49" ht="15.75" hidden="1" customHeight="1" x14ac:dyDescent="0.25">
      <c r="A758" s="212"/>
      <c r="B758" s="21" t="s">
        <v>4673</v>
      </c>
      <c r="C758" s="198">
        <v>336</v>
      </c>
      <c r="D758" s="199" t="s">
        <v>4688</v>
      </c>
      <c r="E758" s="210" t="s">
        <v>4825</v>
      </c>
      <c r="F758" s="198" t="s">
        <v>4414</v>
      </c>
      <c r="G758" s="199">
        <v>0.188</v>
      </c>
      <c r="H758" s="213">
        <v>63.167999999999999</v>
      </c>
      <c r="I758" s="199"/>
      <c r="J758" s="217"/>
      <c r="K758" s="218" t="s">
        <v>45</v>
      </c>
      <c r="L758" s="214" t="s">
        <v>2069</v>
      </c>
      <c r="M758" s="200"/>
      <c r="N758" s="8" t="s">
        <v>38</v>
      </c>
      <c r="O758" s="215"/>
      <c r="P758" s="216"/>
      <c r="Q758" s="14">
        <f>Tabela1[[#This Row],[QTDE/ Fabricação]]-Tabela1[[#This Row],[QTE]]</f>
        <v>-336</v>
      </c>
      <c r="R758" s="18">
        <f t="shared" ref="R758:R764" si="121">IFERROR(H758*((AA758*0.25)+(AC758*0.25)+(AD758*0.225)+(AE758*0.225)+(AF758*0.05)),"")</f>
        <v>63.167999999999999</v>
      </c>
      <c r="S758" s="18">
        <f t="shared" ref="S758:S764" si="122">IFERROR(H758*AG758,"")</f>
        <v>63.167999999999999</v>
      </c>
      <c r="T758" s="19">
        <f t="shared" ref="T758:T764" si="123">IFERROR(S758-H758,"")</f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ref="Y758:Y764" si="124">U758-C758</f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4512</v>
      </c>
      <c r="AQ758" s="203"/>
      <c r="AR758" s="37"/>
      <c r="AS758" s="37"/>
      <c r="AT758" s="37"/>
      <c r="AU758" s="37"/>
      <c r="AV758" s="37"/>
      <c r="AW758" s="37"/>
    </row>
    <row r="759" spans="1:49" ht="15.75" hidden="1" customHeight="1" x14ac:dyDescent="0.25">
      <c r="A759" s="212"/>
      <c r="B759" s="21" t="s">
        <v>4673</v>
      </c>
      <c r="C759" s="198">
        <v>168</v>
      </c>
      <c r="D759" s="199" t="s">
        <v>4689</v>
      </c>
      <c r="E759" s="210" t="s">
        <v>4826</v>
      </c>
      <c r="F759" s="198" t="s">
        <v>4414</v>
      </c>
      <c r="G759" s="199">
        <v>0.188</v>
      </c>
      <c r="H759" s="213">
        <v>31.584</v>
      </c>
      <c r="I759" s="199"/>
      <c r="J759" s="217"/>
      <c r="K759" s="218" t="s">
        <v>45</v>
      </c>
      <c r="L759" s="214" t="s">
        <v>2069</v>
      </c>
      <c r="M759" s="200"/>
      <c r="N759" s="8" t="s">
        <v>38</v>
      </c>
      <c r="O759" s="215"/>
      <c r="P759" s="216"/>
      <c r="Q759" s="14">
        <f>Tabela1[[#This Row],[QTDE/ Fabricação]]-Tabela1[[#This Row],[QTE]]</f>
        <v>-168</v>
      </c>
      <c r="R759" s="18">
        <f t="shared" si="121"/>
        <v>31.584</v>
      </c>
      <c r="S759" s="18">
        <f t="shared" si="122"/>
        <v>31.584</v>
      </c>
      <c r="T759" s="19">
        <f t="shared" si="123"/>
        <v>0</v>
      </c>
      <c r="U759" s="16">
        <f>IFERROR(SUMIF('LISTA DE EMBARQUE'!B:B,MICRO!E:E,'LISTA DE EMBARQUE'!G:G),"")</f>
        <v>168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31.584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4512</v>
      </c>
      <c r="AQ759" s="203"/>
      <c r="AR759" s="37"/>
      <c r="AS759" s="37"/>
      <c r="AT759" s="37"/>
      <c r="AU759" s="37"/>
      <c r="AV759" s="37"/>
      <c r="AW759" s="37"/>
    </row>
    <row r="760" spans="1:49" ht="15.75" hidden="1" customHeight="1" x14ac:dyDescent="0.25">
      <c r="A760" s="212"/>
      <c r="B760" s="196" t="s">
        <v>4673</v>
      </c>
      <c r="C760" s="198">
        <v>336</v>
      </c>
      <c r="D760" s="199" t="s">
        <v>4689</v>
      </c>
      <c r="E760" s="210" t="s">
        <v>4827</v>
      </c>
      <c r="F760" s="198" t="s">
        <v>4414</v>
      </c>
      <c r="G760" s="199">
        <v>0.188</v>
      </c>
      <c r="H760" s="213">
        <v>63.167999999999999</v>
      </c>
      <c r="I760" s="199"/>
      <c r="J760" s="217"/>
      <c r="K760" s="218" t="s">
        <v>45</v>
      </c>
      <c r="L760" s="214" t="s">
        <v>2069</v>
      </c>
      <c r="M760" s="200"/>
      <c r="N760" s="8" t="s">
        <v>38</v>
      </c>
      <c r="O760" s="201"/>
      <c r="P760" s="202"/>
      <c r="Q760" s="14">
        <f>Tabela1[[#This Row],[QTDE/ Fabricação]]-Tabela1[[#This Row],[QTE]]</f>
        <v>-336</v>
      </c>
      <c r="R760" s="18">
        <f t="shared" si="121"/>
        <v>63.167999999999999</v>
      </c>
      <c r="S760" s="18">
        <f t="shared" si="122"/>
        <v>63.167999999999999</v>
      </c>
      <c r="T760" s="19">
        <f t="shared" si="123"/>
        <v>0</v>
      </c>
      <c r="U760" s="16">
        <f>IFERROR(SUMIF('LISTA DE EMBARQUE'!B:B,MICRO!E:E,'LISTA DE EMBARQUE'!G:G),"")</f>
        <v>336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63.167999999999999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4512</v>
      </c>
      <c r="AQ760" s="203"/>
      <c r="AR760" s="158"/>
      <c r="AS760" s="158"/>
      <c r="AT760" s="158"/>
      <c r="AU760" s="158"/>
      <c r="AV760" s="158"/>
      <c r="AW760" s="158"/>
    </row>
    <row r="761" spans="1:49" ht="15.75" hidden="1" customHeight="1" x14ac:dyDescent="0.25">
      <c r="A761" s="212"/>
      <c r="B761" s="21" t="s">
        <v>3913</v>
      </c>
      <c r="C761" s="198">
        <v>160</v>
      </c>
      <c r="D761" s="199" t="s">
        <v>4691</v>
      </c>
      <c r="E761" s="210" t="s">
        <v>4828</v>
      </c>
      <c r="F761" s="198" t="s">
        <v>4414</v>
      </c>
      <c r="G761" s="199">
        <v>9.1300000000000008</v>
      </c>
      <c r="H761" s="213">
        <v>1460.8000000000002</v>
      </c>
      <c r="I761" s="199"/>
      <c r="J761" s="217"/>
      <c r="K761" s="218" t="s">
        <v>45</v>
      </c>
      <c r="L761" s="214" t="s">
        <v>2069</v>
      </c>
      <c r="M761" s="200"/>
      <c r="N761" s="8" t="s">
        <v>38</v>
      </c>
      <c r="O761" s="215"/>
      <c r="P761" s="216"/>
      <c r="Q761" s="14">
        <f>Tabela1[[#This Row],[QTDE/ Fabricação]]-Tabela1[[#This Row],[QTE]]</f>
        <v>-160</v>
      </c>
      <c r="R761" s="18">
        <f t="shared" si="121"/>
        <v>1460.8000000000002</v>
      </c>
      <c r="S761" s="18">
        <f t="shared" si="122"/>
        <v>1460.8000000000002</v>
      </c>
      <c r="T761" s="19">
        <f t="shared" si="123"/>
        <v>0</v>
      </c>
      <c r="U761" s="16">
        <f>IFERROR(SUMIF('LISTA DE EMBARQUE'!B:B,MICRO!E:E,'LISTA DE EMBARQUE'!G:G),"")</f>
        <v>160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1460.8000000000002</v>
      </c>
      <c r="Y761" s="14">
        <f t="shared" si="124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4512</v>
      </c>
      <c r="AQ761" s="203"/>
      <c r="AR761" s="37"/>
      <c r="AS761" s="37"/>
      <c r="AT761" s="37"/>
      <c r="AU761" s="37"/>
      <c r="AV761" s="37"/>
      <c r="AW761" s="37"/>
    </row>
    <row r="762" spans="1:49" ht="15.75" hidden="1" customHeight="1" x14ac:dyDescent="0.25">
      <c r="A762" s="212"/>
      <c r="B762" s="21" t="s">
        <v>3913</v>
      </c>
      <c r="C762" s="198">
        <v>160</v>
      </c>
      <c r="D762" s="199" t="s">
        <v>4691</v>
      </c>
      <c r="E762" s="210" t="s">
        <v>4829</v>
      </c>
      <c r="F762" s="198" t="s">
        <v>4414</v>
      </c>
      <c r="G762" s="199">
        <v>9.1300000000000008</v>
      </c>
      <c r="H762" s="213">
        <v>1460.8000000000002</v>
      </c>
      <c r="I762" s="199"/>
      <c r="J762" s="217"/>
      <c r="K762" s="218" t="s">
        <v>45</v>
      </c>
      <c r="L762" s="214" t="s">
        <v>2069</v>
      </c>
      <c r="M762" s="200"/>
      <c r="N762" s="8" t="s">
        <v>38</v>
      </c>
      <c r="O762" s="215"/>
      <c r="P762" s="216"/>
      <c r="Q762" s="14">
        <f>Tabela1[[#This Row],[QTDE/ Fabricação]]-Tabela1[[#This Row],[QTE]]</f>
        <v>-160</v>
      </c>
      <c r="R762" s="18">
        <f t="shared" si="121"/>
        <v>1460.8000000000002</v>
      </c>
      <c r="S762" s="18">
        <f t="shared" si="122"/>
        <v>1460.8000000000002</v>
      </c>
      <c r="T762" s="19">
        <f t="shared" si="123"/>
        <v>0</v>
      </c>
      <c r="U762" s="16">
        <f>IFERROR(SUMIF('LISTA DE EMBARQUE'!B:B,MICRO!E:E,'LISTA DE EMBARQUE'!G:G),"")</f>
        <v>160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1460.8000000000002</v>
      </c>
      <c r="Y762" s="14">
        <f t="shared" si="124"/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4512</v>
      </c>
      <c r="AQ762" s="203"/>
      <c r="AR762" s="37"/>
      <c r="AS762" s="37"/>
      <c r="AT762" s="37"/>
      <c r="AU762" s="37"/>
      <c r="AV762" s="37"/>
      <c r="AW762" s="37"/>
    </row>
    <row r="763" spans="1:49" ht="15.75" hidden="1" customHeight="1" x14ac:dyDescent="0.25">
      <c r="A763" s="212"/>
      <c r="B763" s="21" t="s">
        <v>4692</v>
      </c>
      <c r="C763" s="198">
        <v>1</v>
      </c>
      <c r="D763" s="199" t="s">
        <v>4693</v>
      </c>
      <c r="E763" s="210" t="s">
        <v>4830</v>
      </c>
      <c r="F763" s="198" t="s">
        <v>4414</v>
      </c>
      <c r="G763" s="199">
        <v>12.5</v>
      </c>
      <c r="H763" s="213">
        <v>12.5</v>
      </c>
      <c r="I763" s="199"/>
      <c r="J763" s="217"/>
      <c r="K763" s="218" t="s">
        <v>45</v>
      </c>
      <c r="L763" s="214" t="s">
        <v>2069</v>
      </c>
      <c r="M763" s="200"/>
      <c r="N763" s="8" t="s">
        <v>38</v>
      </c>
      <c r="O763" s="215"/>
      <c r="P763" s="216"/>
      <c r="Q763" s="14">
        <f>Tabela1[[#This Row],[QTDE/ Fabricação]]-Tabela1[[#This Row],[QTE]]</f>
        <v>-1</v>
      </c>
      <c r="R763" s="18">
        <f t="shared" si="121"/>
        <v>12.5</v>
      </c>
      <c r="S763" s="18">
        <f t="shared" si="122"/>
        <v>12.5</v>
      </c>
      <c r="T763" s="19">
        <f t="shared" si="123"/>
        <v>0</v>
      </c>
      <c r="U763" s="16">
        <f>IFERROR(SUMIF('LISTA DE EMBARQUE'!B:B,MICRO!E:E,'LISTA DE EMBARQUE'!G:G),"")</f>
        <v>1</v>
      </c>
      <c r="V763" s="12">
        <f>IFERROR(VLOOKUP(Tabela1[[#This Row],[COD.MDE]],'LISTA DE EMBARQUE'!B:L,11,0),"")</f>
        <v>12</v>
      </c>
      <c r="W763" s="13" t="str">
        <f>IFERROR(COUNTIF(#REF!,Tabela1[[#This Row],[Colunas5]]),"")</f>
        <v/>
      </c>
      <c r="X763" s="14">
        <f>Tabela1[[#This Row],[QIANTIDADE EXPEDIDA]]*Tabela1[[#This Row],[PESO UNI]]</f>
        <v>12.5</v>
      </c>
      <c r="Y763" s="14">
        <f t="shared" si="124"/>
        <v>0</v>
      </c>
      <c r="Z763" s="20">
        <f>Tabela1[[#This Row],[PESO TOTAL]]-Tabela1[[#This Row],[Peso Expedido]]</f>
        <v>0</v>
      </c>
      <c r="AA763" s="17">
        <v>1</v>
      </c>
      <c r="AB763" s="33"/>
      <c r="AC763" s="33">
        <v>1</v>
      </c>
      <c r="AD763" s="33">
        <v>1</v>
      </c>
      <c r="AE763" s="33">
        <v>1</v>
      </c>
      <c r="AF763" s="33">
        <v>1</v>
      </c>
      <c r="AG763" s="33">
        <v>1</v>
      </c>
      <c r="AH763" s="33">
        <v>1</v>
      </c>
      <c r="AI763" s="33" t="s">
        <v>4512</v>
      </c>
      <c r="AQ763" s="203"/>
      <c r="AR763" s="37"/>
      <c r="AS763" s="37"/>
      <c r="AT763" s="37"/>
      <c r="AU763" s="37"/>
      <c r="AV763" s="37"/>
      <c r="AW763" s="37"/>
    </row>
    <row r="764" spans="1:49" ht="15.75" hidden="1" customHeight="1" x14ac:dyDescent="0.25">
      <c r="A764" s="212"/>
      <c r="B764" s="196" t="s">
        <v>4692</v>
      </c>
      <c r="C764" s="198">
        <v>1</v>
      </c>
      <c r="D764" s="199" t="s">
        <v>4693</v>
      </c>
      <c r="E764" s="210" t="s">
        <v>4831</v>
      </c>
      <c r="F764" s="198" t="s">
        <v>4414</v>
      </c>
      <c r="G764" s="199">
        <v>12.5</v>
      </c>
      <c r="H764" s="213">
        <v>12.5</v>
      </c>
      <c r="I764" s="199"/>
      <c r="J764" s="217"/>
      <c r="K764" s="218" t="s">
        <v>45</v>
      </c>
      <c r="L764" s="214" t="s">
        <v>2069</v>
      </c>
      <c r="M764" s="200"/>
      <c r="N764" s="8" t="s">
        <v>38</v>
      </c>
      <c r="O764" s="201"/>
      <c r="P764" s="202"/>
      <c r="Q764" s="14">
        <f>Tabela1[[#This Row],[QTDE/ Fabricação]]-Tabela1[[#This Row],[QTE]]</f>
        <v>-1</v>
      </c>
      <c r="R764" s="18">
        <f t="shared" si="121"/>
        <v>12.5</v>
      </c>
      <c r="S764" s="18">
        <f t="shared" si="122"/>
        <v>12.5</v>
      </c>
      <c r="T764" s="19">
        <f t="shared" si="123"/>
        <v>0</v>
      </c>
      <c r="U764" s="16">
        <f>IFERROR(SUMIF('LISTA DE EMBARQUE'!B:B,MICRO!E:E,'LISTA DE EMBARQUE'!G:G),"")</f>
        <v>1</v>
      </c>
      <c r="V764" s="12">
        <f>IFERROR(VLOOKUP(Tabela1[[#This Row],[COD.MDE]],'LISTA DE EMBARQUE'!B:L,11,0),"")</f>
        <v>12</v>
      </c>
      <c r="W764" s="13" t="str">
        <f>IFERROR(COUNTIF(#REF!,Tabela1[[#This Row],[Colunas5]]),"")</f>
        <v/>
      </c>
      <c r="X764" s="14">
        <f>Tabela1[[#This Row],[QIANTIDADE EXPEDIDA]]*Tabela1[[#This Row],[PESO UNI]]</f>
        <v>12.5</v>
      </c>
      <c r="Y764" s="14">
        <f t="shared" si="124"/>
        <v>0</v>
      </c>
      <c r="Z764" s="20">
        <f>Tabela1[[#This Row],[PESO TOTAL]]-Tabela1[[#This Row],[Peso Expedido]]</f>
        <v>0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>
        <v>1</v>
      </c>
      <c r="AI764" s="33" t="s">
        <v>4512</v>
      </c>
      <c r="AQ764" s="203"/>
      <c r="AR764" s="158"/>
      <c r="AS764" s="158"/>
      <c r="AT764" s="158"/>
      <c r="AU764" s="158"/>
      <c r="AV764" s="158"/>
      <c r="AW764" s="158"/>
    </row>
  </sheetData>
  <phoneticPr fontId="6" type="noConversion"/>
  <conditionalFormatting sqref="H579">
    <cfRule type="expression" dxfId="47" priority="26838">
      <formula>$AI607="OK"</formula>
    </cfRule>
  </conditionalFormatting>
  <conditionalFormatting sqref="K154:K439">
    <cfRule type="expression" dxfId="46" priority="87">
      <formula>#REF!="OK"</formula>
    </cfRule>
  </conditionalFormatting>
  <conditionalFormatting sqref="K628:K629">
    <cfRule type="expression" dxfId="45" priority="9">
      <formula>#REF!="OK"</formula>
    </cfRule>
  </conditionalFormatting>
  <conditionalFormatting sqref="L2:L27">
    <cfRule type="expression" dxfId="44" priority="26614">
      <formula>$AI33="OK"</formula>
    </cfRule>
  </conditionalFormatting>
  <conditionalFormatting sqref="L215:L257 L397:L409">
    <cfRule type="expression" dxfId="43" priority="26551">
      <formula>$AI258="OK"</formula>
    </cfRule>
  </conditionalFormatting>
  <conditionalFormatting sqref="L410:L439 L451:L452">
    <cfRule type="expression" dxfId="42" priority="26716">
      <formula>$AI462="OK"</formula>
    </cfRule>
  </conditionalFormatting>
  <conditionalFormatting sqref="N2:N461 K446:K461">
    <cfRule type="expression" dxfId="41" priority="26404">
      <formula>#REF!="OK"</formula>
    </cfRule>
  </conditionalFormatting>
  <conditionalFormatting sqref="N559:N606">
    <cfRule type="expression" dxfId="40" priority="18">
      <formula>$AI559="OK"</formula>
    </cfRule>
  </conditionalFormatting>
  <conditionalFormatting sqref="N628:N764">
    <cfRule type="expression" dxfId="39" priority="7">
      <formula>#REF!="OK"</formula>
    </cfRule>
  </conditionalFormatting>
  <conditionalFormatting sqref="O453:O461 Q462:Q764">
    <cfRule type="cellIs" dxfId="38" priority="33" operator="lessThan">
      <formula>0</formula>
    </cfRule>
  </conditionalFormatting>
  <conditionalFormatting sqref="O456:P456">
    <cfRule type="expression" dxfId="37" priority="44">
      <formula>#REF!="OK"</formula>
    </cfRule>
  </conditionalFormatting>
  <conditionalFormatting sqref="O2:Z27 A2:D27 F2:F27 H2:K27 M2:M27 H154:H420 H462:H574">
    <cfRule type="expression" dxfId="36" priority="26647">
      <formula>$AI34="OK"</formula>
    </cfRule>
  </conditionalFormatting>
  <conditionalFormatting sqref="O28:Z153 T154:Z212 T258:Z394 O503:Z561 O154:R212 O258:R394 H28:K153 A28:D212 F28:F212 M28:M212 S154:S211 I154:J212 S257:S393 A258:D394 F258:F394 I258:J394 M258:M394 B559:B561 F559:F561 I559:I561 M559:M561">
    <cfRule type="expression" dxfId="35" priority="26345">
      <formula>$AI73="OK"</formula>
    </cfRule>
  </conditionalFormatting>
  <conditionalFormatting sqref="O562:Z565 Z563:Z566 B562:B565 F562:F565 I562:I565 M562:M565 H575:H578">
    <cfRule type="expression" dxfId="34" priority="26801">
      <formula>#REF!="OK"</formula>
    </cfRule>
  </conditionalFormatting>
  <conditionalFormatting sqref="O566:Z566 H421:H439 B566 F566 I566 M566">
    <cfRule type="expression" dxfId="33" priority="26715">
      <formula>$AI462="OK"</formula>
    </cfRule>
  </conditionalFormatting>
  <conditionalFormatting sqref="Q2:Q459">
    <cfRule type="cellIs" dxfId="32" priority="26313" operator="lessThan">
      <formula>0</formula>
    </cfRule>
    <cfRule type="cellIs" dxfId="31" priority="26314" operator="greaterThanOrEqual">
      <formula>0</formula>
    </cfRule>
  </conditionalFormatting>
  <conditionalFormatting sqref="S212">
    <cfRule type="expression" dxfId="30" priority="85">
      <formula>#REF!="OK"</formula>
    </cfRule>
  </conditionalFormatting>
  <conditionalFormatting sqref="S213:S256">
    <cfRule type="expression" dxfId="29" priority="84">
      <formula>$AI257="OK"</formula>
    </cfRule>
  </conditionalFormatting>
  <conditionalFormatting sqref="S394">
    <cfRule type="expression" dxfId="28" priority="86">
      <formula>#REF!="OK"</formula>
    </cfRule>
  </conditionalFormatting>
  <conditionalFormatting sqref="S449:Z449 O449:Q449 A449:D449 F449 J449 M449 L450:L452 A456:D456 F456 M456 L457:L461">
    <cfRule type="expression" dxfId="27" priority="26671">
      <formula>#REF!="OK"</formula>
    </cfRule>
  </conditionalFormatting>
  <conditionalFormatting sqref="T2:T764 Y2:Z764 O453:O461 Q462:Q764">
    <cfRule type="cellIs" dxfId="26" priority="34" operator="greaterThanOrEqual">
      <formula>0</formula>
    </cfRule>
  </conditionalFormatting>
  <conditionalFormatting sqref="T213:Z213 O213:R213 A213:D213 F213 I213:J213 M213">
    <cfRule type="expression" dxfId="25" priority="26525">
      <formula>#REF!="OK"</formula>
    </cfRule>
  </conditionalFormatting>
  <conditionalFormatting sqref="T214:Z257 T396:Z406 O407:Z408 O462:Z502 Z503:Z504 Z508:Z518 Z520:Z521 Z530 Z542:Z543 Z548 Z552 Z559:Z562 O214:R257 O396:R406 L28:L214 A214:D257 F214:F257 I214:J257 M214:M257 L258:L395 S395:S406 A396:D408 F396:F408 I396:J408 M396:M408">
    <cfRule type="expression" dxfId="24" priority="26413">
      <formula>$AI72="OK"</formula>
    </cfRule>
  </conditionalFormatting>
  <conditionalFormatting sqref="T395:Z395 O395:R395 A395:D395 F395 I395:J395 M395 L396">
    <cfRule type="expression" dxfId="23" priority="26576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22" priority="26686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21" priority="26672">
      <formula>$AI493="OK"</formula>
    </cfRule>
  </conditionalFormatting>
  <conditionalFormatting sqref="T608:Z608 Q608:R608 H608">
    <cfRule type="expression" dxfId="20" priority="26853">
      <formula>$AI672="OK"</formula>
    </cfRule>
  </conditionalFormatting>
  <conditionalFormatting sqref="V453:Y454 R453:T461 V455:Z461">
    <cfRule type="expression" dxfId="19" priority="26771">
      <formula>$AI490="OK"</formula>
    </cfRule>
  </conditionalFormatting>
  <conditionalFormatting sqref="Y2:Z764 T2:T764">
    <cfRule type="cellIs" dxfId="18" priority="26315" operator="lessThan">
      <formula>0</formula>
    </cfRule>
  </conditionalFormatting>
  <conditionalFormatting sqref="Z453:Z454 O567:Z625 K626:Z627 Q628:Z764 K559:K625 B567:B606 I567:I606 M567:M606 F567:F627 H580:H606 A607:D608 H607:J608 L607:N625 B609:B627 H609:I627 H628:H629">
    <cfRule type="expression" dxfId="17" priority="26840">
      <formula>#REF!="OK"</formula>
    </cfRule>
  </conditionalFormatting>
  <conditionalFormatting sqref="Z453:Z454">
    <cfRule type="expression" dxfId="16" priority="17">
      <formula>$AI497="OK"</formula>
    </cfRule>
  </conditionalFormatting>
  <conditionalFormatting sqref="Z567">
    <cfRule type="expression" dxfId="15" priority="26831">
      <formula>$AI607="OK"</formula>
    </cfRule>
  </conditionalFormatting>
  <conditionalFormatting sqref="Z608">
    <cfRule type="expression" dxfId="14" priority="26856">
      <formula>$AI671="OK"</formula>
    </cfRule>
  </conditionalFormatting>
  <conditionalFormatting sqref="AA489:AH607 E559:E607 L608">
    <cfRule type="expression" dxfId="13" priority="78">
      <formula>$AI489="OK"</formula>
    </cfRule>
  </conditionalFormatting>
  <conditionalFormatting sqref="AA609:AH764">
    <cfRule type="expression" dxfId="12" priority="2">
      <formula>$AI609="OK"</formula>
    </cfRule>
    <cfRule type="cellIs" dxfId="11" priority="1" operator="greaterThanOrEqual">
      <formula>1</formula>
    </cfRule>
  </conditionalFormatting>
  <conditionalFormatting sqref="AA2:AI28 E2:E461 AA29:AH452 AI29:AI462 AA453:AG454 AE455:AG455 AA455:AD461 AF456:AG461 AA462:AH462 A462:G558 I462:N558 AA463:AI606 J559:J606 L559:L606">
    <cfRule type="expression" dxfId="10" priority="26311">
      <formula>$AI2="OK"</formula>
    </cfRule>
  </conditionalFormatting>
  <conditionalFormatting sqref="AA2:AI28 AA29:AH452 AI29:AI462 AJ154:AW154 AA453:AG454 AE455:AG455 AA455:AD461 AE456:AE460 AF456:AG461 AA462:AH462">
    <cfRule type="cellIs" dxfId="9" priority="26312" operator="greaterThanOrEqual">
      <formula>1</formula>
    </cfRule>
  </conditionalFormatting>
  <conditionalFormatting sqref="AA463:AI608 AI609:AI764">
    <cfRule type="cellIs" dxfId="8" priority="11" operator="greaterThanOrEqual">
      <formula>1</formula>
    </cfRule>
  </conditionalFormatting>
  <conditionalFormatting sqref="AE456:AE460">
    <cfRule type="expression" dxfId="7" priority="26857">
      <formula>$AI456="OK"</formula>
    </cfRule>
  </conditionalFormatting>
  <conditionalFormatting sqref="AI489:AI764 AA608:AI608 J608:J629 E609:E627">
    <cfRule type="expression" dxfId="6" priority="12">
      <formula>$AI489="OK"</formula>
    </cfRule>
  </conditionalFormatting>
  <conditionalFormatting sqref="AJ154:AW154">
    <cfRule type="expression" dxfId="5" priority="89">
      <formula>$AI154="OK"</formula>
    </cfRule>
  </conditionalFormatting>
  <pageMargins left="0" right="0" top="0" bottom="0" header="0" footer="0"/>
  <pageSetup paperSize="8" scale="33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5"/>
  <sheetViews>
    <sheetView topLeftCell="A10" workbookViewId="0">
      <selection activeCell="B14" sqref="B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ht="45" x14ac:dyDescent="0.25">
      <c r="A2" s="184">
        <v>188</v>
      </c>
      <c r="B2" s="107" t="s">
        <v>2071</v>
      </c>
      <c r="C2" s="185">
        <v>46188</v>
      </c>
      <c r="D2" s="185">
        <v>46230</v>
      </c>
      <c r="E2" s="192" t="s">
        <v>4518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3169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46289</v>
      </c>
      <c r="D4" s="185"/>
      <c r="E4" s="186" t="s">
        <v>1875</v>
      </c>
      <c r="F4" s="107" t="s">
        <v>2983</v>
      </c>
    </row>
    <row r="5" spans="1:6" ht="30" x14ac:dyDescent="0.25">
      <c r="A5" s="187">
        <v>200</v>
      </c>
      <c r="B5" s="191" t="s">
        <v>2994</v>
      </c>
      <c r="C5" s="189">
        <v>46219</v>
      </c>
      <c r="D5" s="189"/>
      <c r="E5" s="193" t="s">
        <v>496</v>
      </c>
      <c r="F5" s="107" t="s">
        <v>2993</v>
      </c>
    </row>
    <row r="6" spans="1:6" ht="30" x14ac:dyDescent="0.25">
      <c r="A6" s="187">
        <v>201</v>
      </c>
      <c r="B6" s="191" t="s">
        <v>2992</v>
      </c>
      <c r="C6" s="189">
        <v>46198</v>
      </c>
      <c r="D6" s="189"/>
      <c r="E6" s="193" t="s">
        <v>3167</v>
      </c>
      <c r="F6" s="107" t="s">
        <v>2991</v>
      </c>
    </row>
    <row r="7" spans="1:6" ht="75" x14ac:dyDescent="0.25">
      <c r="A7" s="187">
        <v>202</v>
      </c>
      <c r="B7" s="191" t="s">
        <v>3007</v>
      </c>
      <c r="C7" s="194">
        <v>46198</v>
      </c>
      <c r="D7" s="189"/>
      <c r="E7" s="193" t="s">
        <v>4517</v>
      </c>
      <c r="F7" s="107" t="s">
        <v>3006</v>
      </c>
    </row>
    <row r="8" spans="1:6" ht="45" x14ac:dyDescent="0.25">
      <c r="A8" s="187">
        <v>203</v>
      </c>
      <c r="B8" s="188" t="s">
        <v>3164</v>
      </c>
      <c r="C8" s="189">
        <v>46202</v>
      </c>
      <c r="D8" s="189">
        <v>46230</v>
      </c>
      <c r="E8" s="193" t="s">
        <v>4329</v>
      </c>
      <c r="F8" s="107" t="s">
        <v>3009</v>
      </c>
    </row>
    <row r="9" spans="1:6" ht="45" x14ac:dyDescent="0.25">
      <c r="A9" s="187">
        <v>204</v>
      </c>
      <c r="B9" s="188" t="s">
        <v>3164</v>
      </c>
      <c r="C9" s="189">
        <v>46226</v>
      </c>
      <c r="D9" s="189"/>
      <c r="E9" s="193" t="s">
        <v>3314</v>
      </c>
      <c r="F9" s="107" t="s">
        <v>3009</v>
      </c>
    </row>
    <row r="10" spans="1:6" x14ac:dyDescent="0.25">
      <c r="A10" s="187">
        <v>205</v>
      </c>
      <c r="B10" s="188" t="s">
        <v>3166</v>
      </c>
      <c r="C10" s="189">
        <v>46235</v>
      </c>
      <c r="D10" s="189"/>
      <c r="E10" s="190" t="s">
        <v>1875</v>
      </c>
      <c r="F10" s="107" t="s">
        <v>3165</v>
      </c>
    </row>
    <row r="11" spans="1:6" ht="30" x14ac:dyDescent="0.25">
      <c r="A11" s="184">
        <v>207</v>
      </c>
      <c r="B11" s="208" t="s">
        <v>3293</v>
      </c>
      <c r="C11" s="185">
        <v>46336</v>
      </c>
      <c r="D11" s="185"/>
      <c r="E11" s="186" t="s">
        <v>3294</v>
      </c>
      <c r="F11" s="107" t="s">
        <v>3292</v>
      </c>
    </row>
    <row r="12" spans="1:6" ht="33" customHeight="1" x14ac:dyDescent="0.25">
      <c r="A12" s="187">
        <v>208</v>
      </c>
      <c r="B12" s="191" t="s">
        <v>4309</v>
      </c>
      <c r="C12" s="189">
        <v>46233</v>
      </c>
      <c r="D12" s="189"/>
      <c r="E12" s="193" t="s">
        <v>1875</v>
      </c>
      <c r="F12" s="188" t="s">
        <v>4308</v>
      </c>
    </row>
    <row r="13" spans="1:6" ht="21" customHeight="1" x14ac:dyDescent="0.25">
      <c r="A13" s="187">
        <v>209</v>
      </c>
      <c r="B13" s="188" t="s">
        <v>4310</v>
      </c>
      <c r="C13" s="189">
        <v>46280</v>
      </c>
      <c r="D13" s="189"/>
      <c r="E13" s="190" t="s">
        <v>1875</v>
      </c>
      <c r="F13" s="188" t="s">
        <v>4326</v>
      </c>
    </row>
    <row r="14" spans="1:6" ht="121.15" customHeight="1" x14ac:dyDescent="0.25">
      <c r="A14" s="187">
        <v>898</v>
      </c>
      <c r="B14" s="191" t="s">
        <v>4446</v>
      </c>
      <c r="C14" s="189">
        <v>46270</v>
      </c>
      <c r="D14" s="189"/>
      <c r="E14" s="190" t="s">
        <v>1875</v>
      </c>
      <c r="F14" s="188" t="s">
        <v>4445</v>
      </c>
    </row>
    <row r="15" spans="1:6" x14ac:dyDescent="0.25">
      <c r="A15" s="187">
        <v>897</v>
      </c>
      <c r="B15" s="188" t="s">
        <v>4557</v>
      </c>
      <c r="C15" s="189">
        <v>46216</v>
      </c>
      <c r="D15" s="189">
        <v>46227</v>
      </c>
      <c r="E15" s="190" t="s">
        <v>4558</v>
      </c>
      <c r="F15" s="188" t="s">
        <v>4556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4" t="e" vm="1">
        <v>#VALUE!</v>
      </c>
      <c r="D2" s="275"/>
      <c r="E2" s="278" t="s">
        <v>320</v>
      </c>
      <c r="F2" s="278"/>
      <c r="G2" s="278"/>
      <c r="H2" s="278"/>
      <c r="I2" s="278"/>
      <c r="J2" s="278"/>
      <c r="K2" s="278"/>
      <c r="L2" s="278"/>
      <c r="M2" s="278"/>
      <c r="N2" s="278"/>
      <c r="O2" s="278"/>
      <c r="P2" s="278"/>
      <c r="Q2" s="278"/>
      <c r="R2" s="278"/>
      <c r="S2" s="278"/>
      <c r="T2" s="279"/>
      <c r="U2" s="282" t="s">
        <v>246</v>
      </c>
      <c r="V2" s="272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6"/>
      <c r="D3" s="277"/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1"/>
      <c r="U3" s="283"/>
      <c r="V3" s="273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37" t="s">
        <v>2070</v>
      </c>
      <c r="D6" s="240" t="s">
        <v>2069</v>
      </c>
      <c r="E6" s="243" t="s">
        <v>2071</v>
      </c>
      <c r="F6" s="246">
        <v>46183</v>
      </c>
      <c r="G6" s="284">
        <v>46220</v>
      </c>
      <c r="H6" s="263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31">
        <f>T9/T6</f>
        <v>0.89224694357961887</v>
      </c>
      <c r="V6" s="234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38"/>
      <c r="D7" s="241"/>
      <c r="E7" s="244"/>
      <c r="F7" s="247"/>
      <c r="G7" s="285"/>
      <c r="H7" s="264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32"/>
      <c r="V7" s="235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38"/>
      <c r="D8" s="241"/>
      <c r="E8" s="244"/>
      <c r="F8" s="247"/>
      <c r="G8" s="285"/>
      <c r="H8" s="264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2"/>
      <c r="V8" s="235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38"/>
      <c r="D9" s="241"/>
      <c r="E9" s="244"/>
      <c r="F9" s="247"/>
      <c r="G9" s="285"/>
      <c r="H9" s="264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2"/>
      <c r="V9" s="235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39"/>
      <c r="D10" s="242"/>
      <c r="E10" s="245"/>
      <c r="F10" s="248"/>
      <c r="G10" s="286"/>
      <c r="H10" s="265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33"/>
      <c r="V10" s="236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37" t="s">
        <v>2987</v>
      </c>
      <c r="D12" s="240" t="s">
        <v>2551</v>
      </c>
      <c r="E12" s="243" t="s">
        <v>2986</v>
      </c>
      <c r="F12" s="246">
        <v>46205</v>
      </c>
      <c r="G12" s="284"/>
      <c r="H12" s="269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1">
        <f>T15/T12</f>
        <v>0.76586952907929418</v>
      </c>
      <c r="V12" s="234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38"/>
      <c r="D13" s="241"/>
      <c r="E13" s="244"/>
      <c r="F13" s="247"/>
      <c r="G13" s="285"/>
      <c r="H13" s="270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2"/>
      <c r="V13" s="235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38"/>
      <c r="D14" s="241"/>
      <c r="E14" s="244"/>
      <c r="F14" s="247"/>
      <c r="G14" s="285"/>
      <c r="H14" s="270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2"/>
      <c r="V14" s="235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38"/>
      <c r="D15" s="241"/>
      <c r="E15" s="244"/>
      <c r="F15" s="247"/>
      <c r="G15" s="285"/>
      <c r="H15" s="270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2"/>
      <c r="V15" s="235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39"/>
      <c r="D16" s="242"/>
      <c r="E16" s="245"/>
      <c r="F16" s="248"/>
      <c r="G16" s="286"/>
      <c r="H16" s="271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3"/>
      <c r="V16" s="236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37" t="s">
        <v>2983</v>
      </c>
      <c r="D18" s="240" t="s">
        <v>2984</v>
      </c>
      <c r="E18" s="243" t="s">
        <v>2985</v>
      </c>
      <c r="F18" s="246">
        <v>46289</v>
      </c>
      <c r="G18" s="284"/>
      <c r="H18" s="252" t="s">
        <v>4327</v>
      </c>
      <c r="I18" s="127" t="s">
        <v>3031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31">
        <f>T21/T18</f>
        <v>0.57904239404523117</v>
      </c>
      <c r="V18" s="234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38"/>
      <c r="D19" s="241"/>
      <c r="E19" s="244"/>
      <c r="F19" s="247"/>
      <c r="G19" s="285"/>
      <c r="H19" s="253"/>
      <c r="I19" s="129" t="s">
        <v>3028</v>
      </c>
      <c r="J19" s="130">
        <f t="shared" ref="J19" si="17">J18-J20</f>
        <v>5.6045999999999996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30.262900000000002</v>
      </c>
      <c r="U19" s="232"/>
      <c r="V19" s="235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38"/>
      <c r="D20" s="241"/>
      <c r="E20" s="244"/>
      <c r="F20" s="247"/>
      <c r="G20" s="285"/>
      <c r="H20" s="253"/>
      <c r="I20" s="129" t="s">
        <v>3030</v>
      </c>
      <c r="J20" s="131">
        <f>SUMIF(PERFORMANCE!$N:$N,W18,PERFORMANCE!$Q:$Q)/1000</f>
        <v>2.0214000000000003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2.6922000000000001</v>
      </c>
      <c r="U20" s="232"/>
      <c r="V20" s="235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38"/>
      <c r="D21" s="241"/>
      <c r="E21" s="244"/>
      <c r="F21" s="247"/>
      <c r="G21" s="285"/>
      <c r="H21" s="253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32"/>
      <c r="V21" s="235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39"/>
      <c r="D22" s="242"/>
      <c r="E22" s="245"/>
      <c r="F22" s="248"/>
      <c r="G22" s="286"/>
      <c r="H22" s="254"/>
      <c r="I22" s="133" t="s">
        <v>3029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13.872700000000002</v>
      </c>
      <c r="U22" s="233"/>
      <c r="V22" s="236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37" t="s">
        <v>3292</v>
      </c>
      <c r="D24" s="240" t="s">
        <v>3291</v>
      </c>
      <c r="E24" s="243" t="s">
        <v>3293</v>
      </c>
      <c r="F24" s="246">
        <v>46336</v>
      </c>
      <c r="G24" s="249"/>
      <c r="H24" s="252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1">
        <v>0</v>
      </c>
      <c r="V24" s="234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38"/>
      <c r="D25" s="241"/>
      <c r="E25" s="244"/>
      <c r="F25" s="247"/>
      <c r="G25" s="250"/>
      <c r="H25" s="253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2"/>
      <c r="V25" s="235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38"/>
      <c r="D26" s="241"/>
      <c r="E26" s="244"/>
      <c r="F26" s="247"/>
      <c r="G26" s="250"/>
      <c r="H26" s="253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2"/>
      <c r="V26" s="235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38"/>
      <c r="D27" s="241"/>
      <c r="E27" s="244"/>
      <c r="F27" s="247"/>
      <c r="G27" s="250"/>
      <c r="H27" s="253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2"/>
      <c r="V27" s="235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39"/>
      <c r="D28" s="242"/>
      <c r="E28" s="245"/>
      <c r="F28" s="248"/>
      <c r="G28" s="251"/>
      <c r="H28" s="254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3"/>
      <c r="V28" s="236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37" t="s">
        <v>2993</v>
      </c>
      <c r="D30" s="240" t="s">
        <v>2989</v>
      </c>
      <c r="E30" s="243" t="s">
        <v>2994</v>
      </c>
      <c r="F30" s="246">
        <v>46219</v>
      </c>
      <c r="G30" s="249"/>
      <c r="H30" s="263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1">
        <v>0</v>
      </c>
      <c r="V30" s="234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38"/>
      <c r="D31" s="241"/>
      <c r="E31" s="244"/>
      <c r="F31" s="247"/>
      <c r="G31" s="250"/>
      <c r="H31" s="264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2"/>
      <c r="V31" s="235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38"/>
      <c r="D32" s="241"/>
      <c r="E32" s="244"/>
      <c r="F32" s="247"/>
      <c r="G32" s="250"/>
      <c r="H32" s="264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2"/>
      <c r="V32" s="235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38"/>
      <c r="D33" s="241"/>
      <c r="E33" s="244"/>
      <c r="F33" s="247"/>
      <c r="G33" s="250"/>
      <c r="H33" s="264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2"/>
      <c r="V33" s="235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39"/>
      <c r="D34" s="242"/>
      <c r="E34" s="245"/>
      <c r="F34" s="248"/>
      <c r="G34" s="251"/>
      <c r="H34" s="265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3"/>
      <c r="V34" s="236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37" t="s">
        <v>2995</v>
      </c>
      <c r="D36" s="240" t="s">
        <v>2990</v>
      </c>
      <c r="E36" s="243" t="s">
        <v>2992</v>
      </c>
      <c r="F36" s="246">
        <v>46198</v>
      </c>
      <c r="G36" s="266"/>
      <c r="H36" s="269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1">
        <v>0</v>
      </c>
      <c r="V36" s="234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38"/>
      <c r="D37" s="241"/>
      <c r="E37" s="244"/>
      <c r="F37" s="247"/>
      <c r="G37" s="267"/>
      <c r="H37" s="270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32"/>
      <c r="V37" s="235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38"/>
      <c r="D38" s="241"/>
      <c r="E38" s="244"/>
      <c r="F38" s="247"/>
      <c r="G38" s="267"/>
      <c r="H38" s="270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32"/>
      <c r="V38" s="235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38"/>
      <c r="D39" s="241"/>
      <c r="E39" s="244"/>
      <c r="F39" s="247"/>
      <c r="G39" s="267"/>
      <c r="H39" s="270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32"/>
      <c r="V39" s="235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39"/>
      <c r="D40" s="242"/>
      <c r="E40" s="245"/>
      <c r="F40" s="248"/>
      <c r="G40" s="268"/>
      <c r="H40" s="271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33"/>
      <c r="V40" s="236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37" t="s">
        <v>3006</v>
      </c>
      <c r="D42" s="240" t="s">
        <v>3004</v>
      </c>
      <c r="E42" s="243" t="s">
        <v>3007</v>
      </c>
      <c r="F42" s="246">
        <v>46188</v>
      </c>
      <c r="G42" s="266">
        <v>46220</v>
      </c>
      <c r="H42" s="263" t="s">
        <v>4328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1">
        <v>0</v>
      </c>
      <c r="V42" s="234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38"/>
      <c r="D43" s="241"/>
      <c r="E43" s="244"/>
      <c r="F43" s="247"/>
      <c r="G43" s="267"/>
      <c r="H43" s="264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32"/>
      <c r="V43" s="235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38"/>
      <c r="D44" s="241"/>
      <c r="E44" s="244"/>
      <c r="F44" s="247"/>
      <c r="G44" s="267"/>
      <c r="H44" s="264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32"/>
      <c r="V44" s="235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38"/>
      <c r="D45" s="241"/>
      <c r="E45" s="244"/>
      <c r="F45" s="247"/>
      <c r="G45" s="267"/>
      <c r="H45" s="264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32"/>
      <c r="V45" s="235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39"/>
      <c r="D46" s="242"/>
      <c r="E46" s="245"/>
      <c r="F46" s="248"/>
      <c r="G46" s="268"/>
      <c r="H46" s="265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33"/>
      <c r="V46" s="236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37" t="s">
        <v>3009</v>
      </c>
      <c r="D48" s="240" t="s">
        <v>3005</v>
      </c>
      <c r="E48" s="243" t="s">
        <v>3008</v>
      </c>
      <c r="F48" s="246">
        <v>46202</v>
      </c>
      <c r="G48" s="266">
        <v>46233</v>
      </c>
      <c r="H48" s="263" t="s">
        <v>4329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1">
        <v>0</v>
      </c>
      <c r="V48" s="234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38"/>
      <c r="D49" s="241"/>
      <c r="E49" s="244"/>
      <c r="F49" s="247"/>
      <c r="G49" s="267"/>
      <c r="H49" s="264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4.9500000000000002E-2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4.9500000000000002E-2</v>
      </c>
      <c r="U49" s="232"/>
      <c r="V49" s="235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38"/>
      <c r="D50" s="241"/>
      <c r="E50" s="244"/>
      <c r="F50" s="247"/>
      <c r="G50" s="267"/>
      <c r="H50" s="264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4.9500000000000002E-2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4.9500000000000002E-2</v>
      </c>
      <c r="U50" s="232"/>
      <c r="V50" s="235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38"/>
      <c r="D51" s="241"/>
      <c r="E51" s="244"/>
      <c r="F51" s="247"/>
      <c r="G51" s="267"/>
      <c r="H51" s="264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32"/>
      <c r="V51" s="235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39"/>
      <c r="D52" s="242"/>
      <c r="E52" s="245"/>
      <c r="F52" s="248"/>
      <c r="G52" s="268"/>
      <c r="H52" s="265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33"/>
      <c r="V52" s="236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37" t="s">
        <v>3009</v>
      </c>
      <c r="D54" s="240" t="s">
        <v>3111</v>
      </c>
      <c r="E54" s="243" t="s">
        <v>3164</v>
      </c>
      <c r="F54" s="246">
        <v>46226</v>
      </c>
      <c r="G54" s="249"/>
      <c r="H54" s="263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1">
        <v>0</v>
      </c>
      <c r="V54" s="234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38"/>
      <c r="D55" s="241"/>
      <c r="E55" s="244"/>
      <c r="F55" s="247"/>
      <c r="G55" s="250"/>
      <c r="H55" s="264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6.1499999999999992E-2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6.1499999999999992E-2</v>
      </c>
      <c r="U55" s="232"/>
      <c r="V55" s="235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38"/>
      <c r="D56" s="241"/>
      <c r="E56" s="244"/>
      <c r="F56" s="247"/>
      <c r="G56" s="250"/>
      <c r="H56" s="264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6.1499999999999992E-2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6.1499999999999992E-2</v>
      </c>
      <c r="U56" s="232"/>
      <c r="V56" s="235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38"/>
      <c r="D57" s="241"/>
      <c r="E57" s="244"/>
      <c r="F57" s="247"/>
      <c r="G57" s="250"/>
      <c r="H57" s="264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32"/>
      <c r="V57" s="235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39"/>
      <c r="D58" s="242"/>
      <c r="E58" s="245"/>
      <c r="F58" s="248"/>
      <c r="G58" s="251"/>
      <c r="H58" s="265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33"/>
      <c r="V58" s="236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37" t="s">
        <v>3165</v>
      </c>
      <c r="D60" s="240" t="s">
        <v>3163</v>
      </c>
      <c r="E60" s="243" t="s">
        <v>3166</v>
      </c>
      <c r="F60" s="246">
        <v>46235</v>
      </c>
      <c r="G60" s="249"/>
      <c r="H60" s="252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1">
        <v>0</v>
      </c>
      <c r="V60" s="234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38"/>
      <c r="D61" s="241"/>
      <c r="E61" s="244"/>
      <c r="F61" s="247"/>
      <c r="G61" s="250"/>
      <c r="H61" s="253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6.8040000000000003E-2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6.8040000000000003E-2</v>
      </c>
      <c r="U61" s="232"/>
      <c r="V61" s="235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38"/>
      <c r="D62" s="241"/>
      <c r="E62" s="244"/>
      <c r="F62" s="247"/>
      <c r="G62" s="250"/>
      <c r="H62" s="253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2.9159999999999995E-2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2.9159999999999995E-2</v>
      </c>
      <c r="U62" s="232"/>
      <c r="V62" s="235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38"/>
      <c r="D63" s="241"/>
      <c r="E63" s="244"/>
      <c r="F63" s="247"/>
      <c r="G63" s="250"/>
      <c r="H63" s="253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2"/>
      <c r="V63" s="235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39"/>
      <c r="D64" s="242"/>
      <c r="E64" s="245"/>
      <c r="F64" s="248"/>
      <c r="G64" s="251"/>
      <c r="H64" s="254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3"/>
      <c r="V64" s="236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37" t="s">
        <v>4308</v>
      </c>
      <c r="D66" s="240" t="s">
        <v>4300</v>
      </c>
      <c r="E66" s="243" t="s">
        <v>4309</v>
      </c>
      <c r="F66" s="246">
        <v>46233</v>
      </c>
      <c r="G66" s="249"/>
      <c r="H66" s="252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1">
        <v>0</v>
      </c>
      <c r="V66" s="234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38"/>
      <c r="D67" s="241"/>
      <c r="E67" s="244"/>
      <c r="F67" s="247"/>
      <c r="G67" s="250"/>
      <c r="H67" s="253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2"/>
      <c r="V67" s="235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38"/>
      <c r="D68" s="241"/>
      <c r="E68" s="244"/>
      <c r="F68" s="247"/>
      <c r="G68" s="250"/>
      <c r="H68" s="253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2"/>
      <c r="V68" s="235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38"/>
      <c r="D69" s="241"/>
      <c r="E69" s="244"/>
      <c r="F69" s="247"/>
      <c r="G69" s="250"/>
      <c r="H69" s="253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2"/>
      <c r="V69" s="235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39"/>
      <c r="D70" s="242"/>
      <c r="E70" s="245"/>
      <c r="F70" s="248"/>
      <c r="G70" s="251"/>
      <c r="H70" s="254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3"/>
      <c r="V70" s="236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37" t="s">
        <v>3165</v>
      </c>
      <c r="D72" s="240" t="s">
        <v>4307</v>
      </c>
      <c r="E72" s="243" t="s">
        <v>4310</v>
      </c>
      <c r="F72" s="246">
        <v>46280</v>
      </c>
      <c r="G72" s="249"/>
      <c r="H72" s="252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1">
        <v>0</v>
      </c>
      <c r="V72" s="234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38"/>
      <c r="D73" s="241"/>
      <c r="E73" s="244"/>
      <c r="F73" s="247"/>
      <c r="G73" s="250"/>
      <c r="H73" s="253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2"/>
      <c r="V73" s="235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38"/>
      <c r="D74" s="241"/>
      <c r="E74" s="244"/>
      <c r="F74" s="247"/>
      <c r="G74" s="250"/>
      <c r="H74" s="253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2"/>
      <c r="V74" s="235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38"/>
      <c r="D75" s="241"/>
      <c r="E75" s="244"/>
      <c r="F75" s="247"/>
      <c r="G75" s="250"/>
      <c r="H75" s="253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2"/>
      <c r="V75" s="235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39"/>
      <c r="D76" s="242"/>
      <c r="E76" s="245"/>
      <c r="F76" s="248"/>
      <c r="G76" s="251"/>
      <c r="H76" s="254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3"/>
      <c r="V76" s="236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55" t="s">
        <v>326</v>
      </c>
      <c r="E79" s="257" t="s">
        <v>891</v>
      </c>
      <c r="F79" s="258"/>
      <c r="G79" s="258"/>
      <c r="H79" s="258"/>
      <c r="I79" s="258"/>
      <c r="J79" s="259"/>
      <c r="K79" s="260" t="s">
        <v>331</v>
      </c>
      <c r="L79" s="261"/>
      <c r="M79" s="261"/>
      <c r="N79" s="26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5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6.5806000000000004</v>
      </c>
      <c r="F83" s="141">
        <f t="shared" si="232"/>
        <v>3.5999999999999921E-3</v>
      </c>
      <c r="G83" s="141">
        <f>G81-G85</f>
        <v>5.5100999999999996</v>
      </c>
      <c r="H83" s="141">
        <f>H81-H85</f>
        <v>9.3873999999999995</v>
      </c>
      <c r="I83" s="141">
        <f t="shared" ref="I83:M83" si="233">I81-I85</f>
        <v>9.9344400000000022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31.416140000000002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18.121400000000001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3.6342000000000003</v>
      </c>
      <c r="I85" s="144">
        <f t="shared" si="234"/>
        <v>2.7099599999999997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65.519260000000003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11.8856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72.9084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1.1409999999999996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23.658799999999999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970"/>
  <sheetViews>
    <sheetView zoomScaleNormal="100" workbookViewId="0">
      <pane ySplit="1" topLeftCell="A4958" activePane="bottomLeft" state="frozen"/>
      <selection pane="bottomLeft" activeCell="C4962" sqref="C4962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3736</v>
      </c>
      <c r="G4382" s="1">
        <v>47</v>
      </c>
      <c r="H4382" s="1" t="s">
        <v>19</v>
      </c>
      <c r="I4382" s="1" t="s">
        <v>3737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3737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3737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3737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3737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3737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3738</v>
      </c>
      <c r="D4388" s="1"/>
      <c r="E4388" s="1"/>
      <c r="F4388" s="1" t="s">
        <v>3739</v>
      </c>
      <c r="G4388" s="1">
        <v>2</v>
      </c>
      <c r="H4388" s="1" t="s">
        <v>19</v>
      </c>
      <c r="I4388" s="1" t="s">
        <v>3740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3741</v>
      </c>
      <c r="G4389" s="1">
        <v>4</v>
      </c>
      <c r="H4389" s="1" t="s">
        <v>19</v>
      </c>
      <c r="I4389" s="1" t="s">
        <v>3737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3737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3737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3737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3742</v>
      </c>
      <c r="D4393" s="1"/>
      <c r="E4393" s="1"/>
      <c r="F4393" s="1" t="s">
        <v>3743</v>
      </c>
      <c r="G4393" s="1">
        <v>1</v>
      </c>
      <c r="H4393" s="1" t="s">
        <v>19</v>
      </c>
      <c r="I4393" s="1" t="s">
        <v>3737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3742</v>
      </c>
      <c r="D4394" s="1"/>
      <c r="E4394" s="1"/>
      <c r="F4394" s="1" t="s">
        <v>3744</v>
      </c>
      <c r="G4394" s="1">
        <v>18</v>
      </c>
      <c r="H4394" s="1" t="s">
        <v>19</v>
      </c>
      <c r="I4394" s="1" t="s">
        <v>3737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3742</v>
      </c>
      <c r="D4395" s="1"/>
      <c r="E4395" s="1"/>
      <c r="F4395" s="1" t="s">
        <v>3745</v>
      </c>
      <c r="G4395" s="1">
        <v>1</v>
      </c>
      <c r="H4395" s="1" t="s">
        <v>19</v>
      </c>
      <c r="I4395" s="1" t="s">
        <v>3737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3742</v>
      </c>
      <c r="D4396" s="1"/>
      <c r="E4396" s="1"/>
      <c r="F4396" s="1" t="s">
        <v>3746</v>
      </c>
      <c r="G4396" s="1">
        <v>1</v>
      </c>
      <c r="H4396" s="1" t="s">
        <v>19</v>
      </c>
      <c r="I4396" s="1" t="s">
        <v>3737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3742</v>
      </c>
      <c r="D4397" s="1"/>
      <c r="E4397" s="1"/>
      <c r="F4397" s="1" t="s">
        <v>3747</v>
      </c>
      <c r="G4397" s="1">
        <v>1</v>
      </c>
      <c r="H4397" s="1" t="s">
        <v>19</v>
      </c>
      <c r="I4397" s="1" t="s">
        <v>3737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3742</v>
      </c>
      <c r="D4398" s="1"/>
      <c r="E4398" s="1"/>
      <c r="F4398" s="1" t="s">
        <v>3748</v>
      </c>
      <c r="G4398" s="1">
        <v>1</v>
      </c>
      <c r="H4398" s="1" t="s">
        <v>19</v>
      </c>
      <c r="I4398" s="1" t="s">
        <v>3737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3742</v>
      </c>
      <c r="D4399" s="1"/>
      <c r="E4399" s="1"/>
      <c r="F4399" s="1" t="s">
        <v>3749</v>
      </c>
      <c r="G4399" s="1">
        <v>1</v>
      </c>
      <c r="H4399" s="1" t="s">
        <v>19</v>
      </c>
      <c r="I4399" s="1" t="s">
        <v>3737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3750</v>
      </c>
      <c r="D4400" s="1"/>
      <c r="E4400" s="1"/>
      <c r="F4400" s="1" t="s">
        <v>3751</v>
      </c>
      <c r="G4400" s="1">
        <v>1</v>
      </c>
      <c r="H4400" s="1" t="s">
        <v>19</v>
      </c>
      <c r="I4400" s="1" t="s">
        <v>3737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3750</v>
      </c>
      <c r="D4401" s="1"/>
      <c r="E4401" s="1"/>
      <c r="F4401" s="1" t="s">
        <v>3752</v>
      </c>
      <c r="G4401" s="1">
        <v>1</v>
      </c>
      <c r="H4401" s="1" t="s">
        <v>19</v>
      </c>
      <c r="I4401" s="1" t="s">
        <v>3737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3750</v>
      </c>
      <c r="D4402" s="1"/>
      <c r="E4402" s="1"/>
      <c r="F4402" s="1" t="s">
        <v>3753</v>
      </c>
      <c r="G4402" s="1">
        <v>8</v>
      </c>
      <c r="H4402" s="1" t="s">
        <v>19</v>
      </c>
      <c r="I4402" s="1" t="s">
        <v>3737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3750</v>
      </c>
      <c r="D4403" s="1"/>
      <c r="E4403" s="1"/>
      <c r="F4403" s="1" t="s">
        <v>3754</v>
      </c>
      <c r="G4403" s="1">
        <v>1</v>
      </c>
      <c r="H4403" s="1" t="s">
        <v>19</v>
      </c>
      <c r="I4403" s="1" t="s">
        <v>3737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3750</v>
      </c>
      <c r="D4404" s="1"/>
      <c r="E4404" s="1"/>
      <c r="F4404" s="1" t="s">
        <v>3755</v>
      </c>
      <c r="G4404" s="1">
        <v>1</v>
      </c>
      <c r="H4404" s="1" t="s">
        <v>19</v>
      </c>
      <c r="I4404" s="1" t="s">
        <v>3737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3750</v>
      </c>
      <c r="D4405" s="1"/>
      <c r="E4405" s="1"/>
      <c r="F4405" s="1" t="s">
        <v>3756</v>
      </c>
      <c r="G4405" s="1">
        <v>1</v>
      </c>
      <c r="H4405" s="1" t="s">
        <v>19</v>
      </c>
      <c r="I4405" s="1" t="s">
        <v>3737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3750</v>
      </c>
      <c r="D4406" s="1"/>
      <c r="E4406" s="1"/>
      <c r="F4406" s="1" t="s">
        <v>3757</v>
      </c>
      <c r="G4406" s="1">
        <v>1</v>
      </c>
      <c r="H4406" s="1" t="s">
        <v>19</v>
      </c>
      <c r="I4406" s="1" t="s">
        <v>3737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3758</v>
      </c>
      <c r="D4407" s="1"/>
      <c r="E4407" s="1" t="s">
        <v>2</v>
      </c>
      <c r="F4407" s="1" t="s">
        <v>3760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3758</v>
      </c>
      <c r="D4408" s="1"/>
      <c r="E4408" s="1" t="s">
        <v>2</v>
      </c>
      <c r="F4408" s="1" t="s">
        <v>3760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3773</v>
      </c>
      <c r="D4409" s="1"/>
      <c r="E4409" s="1" t="s">
        <v>2</v>
      </c>
      <c r="F4409" s="1" t="s">
        <v>3760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3773</v>
      </c>
      <c r="D4410" s="1"/>
      <c r="E4410" s="1" t="s">
        <v>2</v>
      </c>
      <c r="F4410" s="1" t="s">
        <v>3760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3764</v>
      </c>
      <c r="D4411" s="1"/>
      <c r="E4411" s="1" t="s">
        <v>746</v>
      </c>
      <c r="F4411" s="1" t="s">
        <v>4073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3764</v>
      </c>
      <c r="D4412" s="1"/>
      <c r="E4412" s="1" t="s">
        <v>746</v>
      </c>
      <c r="F4412" s="1" t="s">
        <v>4073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4074</v>
      </c>
      <c r="D4413" s="1"/>
      <c r="E4413" s="1"/>
      <c r="F4413" s="1" t="s">
        <v>4075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4074</v>
      </c>
      <c r="D4414" s="1"/>
      <c r="E4414" s="1"/>
      <c r="F4414" s="1" t="s">
        <v>4076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4077</v>
      </c>
      <c r="D4419" s="1"/>
      <c r="E4419" s="1" t="s">
        <v>2</v>
      </c>
      <c r="F4419" s="1" t="s">
        <v>4078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4077</v>
      </c>
      <c r="D4420" s="1"/>
      <c r="E4420" s="1" t="s">
        <v>2</v>
      </c>
      <c r="F4420" s="1" t="s">
        <v>4078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4079</v>
      </c>
      <c r="D4421" s="1"/>
      <c r="E4421" s="1" t="s">
        <v>2</v>
      </c>
      <c r="F4421" s="1" t="s">
        <v>4080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4079</v>
      </c>
      <c r="D4422" s="1"/>
      <c r="E4422" s="1" t="s">
        <v>2</v>
      </c>
      <c r="F4422" s="1" t="s">
        <v>4080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4081</v>
      </c>
      <c r="D4423" s="1"/>
      <c r="E4423" s="1"/>
      <c r="F4423" s="1" t="s">
        <v>4082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4081</v>
      </c>
      <c r="D4424" s="1"/>
      <c r="E4424" s="1"/>
      <c r="F4424" s="1" t="s">
        <v>4082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4081</v>
      </c>
      <c r="D4425" s="1"/>
      <c r="E4425" s="1"/>
      <c r="F4425" s="1" t="s">
        <v>4083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4081</v>
      </c>
      <c r="D4426" s="1"/>
      <c r="E4426" s="1"/>
      <c r="F4426" s="1" t="s">
        <v>4083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4084</v>
      </c>
      <c r="D4427" s="1"/>
      <c r="E4427" s="1"/>
      <c r="F4427" s="1" t="s">
        <v>4085</v>
      </c>
      <c r="G4427" s="1">
        <v>8</v>
      </c>
      <c r="H4427" s="1" t="s">
        <v>19</v>
      </c>
      <c r="I4427" s="1" t="s">
        <v>4086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4084</v>
      </c>
      <c r="D4428" s="1"/>
      <c r="E4428" s="1"/>
      <c r="F4428" s="1" t="s">
        <v>4087</v>
      </c>
      <c r="G4428" s="1">
        <v>24</v>
      </c>
      <c r="H4428" s="1" t="s">
        <v>19</v>
      </c>
      <c r="I4428" s="1" t="s">
        <v>4086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4084</v>
      </c>
      <c r="D4429" s="1"/>
      <c r="E4429" s="1"/>
      <c r="F4429" s="1" t="s">
        <v>4088</v>
      </c>
      <c r="G4429" s="1">
        <v>32</v>
      </c>
      <c r="H4429" s="1" t="s">
        <v>19</v>
      </c>
      <c r="I4429" s="1" t="s">
        <v>4086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4084</v>
      </c>
      <c r="D4430" s="1"/>
      <c r="E4430" s="1"/>
      <c r="F4430" s="1" t="s">
        <v>4089</v>
      </c>
      <c r="G4430" s="1">
        <v>4</v>
      </c>
      <c r="H4430" s="1" t="s">
        <v>19</v>
      </c>
      <c r="I4430" s="1" t="s">
        <v>4086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4084</v>
      </c>
      <c r="D4431" s="1"/>
      <c r="E4431" s="1"/>
      <c r="F4431" s="1" t="s">
        <v>4090</v>
      </c>
      <c r="G4431" s="1">
        <v>8</v>
      </c>
      <c r="H4431" s="1" t="s">
        <v>19</v>
      </c>
      <c r="I4431" s="1" t="s">
        <v>4086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4084</v>
      </c>
      <c r="D4432" s="1"/>
      <c r="E4432" s="1"/>
      <c r="F4432" s="1" t="s">
        <v>4085</v>
      </c>
      <c r="G4432" s="1">
        <v>4</v>
      </c>
      <c r="H4432" s="1" t="s">
        <v>19</v>
      </c>
      <c r="I4432" s="1" t="s">
        <v>4086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4084</v>
      </c>
      <c r="D4433" s="1"/>
      <c r="E4433" s="1"/>
      <c r="F4433" s="1" t="s">
        <v>4091</v>
      </c>
      <c r="G4433" s="1">
        <v>4</v>
      </c>
      <c r="H4433" s="1" t="s">
        <v>19</v>
      </c>
      <c r="I4433" s="1" t="s">
        <v>4086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4092</v>
      </c>
      <c r="D4434" s="1"/>
      <c r="E4434" s="1"/>
      <c r="F4434" s="1" t="s">
        <v>4093</v>
      </c>
      <c r="G4434" s="1">
        <v>100</v>
      </c>
      <c r="H4434" s="1" t="s">
        <v>19</v>
      </c>
      <c r="I4434" s="1" t="s">
        <v>4086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4092</v>
      </c>
      <c r="D4435" s="1"/>
      <c r="E4435" s="1"/>
      <c r="F4435" s="1" t="s">
        <v>4094</v>
      </c>
      <c r="G4435" s="1">
        <v>100</v>
      </c>
      <c r="H4435" s="1" t="s">
        <v>19</v>
      </c>
      <c r="I4435" s="1" t="s">
        <v>4086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3993</v>
      </c>
      <c r="D4436" s="1"/>
      <c r="E4436" s="1"/>
      <c r="F4436" s="1" t="s">
        <v>4095</v>
      </c>
      <c r="G4436" s="1">
        <v>64</v>
      </c>
      <c r="H4436" s="1" t="s">
        <v>19</v>
      </c>
      <c r="I4436" s="1" t="s">
        <v>4086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4030</v>
      </c>
      <c r="D4437" s="1"/>
      <c r="E4437" s="1"/>
      <c r="F4437" s="1" t="s">
        <v>4096</v>
      </c>
      <c r="G4437" s="1">
        <v>20</v>
      </c>
      <c r="H4437" s="1" t="s">
        <v>19</v>
      </c>
      <c r="I4437" s="1" t="s">
        <v>4086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4097</v>
      </c>
      <c r="D4438" s="1"/>
      <c r="E4438" s="1"/>
      <c r="F4438" s="1" t="s">
        <v>4098</v>
      </c>
      <c r="G4438" s="1">
        <v>8</v>
      </c>
      <c r="H4438" s="1" t="s">
        <v>19</v>
      </c>
      <c r="I4438" s="1" t="s">
        <v>4086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4097</v>
      </c>
      <c r="D4439" s="1"/>
      <c r="E4439" s="1"/>
      <c r="F4439" s="1" t="s">
        <v>4099</v>
      </c>
      <c r="G4439" s="1">
        <v>8</v>
      </c>
      <c r="H4439" s="1" t="s">
        <v>19</v>
      </c>
      <c r="I4439" s="1" t="s">
        <v>4086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4097</v>
      </c>
      <c r="D4440" s="1"/>
      <c r="E4440" s="1"/>
      <c r="F4440" s="1" t="s">
        <v>4100</v>
      </c>
      <c r="G4440" s="1">
        <v>8</v>
      </c>
      <c r="H4440" s="1" t="s">
        <v>19</v>
      </c>
      <c r="I4440" s="1" t="s">
        <v>4086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4101</v>
      </c>
      <c r="D4441" s="1"/>
      <c r="E4441" s="1"/>
      <c r="F4441" s="1" t="s">
        <v>4102</v>
      </c>
      <c r="G4441" s="1">
        <v>2</v>
      </c>
      <c r="H4441" s="1" t="s">
        <v>19</v>
      </c>
      <c r="I4441" s="1" t="s">
        <v>4086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4103</v>
      </c>
      <c r="D4442" s="1"/>
      <c r="E4442" s="1"/>
      <c r="F4442" s="1" t="s">
        <v>4104</v>
      </c>
      <c r="G4442" s="1">
        <v>112</v>
      </c>
      <c r="H4442" s="1" t="s">
        <v>19</v>
      </c>
      <c r="I4442" s="1" t="s">
        <v>4086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4103</v>
      </c>
      <c r="D4443" s="1"/>
      <c r="E4443" s="1"/>
      <c r="F4443" s="1" t="s">
        <v>4105</v>
      </c>
      <c r="G4443" s="1">
        <v>112</v>
      </c>
      <c r="H4443" s="1" t="s">
        <v>19</v>
      </c>
      <c r="I4443" s="1" t="s">
        <v>4086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4103</v>
      </c>
      <c r="D4444" s="1"/>
      <c r="E4444" s="1"/>
      <c r="F4444" s="1" t="s">
        <v>4106</v>
      </c>
      <c r="G4444" s="1">
        <v>112</v>
      </c>
      <c r="H4444" s="1" t="s">
        <v>19</v>
      </c>
      <c r="I4444" s="1" t="s">
        <v>4086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4103</v>
      </c>
      <c r="D4445" s="1"/>
      <c r="E4445" s="1"/>
      <c r="F4445" s="1" t="s">
        <v>4107</v>
      </c>
      <c r="G4445" s="1">
        <v>38</v>
      </c>
      <c r="H4445" s="1" t="s">
        <v>19</v>
      </c>
      <c r="I4445" s="1" t="s">
        <v>4086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4103</v>
      </c>
      <c r="D4446" s="1"/>
      <c r="E4446" s="1"/>
      <c r="F4446" s="1" t="s">
        <v>4108</v>
      </c>
      <c r="G4446" s="1">
        <v>32</v>
      </c>
      <c r="H4446" s="1" t="s">
        <v>19</v>
      </c>
      <c r="I4446" s="1" t="s">
        <v>4086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4103</v>
      </c>
      <c r="D4447" s="1"/>
      <c r="E4447" s="1"/>
      <c r="F4447" s="1" t="s">
        <v>4109</v>
      </c>
      <c r="G4447" s="1">
        <v>32</v>
      </c>
      <c r="H4447" s="1" t="s">
        <v>19</v>
      </c>
      <c r="I4447" s="1" t="s">
        <v>4086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4110</v>
      </c>
      <c r="D4448" s="1"/>
      <c r="E4448" s="1"/>
      <c r="F4448" s="1" t="s">
        <v>4111</v>
      </c>
      <c r="G4448" s="1">
        <v>572</v>
      </c>
      <c r="H4448" s="1" t="s">
        <v>19</v>
      </c>
      <c r="I4448" s="1" t="s">
        <v>4086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3948</v>
      </c>
      <c r="D4449" s="1"/>
      <c r="E4449" s="1"/>
      <c r="F4449" s="1" t="s">
        <v>4112</v>
      </c>
      <c r="G4449" s="1">
        <v>304</v>
      </c>
      <c r="H4449" s="1" t="s">
        <v>19</v>
      </c>
      <c r="I4449" s="1" t="s">
        <v>4086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3948</v>
      </c>
      <c r="D4450" s="1"/>
      <c r="E4450" s="1"/>
      <c r="F4450" s="1" t="s">
        <v>4113</v>
      </c>
      <c r="G4450" s="1">
        <v>304</v>
      </c>
      <c r="H4450" s="1" t="s">
        <v>19</v>
      </c>
      <c r="I4450" s="1" t="s">
        <v>4086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3948</v>
      </c>
      <c r="D4451" s="1"/>
      <c r="E4451" s="1"/>
      <c r="F4451" s="1" t="s">
        <v>4114</v>
      </c>
      <c r="G4451" s="1">
        <v>304</v>
      </c>
      <c r="H4451" s="1" t="s">
        <v>19</v>
      </c>
      <c r="I4451" s="1" t="s">
        <v>4086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3948</v>
      </c>
      <c r="D4452" s="1"/>
      <c r="E4452" s="1"/>
      <c r="F4452" s="1" t="s">
        <v>4115</v>
      </c>
      <c r="G4452" s="1">
        <v>64</v>
      </c>
      <c r="H4452" s="1" t="s">
        <v>19</v>
      </c>
      <c r="I4452" s="1" t="s">
        <v>4086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3948</v>
      </c>
      <c r="D4453" s="1"/>
      <c r="E4453" s="1"/>
      <c r="F4453" s="1" t="s">
        <v>4116</v>
      </c>
      <c r="G4453" s="1">
        <v>64</v>
      </c>
      <c r="H4453" s="1" t="s">
        <v>19</v>
      </c>
      <c r="I4453" s="1" t="s">
        <v>4086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4117</v>
      </c>
      <c r="D4454" s="1"/>
      <c r="E4454" s="1"/>
      <c r="F4454" s="1" t="s">
        <v>4118</v>
      </c>
      <c r="G4454" s="1">
        <v>8</v>
      </c>
      <c r="H4454" s="1" t="s">
        <v>19</v>
      </c>
      <c r="I4454" s="1" t="s">
        <v>4086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4117</v>
      </c>
      <c r="D4455" s="1"/>
      <c r="E4455" s="1"/>
      <c r="F4455" s="1" t="s">
        <v>4119</v>
      </c>
      <c r="G4455" s="1">
        <v>32</v>
      </c>
      <c r="H4455" s="1" t="s">
        <v>19</v>
      </c>
      <c r="I4455" s="1" t="s">
        <v>4086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4117</v>
      </c>
      <c r="D4456" s="1"/>
      <c r="E4456" s="1"/>
      <c r="F4456" s="1" t="s">
        <v>4120</v>
      </c>
      <c r="G4456" s="1">
        <v>32</v>
      </c>
      <c r="H4456" s="1" t="s">
        <v>19</v>
      </c>
      <c r="I4456" s="1" t="s">
        <v>4086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4117</v>
      </c>
      <c r="D4457" s="1"/>
      <c r="E4457" s="1"/>
      <c r="F4457" s="1" t="s">
        <v>4121</v>
      </c>
      <c r="G4457" s="1">
        <v>32</v>
      </c>
      <c r="H4457" s="1" t="s">
        <v>19</v>
      </c>
      <c r="I4457" s="1" t="s">
        <v>4086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4117</v>
      </c>
      <c r="D4458" s="1"/>
      <c r="E4458" s="1"/>
      <c r="F4458" s="1" t="s">
        <v>4122</v>
      </c>
      <c r="G4458" s="1">
        <v>16</v>
      </c>
      <c r="H4458" s="1" t="s">
        <v>19</v>
      </c>
      <c r="I4458" s="1" t="s">
        <v>4086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4117</v>
      </c>
      <c r="D4459" s="1"/>
      <c r="E4459" s="1"/>
      <c r="F4459" s="1" t="s">
        <v>4123</v>
      </c>
      <c r="G4459" s="1">
        <v>16</v>
      </c>
      <c r="H4459" s="1" t="s">
        <v>19</v>
      </c>
      <c r="I4459" s="1" t="s">
        <v>4086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4117</v>
      </c>
      <c r="D4460" s="1"/>
      <c r="E4460" s="1"/>
      <c r="F4460" s="1" t="s">
        <v>4124</v>
      </c>
      <c r="G4460" s="1">
        <v>16</v>
      </c>
      <c r="H4460" s="1" t="s">
        <v>19</v>
      </c>
      <c r="I4460" s="1" t="s">
        <v>4086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4125</v>
      </c>
      <c r="D4461" s="1"/>
      <c r="E4461" s="1"/>
      <c r="F4461" s="1" t="s">
        <v>4126</v>
      </c>
      <c r="G4461" s="1">
        <v>48</v>
      </c>
      <c r="H4461" s="1" t="s">
        <v>19</v>
      </c>
      <c r="I4461" s="1" t="s">
        <v>4086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4125</v>
      </c>
      <c r="D4462" s="1"/>
      <c r="E4462" s="1"/>
      <c r="F4462" s="1" t="s">
        <v>4127</v>
      </c>
      <c r="G4462" s="1">
        <v>48</v>
      </c>
      <c r="H4462" s="1" t="s">
        <v>19</v>
      </c>
      <c r="I4462" s="1" t="s">
        <v>4086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4125</v>
      </c>
      <c r="D4463" s="1"/>
      <c r="E4463" s="1"/>
      <c r="F4463" s="1" t="s">
        <v>4128</v>
      </c>
      <c r="G4463" s="1">
        <v>48</v>
      </c>
      <c r="H4463" s="1" t="s">
        <v>19</v>
      </c>
      <c r="I4463" s="1" t="s">
        <v>4086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4125</v>
      </c>
      <c r="D4464" s="1"/>
      <c r="E4464" s="1"/>
      <c r="F4464" s="1" t="s">
        <v>4129</v>
      </c>
      <c r="G4464" s="1">
        <v>144</v>
      </c>
      <c r="H4464" s="1" t="s">
        <v>19</v>
      </c>
      <c r="I4464" s="1" t="s">
        <v>4086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4125</v>
      </c>
      <c r="D4465" s="1"/>
      <c r="E4465" s="1"/>
      <c r="F4465" s="1" t="s">
        <v>4130</v>
      </c>
      <c r="G4465" s="1">
        <v>44</v>
      </c>
      <c r="H4465" s="1" t="s">
        <v>19</v>
      </c>
      <c r="I4465" s="1" t="s">
        <v>4086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4125</v>
      </c>
      <c r="D4466" s="1"/>
      <c r="E4466" s="1"/>
      <c r="F4466" s="1" t="s">
        <v>4131</v>
      </c>
      <c r="G4466" s="1">
        <v>20</v>
      </c>
      <c r="H4466" s="1" t="s">
        <v>1253</v>
      </c>
      <c r="I4466" s="1" t="s">
        <v>4086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3958</v>
      </c>
      <c r="D4467" s="1"/>
      <c r="E4467" s="1"/>
      <c r="F4467" s="1" t="s">
        <v>4132</v>
      </c>
      <c r="G4467" s="1">
        <v>12</v>
      </c>
      <c r="H4467" s="1" t="s">
        <v>19</v>
      </c>
      <c r="I4467" s="1" t="s">
        <v>4086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3958</v>
      </c>
      <c r="D4468" s="1"/>
      <c r="E4468" s="1"/>
      <c r="F4468" s="1" t="s">
        <v>4133</v>
      </c>
      <c r="G4468" s="1">
        <v>6</v>
      </c>
      <c r="H4468" s="1" t="s">
        <v>19</v>
      </c>
      <c r="I4468" s="1" t="s">
        <v>4086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3958</v>
      </c>
      <c r="D4469" s="1"/>
      <c r="E4469" s="1"/>
      <c r="F4469" s="1" t="s">
        <v>4134</v>
      </c>
      <c r="G4469" s="1">
        <v>6</v>
      </c>
      <c r="H4469" s="1" t="s">
        <v>19</v>
      </c>
      <c r="I4469" s="1" t="s">
        <v>4086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3958</v>
      </c>
      <c r="D4470" s="1"/>
      <c r="E4470" s="1"/>
      <c r="F4470" s="1" t="s">
        <v>4135</v>
      </c>
      <c r="G4470" s="1">
        <v>12</v>
      </c>
      <c r="H4470" s="1" t="s">
        <v>19</v>
      </c>
      <c r="I4470" s="1" t="s">
        <v>4086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3958</v>
      </c>
      <c r="D4471" s="1"/>
      <c r="E4471" s="1"/>
      <c r="F4471" s="1" t="s">
        <v>4136</v>
      </c>
      <c r="G4471" s="1">
        <v>132</v>
      </c>
      <c r="H4471" s="1" t="s">
        <v>19</v>
      </c>
      <c r="I4471" s="1" t="s">
        <v>4086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3958</v>
      </c>
      <c r="D4472" s="1"/>
      <c r="E4472" s="1"/>
      <c r="F4472" s="1" t="s">
        <v>4137</v>
      </c>
      <c r="G4472" s="1">
        <v>12</v>
      </c>
      <c r="H4472" s="1" t="s">
        <v>19</v>
      </c>
      <c r="I4472" s="1" t="s">
        <v>4086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3958</v>
      </c>
      <c r="D4473" s="1"/>
      <c r="E4473" s="1"/>
      <c r="F4473" s="1" t="s">
        <v>4138</v>
      </c>
      <c r="G4473" s="1">
        <v>72</v>
      </c>
      <c r="H4473" s="1" t="s">
        <v>19</v>
      </c>
      <c r="I4473" s="1" t="s">
        <v>4086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3958</v>
      </c>
      <c r="D4474" s="1"/>
      <c r="E4474" s="1"/>
      <c r="F4474" s="1" t="s">
        <v>4137</v>
      </c>
      <c r="G4474" s="1">
        <v>72</v>
      </c>
      <c r="H4474" s="1" t="s">
        <v>19</v>
      </c>
      <c r="I4474" s="1" t="s">
        <v>4086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3958</v>
      </c>
      <c r="D4475" s="1"/>
      <c r="E4475" s="1"/>
      <c r="F4475" s="1" t="s">
        <v>4136</v>
      </c>
      <c r="G4475" s="1">
        <v>72</v>
      </c>
      <c r="H4475" s="1" t="s">
        <v>19</v>
      </c>
      <c r="I4475" s="1" t="s">
        <v>4086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4139</v>
      </c>
      <c r="D4476" s="1"/>
      <c r="E4476" s="1"/>
      <c r="F4476" s="1" t="s">
        <v>4140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4139</v>
      </c>
      <c r="D4477" s="1"/>
      <c r="E4477" s="1"/>
      <c r="F4477" s="1" t="s">
        <v>4141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4139</v>
      </c>
      <c r="D4478" s="1"/>
      <c r="E4478" s="1"/>
      <c r="F4478" s="1" t="s">
        <v>4142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4139</v>
      </c>
      <c r="D4479" s="1"/>
      <c r="E4479" s="1"/>
      <c r="F4479" s="1" t="s">
        <v>4143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4144</v>
      </c>
      <c r="D4480" s="1"/>
      <c r="E4480" s="1"/>
      <c r="F4480" s="1" t="s">
        <v>4145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4144</v>
      </c>
      <c r="D4481" s="1"/>
      <c r="E4481" s="1"/>
      <c r="F4481" s="1" t="s">
        <v>4146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4144</v>
      </c>
      <c r="D4482" s="1"/>
      <c r="E4482" s="1"/>
      <c r="F4482" s="1" t="s">
        <v>4147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4144</v>
      </c>
      <c r="D4483" s="1"/>
      <c r="E4483" s="1"/>
      <c r="F4483" s="1" t="s">
        <v>4148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4149</v>
      </c>
      <c r="D4484" s="1"/>
      <c r="E4484" s="1"/>
      <c r="F4484" s="1" t="s">
        <v>4150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4149</v>
      </c>
      <c r="D4485" s="1"/>
      <c r="E4485" s="1"/>
      <c r="F4485" s="1" t="s">
        <v>4151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4149</v>
      </c>
      <c r="D4486" s="1"/>
      <c r="E4486" s="1"/>
      <c r="F4486" s="1" t="s">
        <v>4152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4149</v>
      </c>
      <c r="D4487" s="1"/>
      <c r="E4487" s="1"/>
      <c r="F4487" s="1" t="s">
        <v>4153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4154</v>
      </c>
      <c r="D4488" s="1"/>
      <c r="E4488" s="1"/>
      <c r="F4488" s="1" t="s">
        <v>4155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4156</v>
      </c>
      <c r="D4489" s="1"/>
      <c r="E4489" s="1"/>
      <c r="F4489" s="1" t="s">
        <v>4157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4156</v>
      </c>
      <c r="D4490" s="1"/>
      <c r="E4490" s="1"/>
      <c r="F4490" s="1" t="s">
        <v>4158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4156</v>
      </c>
      <c r="D4491" s="1"/>
      <c r="E4491" s="1"/>
      <c r="F4491" s="1" t="s">
        <v>4159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4156</v>
      </c>
      <c r="D4492" s="1"/>
      <c r="E4492" s="1"/>
      <c r="F4492" s="1" t="s">
        <v>4160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4161</v>
      </c>
      <c r="D4493" s="1"/>
      <c r="E4493" s="1"/>
      <c r="F4493" s="1" t="s">
        <v>4162</v>
      </c>
      <c r="G4493" s="1">
        <v>720</v>
      </c>
      <c r="H4493" s="1" t="s">
        <v>19</v>
      </c>
      <c r="I4493" s="1" t="s">
        <v>4086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4161</v>
      </c>
      <c r="D4494" s="1"/>
      <c r="E4494" s="1"/>
      <c r="F4494" s="1" t="s">
        <v>4163</v>
      </c>
      <c r="G4494" s="1">
        <v>360</v>
      </c>
      <c r="H4494" s="1" t="s">
        <v>19</v>
      </c>
      <c r="I4494" s="1" t="s">
        <v>4164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4161</v>
      </c>
      <c r="D4495" s="1"/>
      <c r="E4495" s="1"/>
      <c r="F4495" s="1" t="s">
        <v>4165</v>
      </c>
      <c r="G4495" s="1">
        <v>360</v>
      </c>
      <c r="H4495" s="1" t="s">
        <v>19</v>
      </c>
      <c r="I4495" s="1" t="s">
        <v>4164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4166</v>
      </c>
      <c r="D4496" s="1"/>
      <c r="E4496" s="1"/>
      <c r="F4496" s="1" t="s">
        <v>4167</v>
      </c>
      <c r="G4496" s="1">
        <v>432</v>
      </c>
      <c r="H4496" s="1" t="s">
        <v>19</v>
      </c>
      <c r="I4496" s="1" t="s">
        <v>4086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4166</v>
      </c>
      <c r="D4497" s="1"/>
      <c r="E4497" s="1"/>
      <c r="F4497" s="1" t="s">
        <v>4168</v>
      </c>
      <c r="G4497" s="1">
        <v>216</v>
      </c>
      <c r="H4497" s="1" t="s">
        <v>19</v>
      </c>
      <c r="I4497" s="1" t="s">
        <v>4086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4166</v>
      </c>
      <c r="D4498" s="1"/>
      <c r="E4498" s="1"/>
      <c r="F4498" s="1" t="s">
        <v>4169</v>
      </c>
      <c r="G4498" s="1">
        <v>216</v>
      </c>
      <c r="H4498" s="1" t="s">
        <v>19</v>
      </c>
      <c r="I4498" s="1" t="s">
        <v>4086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4170</v>
      </c>
      <c r="D4499" s="1"/>
      <c r="E4499" s="1"/>
      <c r="F4499" s="1" t="s">
        <v>4171</v>
      </c>
      <c r="G4499" s="1">
        <v>176</v>
      </c>
      <c r="H4499" s="1" t="s">
        <v>19</v>
      </c>
      <c r="I4499" s="1" t="s">
        <v>4086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4170</v>
      </c>
      <c r="D4500" s="1"/>
      <c r="E4500" s="1"/>
      <c r="F4500" s="1" t="s">
        <v>4172</v>
      </c>
      <c r="G4500" s="1">
        <v>176</v>
      </c>
      <c r="H4500" s="1" t="s">
        <v>19</v>
      </c>
      <c r="I4500" s="1" t="s">
        <v>4086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4173</v>
      </c>
      <c r="D4501" s="1"/>
      <c r="E4501" s="1"/>
      <c r="F4501" s="1" t="s">
        <v>4174</v>
      </c>
      <c r="G4501" s="1">
        <v>160</v>
      </c>
      <c r="H4501" s="1" t="s">
        <v>19</v>
      </c>
      <c r="I4501" s="1" t="s">
        <v>4164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4173</v>
      </c>
      <c r="D4502" s="1"/>
      <c r="E4502" s="1"/>
      <c r="F4502" s="1" t="s">
        <v>4175</v>
      </c>
      <c r="G4502" s="1">
        <v>160</v>
      </c>
      <c r="H4502" s="1" t="s">
        <v>19</v>
      </c>
      <c r="I4502" s="1" t="s">
        <v>4086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4176</v>
      </c>
      <c r="D4503" s="1"/>
      <c r="E4503" s="1"/>
      <c r="F4503" s="1" t="s">
        <v>4177</v>
      </c>
      <c r="G4503" s="1">
        <v>192</v>
      </c>
      <c r="H4503" s="1" t="s">
        <v>19</v>
      </c>
      <c r="I4503" s="1" t="s">
        <v>4086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4176</v>
      </c>
      <c r="D4504" s="1"/>
      <c r="E4504" s="1"/>
      <c r="F4504" s="1" t="s">
        <v>4178</v>
      </c>
      <c r="G4504" s="1">
        <v>96</v>
      </c>
      <c r="H4504" s="1" t="s">
        <v>19</v>
      </c>
      <c r="I4504" s="1" t="s">
        <v>4086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4179</v>
      </c>
      <c r="D4505" s="1"/>
      <c r="E4505" s="1"/>
      <c r="F4505" s="1" t="s">
        <v>4180</v>
      </c>
      <c r="G4505" s="1">
        <v>192</v>
      </c>
      <c r="H4505" s="1" t="s">
        <v>19</v>
      </c>
      <c r="I4505" s="1" t="s">
        <v>4086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4179</v>
      </c>
      <c r="D4506" s="1"/>
      <c r="E4506" s="1"/>
      <c r="F4506" s="1" t="s">
        <v>4181</v>
      </c>
      <c r="G4506" s="1">
        <v>96</v>
      </c>
      <c r="H4506" s="1" t="s">
        <v>19</v>
      </c>
      <c r="I4506" s="1" t="s">
        <v>4086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4182</v>
      </c>
      <c r="D4507" s="1"/>
      <c r="E4507" s="1"/>
      <c r="F4507" s="1" t="s">
        <v>4183</v>
      </c>
      <c r="G4507" s="1">
        <v>112</v>
      </c>
      <c r="H4507" s="1" t="s">
        <v>19</v>
      </c>
      <c r="I4507" s="1" t="s">
        <v>4086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4182</v>
      </c>
      <c r="D4508" s="1"/>
      <c r="E4508" s="1"/>
      <c r="F4508" s="1" t="s">
        <v>4184</v>
      </c>
      <c r="G4508" s="1">
        <v>56</v>
      </c>
      <c r="H4508" s="1" t="s">
        <v>19</v>
      </c>
      <c r="I4508" s="1" t="s">
        <v>4086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4185</v>
      </c>
      <c r="D4509" s="1"/>
      <c r="E4509" s="1"/>
      <c r="F4509" s="1" t="s">
        <v>4186</v>
      </c>
      <c r="G4509" s="1">
        <v>128</v>
      </c>
      <c r="H4509" s="1" t="s">
        <v>19</v>
      </c>
      <c r="I4509" s="1" t="s">
        <v>4086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4185</v>
      </c>
      <c r="D4510" s="1"/>
      <c r="E4510" s="1"/>
      <c r="F4510" s="1" t="s">
        <v>4187</v>
      </c>
      <c r="G4510" s="1">
        <v>128</v>
      </c>
      <c r="H4510" s="1" t="s">
        <v>19</v>
      </c>
      <c r="I4510" s="1" t="s">
        <v>4086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4188</v>
      </c>
      <c r="D4511" s="1"/>
      <c r="E4511" s="1"/>
      <c r="F4511" s="1" t="s">
        <v>4189</v>
      </c>
      <c r="G4511" s="1">
        <v>112</v>
      </c>
      <c r="H4511" s="1" t="s">
        <v>19</v>
      </c>
      <c r="I4511" s="1" t="s">
        <v>4086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4188</v>
      </c>
      <c r="D4512" s="1"/>
      <c r="E4512" s="1"/>
      <c r="F4512" s="1" t="s">
        <v>4190</v>
      </c>
      <c r="G4512" s="1">
        <v>112</v>
      </c>
      <c r="H4512" s="1" t="s">
        <v>19</v>
      </c>
      <c r="I4512" s="1" t="s">
        <v>4086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4188</v>
      </c>
      <c r="D4513" s="1"/>
      <c r="E4513" s="1"/>
      <c r="F4513" s="1" t="s">
        <v>4191</v>
      </c>
      <c r="G4513" s="1">
        <v>112</v>
      </c>
      <c r="H4513" s="1" t="s">
        <v>19</v>
      </c>
      <c r="I4513" s="1" t="s">
        <v>4086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4192</v>
      </c>
      <c r="D4514" s="1"/>
      <c r="E4514" s="1"/>
      <c r="F4514" s="1" t="s">
        <v>4193</v>
      </c>
      <c r="G4514" s="1">
        <v>96</v>
      </c>
      <c r="H4514" s="1" t="s">
        <v>19</v>
      </c>
      <c r="I4514" s="1" t="s">
        <v>4086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4192</v>
      </c>
      <c r="D4515" s="1"/>
      <c r="E4515" s="1"/>
      <c r="F4515" s="1" t="s">
        <v>4194</v>
      </c>
      <c r="G4515" s="1">
        <v>96</v>
      </c>
      <c r="H4515" s="1" t="s">
        <v>19</v>
      </c>
      <c r="I4515" s="1" t="s">
        <v>4086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4192</v>
      </c>
      <c r="D4516" s="1"/>
      <c r="E4516" s="1"/>
      <c r="F4516" s="1" t="s">
        <v>4195</v>
      </c>
      <c r="G4516" s="1">
        <v>96</v>
      </c>
      <c r="H4516" s="1" t="s">
        <v>19</v>
      </c>
      <c r="I4516" s="1" t="s">
        <v>4086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4196</v>
      </c>
      <c r="D4517" s="1"/>
      <c r="E4517" s="1"/>
      <c r="F4517" s="1" t="s">
        <v>4197</v>
      </c>
      <c r="G4517" s="1">
        <v>112</v>
      </c>
      <c r="H4517" s="1" t="s">
        <v>19</v>
      </c>
      <c r="I4517" s="1" t="s">
        <v>4086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4196</v>
      </c>
      <c r="D4518" s="1"/>
      <c r="E4518" s="1"/>
      <c r="F4518" s="1" t="s">
        <v>4198</v>
      </c>
      <c r="G4518" s="1">
        <v>112</v>
      </c>
      <c r="H4518" s="1" t="s">
        <v>19</v>
      </c>
      <c r="I4518" s="1" t="s">
        <v>4086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4196</v>
      </c>
      <c r="D4519" s="1"/>
      <c r="E4519" s="1"/>
      <c r="F4519" s="1" t="s">
        <v>4199</v>
      </c>
      <c r="G4519" s="1">
        <v>112</v>
      </c>
      <c r="H4519" s="1" t="s">
        <v>19</v>
      </c>
      <c r="I4519" s="1" t="s">
        <v>4086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4200</v>
      </c>
      <c r="D4520" s="1"/>
      <c r="E4520" s="1"/>
      <c r="F4520" s="1" t="s">
        <v>4201</v>
      </c>
      <c r="G4520" s="1">
        <v>112</v>
      </c>
      <c r="H4520" s="1" t="s">
        <v>19</v>
      </c>
      <c r="I4520" s="1" t="s">
        <v>4086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4200</v>
      </c>
      <c r="D4521" s="1"/>
      <c r="E4521" s="1"/>
      <c r="F4521" s="1" t="s">
        <v>4202</v>
      </c>
      <c r="G4521" s="1">
        <v>112</v>
      </c>
      <c r="H4521" s="1" t="s">
        <v>19</v>
      </c>
      <c r="I4521" s="1" t="s">
        <v>4086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4200</v>
      </c>
      <c r="D4522" s="1"/>
      <c r="E4522" s="1"/>
      <c r="F4522" s="1" t="s">
        <v>4203</v>
      </c>
      <c r="G4522" s="1">
        <v>112</v>
      </c>
      <c r="H4522" s="1" t="s">
        <v>19</v>
      </c>
      <c r="I4522" s="1" t="s">
        <v>4086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4204</v>
      </c>
      <c r="D4523" s="1"/>
      <c r="E4523" s="1"/>
      <c r="F4523" s="1" t="s">
        <v>4205</v>
      </c>
      <c r="G4523" s="1">
        <v>416</v>
      </c>
      <c r="H4523" s="1" t="s">
        <v>19</v>
      </c>
      <c r="I4523" s="1" t="s">
        <v>4086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4204</v>
      </c>
      <c r="D4524" s="1"/>
      <c r="E4524" s="1"/>
      <c r="F4524" s="1" t="s">
        <v>4206</v>
      </c>
      <c r="G4524" s="1">
        <v>208</v>
      </c>
      <c r="H4524" s="1" t="s">
        <v>19</v>
      </c>
      <c r="I4524" s="1" t="s">
        <v>4086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4207</v>
      </c>
      <c r="D4525" s="1"/>
      <c r="E4525" s="1"/>
      <c r="F4525" s="1" t="s">
        <v>4208</v>
      </c>
      <c r="G4525" s="1">
        <v>96</v>
      </c>
      <c r="H4525" s="1" t="s">
        <v>19</v>
      </c>
      <c r="I4525" s="1" t="s">
        <v>4086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4207</v>
      </c>
      <c r="D4526" s="1"/>
      <c r="E4526" s="1"/>
      <c r="F4526" s="1" t="s">
        <v>4209</v>
      </c>
      <c r="G4526" s="1">
        <v>96</v>
      </c>
      <c r="H4526" s="1" t="s">
        <v>19</v>
      </c>
      <c r="I4526" s="1" t="s">
        <v>4086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4207</v>
      </c>
      <c r="D4527" s="1"/>
      <c r="E4527" s="1"/>
      <c r="F4527" s="1" t="s">
        <v>4210</v>
      </c>
      <c r="G4527" s="1">
        <v>96</v>
      </c>
      <c r="H4527" s="1" t="s">
        <v>19</v>
      </c>
      <c r="I4527" s="1" t="s">
        <v>4086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4211</v>
      </c>
      <c r="D4528" s="1"/>
      <c r="E4528" s="1"/>
      <c r="F4528" s="1" t="s">
        <v>4212</v>
      </c>
      <c r="G4528" s="1">
        <v>8</v>
      </c>
      <c r="H4528" s="1" t="s">
        <v>19</v>
      </c>
      <c r="I4528" s="1" t="s">
        <v>4086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4211</v>
      </c>
      <c r="D4529" s="1"/>
      <c r="E4529" s="1"/>
      <c r="F4529" s="1" t="s">
        <v>4213</v>
      </c>
      <c r="G4529" s="1">
        <v>16</v>
      </c>
      <c r="H4529" s="1" t="s">
        <v>19</v>
      </c>
      <c r="I4529" s="1" t="s">
        <v>4086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4211</v>
      </c>
      <c r="D4530" s="1"/>
      <c r="E4530" s="1"/>
      <c r="F4530" s="1" t="s">
        <v>4214</v>
      </c>
      <c r="G4530" s="1">
        <v>8</v>
      </c>
      <c r="H4530" s="1" t="s">
        <v>19</v>
      </c>
      <c r="I4530" s="1" t="s">
        <v>4086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4211</v>
      </c>
      <c r="D4531" s="1"/>
      <c r="E4531" s="1"/>
      <c r="F4531" s="1" t="s">
        <v>4215</v>
      </c>
      <c r="G4531" s="1">
        <v>8</v>
      </c>
      <c r="H4531" s="1" t="s">
        <v>19</v>
      </c>
      <c r="I4531" s="1" t="s">
        <v>4086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4211</v>
      </c>
      <c r="D4532" s="1"/>
      <c r="E4532" s="1"/>
      <c r="F4532" s="1" t="s">
        <v>4216</v>
      </c>
      <c r="G4532" s="1">
        <v>8</v>
      </c>
      <c r="H4532" s="1" t="s">
        <v>19</v>
      </c>
      <c r="I4532" s="1" t="s">
        <v>4086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4211</v>
      </c>
      <c r="D4533" s="1"/>
      <c r="E4533" s="1"/>
      <c r="F4533" s="1" t="s">
        <v>4217</v>
      </c>
      <c r="G4533" s="1">
        <v>8</v>
      </c>
      <c r="H4533" s="1" t="s">
        <v>19</v>
      </c>
      <c r="I4533" s="1" t="s">
        <v>4086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4211</v>
      </c>
      <c r="D4534" s="1"/>
      <c r="E4534" s="1"/>
      <c r="F4534" s="1" t="s">
        <v>4218</v>
      </c>
      <c r="G4534" s="1">
        <v>64</v>
      </c>
      <c r="H4534" s="1" t="s">
        <v>19</v>
      </c>
      <c r="I4534" s="1" t="s">
        <v>4086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4211</v>
      </c>
      <c r="D4535" s="1"/>
      <c r="E4535" s="1"/>
      <c r="F4535" s="1" t="s">
        <v>4219</v>
      </c>
      <c r="G4535" s="1">
        <v>64</v>
      </c>
      <c r="H4535" s="1" t="s">
        <v>19</v>
      </c>
      <c r="I4535" s="1" t="s">
        <v>4086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4211</v>
      </c>
      <c r="D4536" s="1"/>
      <c r="E4536" s="1"/>
      <c r="F4536" s="1" t="s">
        <v>4220</v>
      </c>
      <c r="G4536" s="1">
        <v>64</v>
      </c>
      <c r="H4536" s="1" t="s">
        <v>19</v>
      </c>
      <c r="I4536" s="1" t="s">
        <v>4086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4211</v>
      </c>
      <c r="D4537" s="1"/>
      <c r="E4537" s="1"/>
      <c r="F4537" s="1" t="s">
        <v>4221</v>
      </c>
      <c r="G4537" s="1">
        <v>32</v>
      </c>
      <c r="H4537" s="1" t="s">
        <v>19</v>
      </c>
      <c r="I4537" s="1" t="s">
        <v>4086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4211</v>
      </c>
      <c r="D4538" s="1"/>
      <c r="E4538" s="1"/>
      <c r="F4538" s="1" t="s">
        <v>4222</v>
      </c>
      <c r="G4538" s="1">
        <v>32</v>
      </c>
      <c r="H4538" s="1" t="s">
        <v>19</v>
      </c>
      <c r="I4538" s="1" t="s">
        <v>4086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4211</v>
      </c>
      <c r="D4539" s="1"/>
      <c r="E4539" s="1"/>
      <c r="F4539" s="1" t="s">
        <v>4223</v>
      </c>
      <c r="G4539" s="1">
        <v>16</v>
      </c>
      <c r="H4539" s="1" t="s">
        <v>19</v>
      </c>
      <c r="I4539" s="1" t="s">
        <v>4086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4211</v>
      </c>
      <c r="D4540" s="1"/>
      <c r="E4540" s="1"/>
      <c r="F4540" s="1" t="s">
        <v>4224</v>
      </c>
      <c r="G4540" s="1">
        <v>16</v>
      </c>
      <c r="H4540" s="1" t="s">
        <v>19</v>
      </c>
      <c r="I4540" s="1" t="s">
        <v>4086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4225</v>
      </c>
      <c r="D4541" s="1"/>
      <c r="E4541" s="1"/>
      <c r="F4541" s="1" t="s">
        <v>4226</v>
      </c>
      <c r="G4541" s="1">
        <v>2</v>
      </c>
      <c r="H4541" s="1" t="s">
        <v>19</v>
      </c>
      <c r="I4541" s="1" t="s">
        <v>4086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4225</v>
      </c>
      <c r="D4542" s="1"/>
      <c r="E4542" s="1"/>
      <c r="F4542" s="1" t="s">
        <v>4227</v>
      </c>
      <c r="G4542" s="1">
        <v>2</v>
      </c>
      <c r="H4542" s="1" t="s">
        <v>19</v>
      </c>
      <c r="I4542" s="1" t="s">
        <v>4086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4225</v>
      </c>
      <c r="D4543" s="1"/>
      <c r="E4543" s="1"/>
      <c r="F4543" s="1" t="s">
        <v>4228</v>
      </c>
      <c r="G4543" s="1">
        <v>2</v>
      </c>
      <c r="H4543" s="1" t="s">
        <v>19</v>
      </c>
      <c r="I4543" s="1" t="s">
        <v>4086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4225</v>
      </c>
      <c r="D4544" s="1"/>
      <c r="E4544" s="1"/>
      <c r="F4544" s="1" t="s">
        <v>4229</v>
      </c>
      <c r="G4544" s="1">
        <v>2</v>
      </c>
      <c r="H4544" s="1" t="s">
        <v>19</v>
      </c>
      <c r="I4544" s="1" t="s">
        <v>4086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4225</v>
      </c>
      <c r="D4545" s="1"/>
      <c r="E4545" s="1"/>
      <c r="F4545" s="1" t="s">
        <v>4230</v>
      </c>
      <c r="G4545" s="1">
        <v>2</v>
      </c>
      <c r="H4545" s="1" t="s">
        <v>19</v>
      </c>
      <c r="I4545" s="1" t="s">
        <v>4086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4231</v>
      </c>
      <c r="D4546" s="1"/>
      <c r="E4546" s="1"/>
      <c r="F4546" s="1" t="s">
        <v>4232</v>
      </c>
      <c r="G4546" s="1">
        <v>20</v>
      </c>
      <c r="H4546" s="1" t="s">
        <v>19</v>
      </c>
      <c r="I4546" s="1" t="s">
        <v>4086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4231</v>
      </c>
      <c r="D4547" s="1"/>
      <c r="E4547" s="1"/>
      <c r="F4547" s="1" t="s">
        <v>4233</v>
      </c>
      <c r="G4547" s="1">
        <v>20</v>
      </c>
      <c r="H4547" s="1" t="s">
        <v>19</v>
      </c>
      <c r="I4547" s="1" t="s">
        <v>4086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4234</v>
      </c>
      <c r="D4548" s="1"/>
      <c r="E4548" s="1"/>
      <c r="F4548" s="1" t="s">
        <v>4235</v>
      </c>
      <c r="G4548" s="1">
        <v>664</v>
      </c>
      <c r="H4548" s="1" t="s">
        <v>19</v>
      </c>
      <c r="I4548" s="1" t="s">
        <v>4086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4234</v>
      </c>
      <c r="D4549" s="1"/>
      <c r="E4549" s="1"/>
      <c r="F4549" s="1" t="s">
        <v>4236</v>
      </c>
      <c r="G4549" s="1">
        <v>664</v>
      </c>
      <c r="H4549" s="1" t="s">
        <v>19</v>
      </c>
      <c r="I4549" s="1" t="s">
        <v>4086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4234</v>
      </c>
      <c r="D4550" s="1"/>
      <c r="E4550" s="1"/>
      <c r="F4550" s="1" t="s">
        <v>4237</v>
      </c>
      <c r="G4550" s="1">
        <v>1928</v>
      </c>
      <c r="H4550" s="1" t="s">
        <v>19</v>
      </c>
      <c r="I4550" s="1" t="s">
        <v>4086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4234</v>
      </c>
      <c r="D4551" s="1"/>
      <c r="E4551" s="1"/>
      <c r="F4551" s="1" t="s">
        <v>4238</v>
      </c>
      <c r="G4551" s="1">
        <v>1168</v>
      </c>
      <c r="H4551" s="1" t="s">
        <v>19</v>
      </c>
      <c r="I4551" s="1" t="s">
        <v>4086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4234</v>
      </c>
      <c r="D4552" s="1"/>
      <c r="E4552" s="1"/>
      <c r="F4552" s="1" t="s">
        <v>4239</v>
      </c>
      <c r="G4552" s="1">
        <v>800</v>
      </c>
      <c r="H4552" s="1" t="s">
        <v>19</v>
      </c>
      <c r="I4552" s="1" t="s">
        <v>4086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4234</v>
      </c>
      <c r="D4553" s="1"/>
      <c r="E4553" s="1"/>
      <c r="F4553" s="1" t="s">
        <v>4240</v>
      </c>
      <c r="G4553" s="1">
        <v>336</v>
      </c>
      <c r="H4553" s="1" t="s">
        <v>19</v>
      </c>
      <c r="I4553" s="1" t="s">
        <v>4086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4144</v>
      </c>
      <c r="D4554" s="1"/>
      <c r="E4554" s="1"/>
      <c r="F4554" s="1" t="s">
        <v>4241</v>
      </c>
      <c r="G4554" s="1">
        <v>32</v>
      </c>
      <c r="H4554" s="1" t="s">
        <v>19</v>
      </c>
      <c r="I4554" s="1" t="s">
        <v>4086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4144</v>
      </c>
      <c r="D4555" s="1"/>
      <c r="E4555" s="1"/>
      <c r="F4555" s="1" t="s">
        <v>4242</v>
      </c>
      <c r="G4555" s="1">
        <v>32</v>
      </c>
      <c r="H4555" s="1" t="s">
        <v>19</v>
      </c>
      <c r="I4555" s="1" t="s">
        <v>4086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4243</v>
      </c>
      <c r="D4556" s="1"/>
      <c r="E4556" s="1"/>
      <c r="F4556" s="1" t="s">
        <v>4244</v>
      </c>
      <c r="G4556" s="1">
        <v>32</v>
      </c>
      <c r="H4556" s="1" t="s">
        <v>19</v>
      </c>
      <c r="I4556" s="1" t="s">
        <v>4086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4243</v>
      </c>
      <c r="D4557" s="1"/>
      <c r="E4557" s="1"/>
      <c r="F4557" s="1" t="s">
        <v>4245</v>
      </c>
      <c r="G4557" s="1">
        <v>32</v>
      </c>
      <c r="H4557" s="1" t="s">
        <v>19</v>
      </c>
      <c r="I4557" s="1" t="s">
        <v>4086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4243</v>
      </c>
      <c r="D4558" s="1"/>
      <c r="E4558" s="1"/>
      <c r="F4558" s="1" t="s">
        <v>4246</v>
      </c>
      <c r="G4558" s="1">
        <v>16</v>
      </c>
      <c r="H4558" s="1" t="s">
        <v>19</v>
      </c>
      <c r="I4558" s="1" t="s">
        <v>4086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4243</v>
      </c>
      <c r="D4559" s="1"/>
      <c r="E4559" s="1"/>
      <c r="F4559" s="1" t="s">
        <v>4247</v>
      </c>
      <c r="G4559" s="1">
        <v>16</v>
      </c>
      <c r="H4559" s="1" t="s">
        <v>19</v>
      </c>
      <c r="I4559" s="1" t="s">
        <v>4086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4243</v>
      </c>
      <c r="D4560" s="1"/>
      <c r="E4560" s="1"/>
      <c r="F4560" s="1" t="s">
        <v>4248</v>
      </c>
      <c r="G4560" s="1">
        <v>8</v>
      </c>
      <c r="H4560" s="1" t="s">
        <v>19</v>
      </c>
      <c r="I4560" s="1" t="s">
        <v>4086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4249</v>
      </c>
      <c r="D4561" s="1"/>
      <c r="E4561" s="1"/>
      <c r="F4561" s="1" t="s">
        <v>4250</v>
      </c>
      <c r="G4561" s="1">
        <v>72</v>
      </c>
      <c r="H4561" s="1" t="s">
        <v>19</v>
      </c>
      <c r="I4561" s="1" t="s">
        <v>4086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4249</v>
      </c>
      <c r="D4562" s="1"/>
      <c r="E4562" s="1"/>
      <c r="F4562" s="1" t="s">
        <v>4251</v>
      </c>
      <c r="G4562" s="1">
        <v>72</v>
      </c>
      <c r="H4562" s="1" t="s">
        <v>19</v>
      </c>
      <c r="I4562" s="1" t="s">
        <v>4086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3762</v>
      </c>
      <c r="D4563" s="1"/>
      <c r="E4563" s="1" t="s">
        <v>3763</v>
      </c>
      <c r="F4563" s="1" t="s">
        <v>3760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3762</v>
      </c>
      <c r="D4564" s="1"/>
      <c r="E4564" s="1" t="s">
        <v>3763</v>
      </c>
      <c r="F4564" s="1" t="s">
        <v>3760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3802</v>
      </c>
      <c r="D4565" s="1"/>
      <c r="E4565" s="1" t="s">
        <v>3807</v>
      </c>
      <c r="F4565" s="1" t="s">
        <v>3808</v>
      </c>
      <c r="G4565" s="1">
        <v>8</v>
      </c>
      <c r="H4565" s="1" t="s">
        <v>19</v>
      </c>
      <c r="I4565" s="1" t="s">
        <v>3790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3802</v>
      </c>
      <c r="D4566" s="1"/>
      <c r="E4566" s="1" t="s">
        <v>3809</v>
      </c>
      <c r="F4566" s="1" t="s">
        <v>3808</v>
      </c>
      <c r="G4566" s="1">
        <v>2</v>
      </c>
      <c r="H4566" s="1" t="s">
        <v>19</v>
      </c>
      <c r="I4566" s="1" t="s">
        <v>3790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3802</v>
      </c>
      <c r="D4567" s="1"/>
      <c r="E4567" s="1" t="s">
        <v>3810</v>
      </c>
      <c r="F4567" s="1" t="s">
        <v>3808</v>
      </c>
      <c r="G4567" s="1">
        <v>4</v>
      </c>
      <c r="H4567" s="1" t="s">
        <v>19</v>
      </c>
      <c r="I4567" s="1" t="s">
        <v>3790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3802</v>
      </c>
      <c r="D4568" s="1"/>
      <c r="E4568" s="1" t="s">
        <v>3811</v>
      </c>
      <c r="F4568" s="1" t="s">
        <v>3808</v>
      </c>
      <c r="G4568" s="1">
        <v>2</v>
      </c>
      <c r="H4568" s="1" t="s">
        <v>19</v>
      </c>
      <c r="I4568" s="1" t="s">
        <v>3790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3821</v>
      </c>
      <c r="D4569" s="1"/>
      <c r="E4569" s="1" t="s">
        <v>3824</v>
      </c>
      <c r="F4569" s="1" t="s">
        <v>3808</v>
      </c>
      <c r="G4569" s="1">
        <v>2</v>
      </c>
      <c r="H4569" s="1" t="s">
        <v>19</v>
      </c>
      <c r="I4569" s="1" t="s">
        <v>3790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3821</v>
      </c>
      <c r="D4570" s="1"/>
      <c r="E4570" s="1" t="s">
        <v>3825</v>
      </c>
      <c r="F4570" s="1" t="s">
        <v>3808</v>
      </c>
      <c r="G4570" s="1">
        <v>2</v>
      </c>
      <c r="H4570" s="1" t="s">
        <v>19</v>
      </c>
      <c r="I4570" s="1" t="s">
        <v>3790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3821</v>
      </c>
      <c r="D4571" s="1"/>
      <c r="E4571" s="1" t="s">
        <v>3826</v>
      </c>
      <c r="F4571" s="1" t="s">
        <v>3808</v>
      </c>
      <c r="G4571" s="1">
        <v>6</v>
      </c>
      <c r="H4571" s="1" t="s">
        <v>19</v>
      </c>
      <c r="I4571" s="1" t="s">
        <v>3790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3821</v>
      </c>
      <c r="D4572" s="1"/>
      <c r="E4572" s="1" t="s">
        <v>3827</v>
      </c>
      <c r="F4572" s="1" t="s">
        <v>3808</v>
      </c>
      <c r="G4572" s="1">
        <v>4</v>
      </c>
      <c r="H4572" s="1" t="s">
        <v>19</v>
      </c>
      <c r="I4572" s="1" t="s">
        <v>3790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3858</v>
      </c>
      <c r="D4573" s="1"/>
      <c r="E4573" s="1" t="s">
        <v>3861</v>
      </c>
      <c r="F4573" s="1" t="s">
        <v>3808</v>
      </c>
      <c r="G4573" s="1">
        <v>10</v>
      </c>
      <c r="H4573" s="1" t="s">
        <v>19</v>
      </c>
      <c r="I4573" s="1" t="s">
        <v>3790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3858</v>
      </c>
      <c r="D4574" s="1"/>
      <c r="E4574" s="1" t="s">
        <v>3862</v>
      </c>
      <c r="F4574" s="1" t="s">
        <v>3808</v>
      </c>
      <c r="G4574" s="1">
        <v>2</v>
      </c>
      <c r="H4574" s="1" t="s">
        <v>19</v>
      </c>
      <c r="I4574" s="1" t="s">
        <v>3790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3858</v>
      </c>
      <c r="D4575" s="1"/>
      <c r="E4575" s="1" t="s">
        <v>3863</v>
      </c>
      <c r="F4575" s="1" t="s">
        <v>3808</v>
      </c>
      <c r="G4575" s="1">
        <v>2</v>
      </c>
      <c r="H4575" s="1" t="s">
        <v>19</v>
      </c>
      <c r="I4575" s="1" t="s">
        <v>3790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3864</v>
      </c>
      <c r="D4576" s="1"/>
      <c r="E4576" s="1" t="s">
        <v>3867</v>
      </c>
      <c r="F4576" s="1" t="s">
        <v>3808</v>
      </c>
      <c r="G4576" s="1">
        <v>2</v>
      </c>
      <c r="H4576" s="1" t="s">
        <v>19</v>
      </c>
      <c r="I4576" s="1" t="s">
        <v>3790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3864</v>
      </c>
      <c r="D4577" s="1"/>
      <c r="E4577" s="1" t="s">
        <v>3868</v>
      </c>
      <c r="F4577" s="1" t="s">
        <v>3808</v>
      </c>
      <c r="G4577" s="1">
        <v>2</v>
      </c>
      <c r="H4577" s="1" t="s">
        <v>19</v>
      </c>
      <c r="I4577" s="1" t="s">
        <v>3790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3864</v>
      </c>
      <c r="D4578" s="1"/>
      <c r="E4578" s="1" t="s">
        <v>3869</v>
      </c>
      <c r="F4578" s="1" t="s">
        <v>3808</v>
      </c>
      <c r="G4578" s="1">
        <v>2</v>
      </c>
      <c r="H4578" s="1" t="s">
        <v>19</v>
      </c>
      <c r="I4578" s="1" t="s">
        <v>3790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3864</v>
      </c>
      <c r="D4579" s="1"/>
      <c r="E4579" s="1" t="s">
        <v>3870</v>
      </c>
      <c r="F4579" s="1" t="s">
        <v>3808</v>
      </c>
      <c r="G4579" s="1">
        <v>2</v>
      </c>
      <c r="H4579" s="1" t="s">
        <v>19</v>
      </c>
      <c r="I4579" s="1" t="s">
        <v>3790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3864</v>
      </c>
      <c r="D4580" s="1"/>
      <c r="E4580" s="1" t="s">
        <v>3871</v>
      </c>
      <c r="F4580" s="1" t="s">
        <v>3808</v>
      </c>
      <c r="G4580" s="1">
        <v>2</v>
      </c>
      <c r="H4580" s="1" t="s">
        <v>19</v>
      </c>
      <c r="I4580" s="1" t="s">
        <v>3790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3864</v>
      </c>
      <c r="D4581" s="1"/>
      <c r="E4581" s="1" t="s">
        <v>3872</v>
      </c>
      <c r="F4581" s="1" t="s">
        <v>3808</v>
      </c>
      <c r="G4581" s="1">
        <v>4</v>
      </c>
      <c r="H4581" s="1" t="s">
        <v>19</v>
      </c>
      <c r="I4581" s="1" t="s">
        <v>3790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3873</v>
      </c>
      <c r="D4582" s="1"/>
      <c r="E4582" s="1" t="s">
        <v>3874</v>
      </c>
      <c r="F4582" s="1" t="s">
        <v>3808</v>
      </c>
      <c r="G4582" s="1">
        <v>12</v>
      </c>
      <c r="H4582" s="1" t="s">
        <v>19</v>
      </c>
      <c r="I4582" s="1" t="s">
        <v>3790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3875</v>
      </c>
      <c r="D4583" s="1"/>
      <c r="E4583" s="1" t="s">
        <v>3878</v>
      </c>
      <c r="F4583" s="1" t="s">
        <v>3808</v>
      </c>
      <c r="G4583" s="1">
        <v>12</v>
      </c>
      <c r="H4583" s="1" t="s">
        <v>19</v>
      </c>
      <c r="I4583" s="1" t="s">
        <v>3790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3904</v>
      </c>
      <c r="D4584" s="1"/>
      <c r="E4584" s="1" t="s">
        <v>3905</v>
      </c>
      <c r="F4584" s="1" t="s">
        <v>3906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3904</v>
      </c>
      <c r="D4585" s="1"/>
      <c r="E4585" s="1" t="s">
        <v>3907</v>
      </c>
      <c r="F4585" s="1" t="s">
        <v>3908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3904</v>
      </c>
      <c r="D4586" s="1"/>
      <c r="E4586" s="1" t="s">
        <v>3907</v>
      </c>
      <c r="F4586" s="1" t="s">
        <v>3908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3779</v>
      </c>
      <c r="D4587" s="1"/>
      <c r="E4587" s="1" t="s">
        <v>3780</v>
      </c>
      <c r="F4587" s="1" t="s">
        <v>3781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3779</v>
      </c>
      <c r="D4588" s="1"/>
      <c r="E4588" s="1" t="s">
        <v>3780</v>
      </c>
      <c r="F4588" s="1" t="s">
        <v>3781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3783</v>
      </c>
      <c r="D4589" s="1"/>
      <c r="E4589" s="1" t="s">
        <v>3784</v>
      </c>
      <c r="F4589" s="1" t="s">
        <v>3781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3783</v>
      </c>
      <c r="D4590" s="1"/>
      <c r="E4590" s="1" t="s">
        <v>3784</v>
      </c>
      <c r="F4590" s="1" t="s">
        <v>3781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3913</v>
      </c>
      <c r="D4591" s="1"/>
      <c r="E4591" s="1" t="s">
        <v>3914</v>
      </c>
      <c r="F4591" s="1" t="s">
        <v>3915</v>
      </c>
      <c r="G4591" s="1">
        <v>30</v>
      </c>
      <c r="H4591" s="1" t="s">
        <v>19</v>
      </c>
      <c r="I4591" s="1" t="s">
        <v>3790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3913</v>
      </c>
      <c r="D4592" s="1"/>
      <c r="E4592" s="1" t="s">
        <v>3917</v>
      </c>
      <c r="F4592" s="1" t="s">
        <v>3918</v>
      </c>
      <c r="G4592" s="1">
        <v>30</v>
      </c>
      <c r="H4592" s="1" t="s">
        <v>19</v>
      </c>
      <c r="I4592" s="1" t="s">
        <v>3790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3913</v>
      </c>
      <c r="D4593" s="1"/>
      <c r="E4593" s="1" t="s">
        <v>3919</v>
      </c>
      <c r="F4593" s="1" t="s">
        <v>3920</v>
      </c>
      <c r="G4593" s="1">
        <v>40</v>
      </c>
      <c r="H4593" s="1" t="s">
        <v>19</v>
      </c>
      <c r="I4593" s="1" t="s">
        <v>3790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3913</v>
      </c>
      <c r="D4594" s="1"/>
      <c r="E4594" s="1" t="s">
        <v>3921</v>
      </c>
      <c r="F4594" s="1" t="s">
        <v>3922</v>
      </c>
      <c r="G4594" s="1">
        <v>10</v>
      </c>
      <c r="H4594" s="1" t="s">
        <v>19</v>
      </c>
      <c r="I4594" s="1" t="s">
        <v>3790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3913</v>
      </c>
      <c r="D4595" s="1"/>
      <c r="E4595" s="1" t="s">
        <v>3923</v>
      </c>
      <c r="F4595" s="1" t="s">
        <v>3924</v>
      </c>
      <c r="G4595" s="1">
        <v>10</v>
      </c>
      <c r="H4595" s="1" t="s">
        <v>19</v>
      </c>
      <c r="I4595" s="1" t="s">
        <v>3790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3913</v>
      </c>
      <c r="D4596" s="1"/>
      <c r="E4596" s="1" t="s">
        <v>3925</v>
      </c>
      <c r="F4596" s="1" t="s">
        <v>3926</v>
      </c>
      <c r="G4596" s="1">
        <v>22</v>
      </c>
      <c r="H4596" s="1" t="s">
        <v>19</v>
      </c>
      <c r="I4596" s="1" t="s">
        <v>3790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3913</v>
      </c>
      <c r="D4597" s="1"/>
      <c r="E4597" s="1" t="s">
        <v>3927</v>
      </c>
      <c r="F4597" s="1" t="s">
        <v>3928</v>
      </c>
      <c r="G4597" s="1">
        <v>2</v>
      </c>
      <c r="H4597" s="1" t="s">
        <v>19</v>
      </c>
      <c r="I4597" s="1" t="s">
        <v>3790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3773</v>
      </c>
      <c r="D4598" s="1"/>
      <c r="E4598" s="1" t="s">
        <v>3778</v>
      </c>
      <c r="F4598" s="1" t="s">
        <v>3777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3773</v>
      </c>
      <c r="D4599" s="1"/>
      <c r="E4599" s="1" t="s">
        <v>3778</v>
      </c>
      <c r="F4599" s="1" t="s">
        <v>3777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3864</v>
      </c>
      <c r="D4600" s="1"/>
      <c r="E4600" s="1" t="s">
        <v>4252</v>
      </c>
      <c r="F4600" s="1" t="s">
        <v>3804</v>
      </c>
      <c r="G4600" s="1">
        <v>2</v>
      </c>
      <c r="H4600" s="1" t="s">
        <v>19</v>
      </c>
      <c r="I4600" s="1" t="s">
        <v>3790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3930</v>
      </c>
      <c r="D4601" s="1"/>
      <c r="E4601" s="1" t="s">
        <v>3931</v>
      </c>
      <c r="F4601" s="1" t="s">
        <v>3781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3930</v>
      </c>
      <c r="D4602" s="1"/>
      <c r="E4602" s="1" t="s">
        <v>3931</v>
      </c>
      <c r="F4602" s="1" t="s">
        <v>3781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3933</v>
      </c>
      <c r="D4603" s="1"/>
      <c r="E4603" s="1" t="s">
        <v>3934</v>
      </c>
      <c r="F4603" s="1" t="s">
        <v>3781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3933</v>
      </c>
      <c r="D4604" s="1"/>
      <c r="E4604" s="1" t="s">
        <v>3934</v>
      </c>
      <c r="F4604" s="1" t="s">
        <v>3781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3935</v>
      </c>
      <c r="D4605" s="1"/>
      <c r="E4605" s="1" t="s">
        <v>3936</v>
      </c>
      <c r="F4605" s="1" t="s">
        <v>3937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3935</v>
      </c>
      <c r="D4606" s="1"/>
      <c r="E4606" s="1" t="s">
        <v>3938</v>
      </c>
      <c r="F4606" s="1" t="s">
        <v>3937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3935</v>
      </c>
      <c r="D4607" s="1"/>
      <c r="E4607" s="1" t="s">
        <v>3939</v>
      </c>
      <c r="F4607" s="1" t="s">
        <v>3937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3935</v>
      </c>
      <c r="D4608" s="1"/>
      <c r="E4608" s="1" t="s">
        <v>3940</v>
      </c>
      <c r="F4608" s="1" t="s">
        <v>3937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3935</v>
      </c>
      <c r="D4609" s="1"/>
      <c r="E4609" s="1" t="s">
        <v>3942</v>
      </c>
      <c r="F4609" s="1" t="s">
        <v>3937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3935</v>
      </c>
      <c r="D4610" s="1"/>
      <c r="E4610" s="1" t="s">
        <v>3943</v>
      </c>
      <c r="F4610" s="1" t="s">
        <v>3937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3935</v>
      </c>
      <c r="D4611" s="1"/>
      <c r="E4611" s="1" t="s">
        <v>3936</v>
      </c>
      <c r="F4611" s="1" t="s">
        <v>3937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3935</v>
      </c>
      <c r="D4612" s="1"/>
      <c r="E4612" s="1" t="s">
        <v>3938</v>
      </c>
      <c r="F4612" s="1" t="s">
        <v>3937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3935</v>
      </c>
      <c r="D4613" s="1"/>
      <c r="E4613" s="1" t="s">
        <v>3939</v>
      </c>
      <c r="F4613" s="1" t="s">
        <v>3937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3935</v>
      </c>
      <c r="D4614" s="1"/>
      <c r="E4614" s="1" t="s">
        <v>3940</v>
      </c>
      <c r="F4614" s="1" t="s">
        <v>3937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3935</v>
      </c>
      <c r="D4615" s="1"/>
      <c r="E4615" s="1" t="s">
        <v>3942</v>
      </c>
      <c r="F4615" s="1" t="s">
        <v>3937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3935</v>
      </c>
      <c r="D4616" s="1"/>
      <c r="E4616" s="1" t="s">
        <v>3943</v>
      </c>
      <c r="F4616" s="1" t="s">
        <v>3937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3971</v>
      </c>
      <c r="D4617" s="1"/>
      <c r="E4617" s="1" t="s">
        <v>3977</v>
      </c>
      <c r="F4617" s="1" t="s">
        <v>3978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3971</v>
      </c>
      <c r="D4618" s="1"/>
      <c r="E4618" s="1" t="s">
        <v>3977</v>
      </c>
      <c r="F4618" s="1" t="s">
        <v>3978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3979</v>
      </c>
      <c r="D4619" s="1"/>
      <c r="E4619" s="1" t="s">
        <v>3980</v>
      </c>
      <c r="F4619" s="1" t="s">
        <v>3981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3979</v>
      </c>
      <c r="D4620" s="1"/>
      <c r="E4620" s="1" t="s">
        <v>3980</v>
      </c>
      <c r="F4620" s="1" t="s">
        <v>3981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3812</v>
      </c>
      <c r="D4621" s="1"/>
      <c r="E4621" s="1" t="s">
        <v>3813</v>
      </c>
      <c r="F4621" s="1" t="s">
        <v>3814</v>
      </c>
      <c r="G4621" s="1">
        <v>3</v>
      </c>
      <c r="H4621" s="1" t="s">
        <v>19</v>
      </c>
      <c r="I4621" s="1" t="s">
        <v>3790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3875</v>
      </c>
      <c r="D4622" s="1"/>
      <c r="E4622" s="1" t="s">
        <v>3876</v>
      </c>
      <c r="F4622" s="1" t="s">
        <v>3804</v>
      </c>
      <c r="G4622" s="1">
        <v>2</v>
      </c>
      <c r="H4622" s="1" t="s">
        <v>19</v>
      </c>
      <c r="I4622" s="1" t="s">
        <v>3790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3875</v>
      </c>
      <c r="D4623" s="1"/>
      <c r="E4623" s="1" t="s">
        <v>3877</v>
      </c>
      <c r="F4623" s="1" t="s">
        <v>3806</v>
      </c>
      <c r="G4623" s="1">
        <v>2</v>
      </c>
      <c r="H4623" s="1" t="s">
        <v>19</v>
      </c>
      <c r="I4623" s="1" t="s">
        <v>3790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3837</v>
      </c>
      <c r="D4624" s="1"/>
      <c r="E4624" s="1" t="s">
        <v>3840</v>
      </c>
      <c r="F4624" s="1" t="s">
        <v>3818</v>
      </c>
      <c r="G4624" s="1">
        <v>2</v>
      </c>
      <c r="H4624" s="1" t="s">
        <v>19</v>
      </c>
      <c r="I4624" s="1" t="s">
        <v>3790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3837</v>
      </c>
      <c r="D4625" s="1"/>
      <c r="E4625" s="1" t="s">
        <v>3841</v>
      </c>
      <c r="F4625" s="1" t="s">
        <v>3820</v>
      </c>
      <c r="G4625" s="1">
        <v>2</v>
      </c>
      <c r="H4625" s="1" t="s">
        <v>19</v>
      </c>
      <c r="I4625" s="1" t="s">
        <v>3790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3842</v>
      </c>
      <c r="D4626" s="1"/>
      <c r="E4626" s="1" t="s">
        <v>3843</v>
      </c>
      <c r="F4626" s="1" t="s">
        <v>3844</v>
      </c>
      <c r="G4626" s="1">
        <v>2</v>
      </c>
      <c r="H4626" s="1" t="s">
        <v>19</v>
      </c>
      <c r="I4626" s="1" t="s">
        <v>3790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3828</v>
      </c>
      <c r="D4627" s="1"/>
      <c r="E4627" s="1" t="s">
        <v>3829</v>
      </c>
      <c r="F4627" s="1" t="s">
        <v>3814</v>
      </c>
      <c r="G4627" s="1">
        <v>4</v>
      </c>
      <c r="H4627" s="1" t="s">
        <v>19</v>
      </c>
      <c r="I4627" s="1" t="s">
        <v>3790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3832</v>
      </c>
      <c r="D4628" s="1"/>
      <c r="E4628" s="1" t="s">
        <v>3833</v>
      </c>
      <c r="F4628" s="1" t="s">
        <v>3814</v>
      </c>
      <c r="G4628" s="1">
        <v>2</v>
      </c>
      <c r="H4628" s="1" t="s">
        <v>19</v>
      </c>
      <c r="I4628" s="1" t="s">
        <v>3790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3832</v>
      </c>
      <c r="D4629" s="1"/>
      <c r="E4629" s="1" t="s">
        <v>3834</v>
      </c>
      <c r="F4629" s="1" t="s">
        <v>3816</v>
      </c>
      <c r="G4629" s="1">
        <v>2</v>
      </c>
      <c r="H4629" s="1" t="s">
        <v>19</v>
      </c>
      <c r="I4629" s="1" t="s">
        <v>3790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3832</v>
      </c>
      <c r="D4630" s="1"/>
      <c r="E4630" s="1" t="s">
        <v>3835</v>
      </c>
      <c r="F4630" s="1" t="s">
        <v>3818</v>
      </c>
      <c r="G4630" s="1">
        <v>2</v>
      </c>
      <c r="H4630" s="1" t="s">
        <v>19</v>
      </c>
      <c r="I4630" s="1" t="s">
        <v>3790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3837</v>
      </c>
      <c r="D4631" s="1"/>
      <c r="E4631" s="1" t="s">
        <v>3838</v>
      </c>
      <c r="F4631" s="1" t="s">
        <v>3814</v>
      </c>
      <c r="G4631" s="1">
        <v>2</v>
      </c>
      <c r="H4631" s="1" t="s">
        <v>19</v>
      </c>
      <c r="I4631" s="1" t="s">
        <v>3790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3812</v>
      </c>
      <c r="D4632" s="1"/>
      <c r="E4632" s="1" t="s">
        <v>3813</v>
      </c>
      <c r="F4632" s="1" t="s">
        <v>3814</v>
      </c>
      <c r="G4632" s="1">
        <v>1</v>
      </c>
      <c r="H4632" s="1" t="s">
        <v>19</v>
      </c>
      <c r="I4632" s="1" t="s">
        <v>3790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3832</v>
      </c>
      <c r="D4633" s="1"/>
      <c r="E4633" s="1" t="s">
        <v>3836</v>
      </c>
      <c r="F4633" s="1" t="s">
        <v>3820</v>
      </c>
      <c r="G4633" s="1">
        <v>2</v>
      </c>
      <c r="H4633" s="1" t="s">
        <v>19</v>
      </c>
      <c r="I4633" s="1" t="s">
        <v>3790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3842</v>
      </c>
      <c r="D4634" s="1"/>
      <c r="E4634" s="1" t="s">
        <v>3845</v>
      </c>
      <c r="F4634" s="1" t="s">
        <v>3846</v>
      </c>
      <c r="G4634" s="1">
        <v>4</v>
      </c>
      <c r="H4634" s="1" t="s">
        <v>19</v>
      </c>
      <c r="I4634" s="1" t="s">
        <v>3790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3864</v>
      </c>
      <c r="D4635" s="1"/>
      <c r="E4635" s="1" t="s">
        <v>3866</v>
      </c>
      <c r="F4635" s="1" t="s">
        <v>3806</v>
      </c>
      <c r="G4635" s="1">
        <v>2</v>
      </c>
      <c r="H4635" s="1" t="s">
        <v>19</v>
      </c>
      <c r="I4635" s="1" t="s">
        <v>3790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3849</v>
      </c>
      <c r="D4636" s="1"/>
      <c r="E4636" s="1" t="s">
        <v>3850</v>
      </c>
      <c r="F4636" s="1" t="s">
        <v>3814</v>
      </c>
      <c r="G4636" s="1">
        <v>4</v>
      </c>
      <c r="H4636" s="1" t="s">
        <v>19</v>
      </c>
      <c r="I4636" s="1" t="s">
        <v>3790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3849</v>
      </c>
      <c r="D4637" s="1"/>
      <c r="E4637" s="1" t="s">
        <v>3851</v>
      </c>
      <c r="F4637" s="1" t="s">
        <v>3816</v>
      </c>
      <c r="G4637" s="1">
        <v>2</v>
      </c>
      <c r="H4637" s="1" t="s">
        <v>19</v>
      </c>
      <c r="I4637" s="1" t="s">
        <v>3790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3849</v>
      </c>
      <c r="D4638" s="1"/>
      <c r="E4638" s="1" t="s">
        <v>3852</v>
      </c>
      <c r="F4638" s="1" t="s">
        <v>3818</v>
      </c>
      <c r="G4638" s="1">
        <v>2</v>
      </c>
      <c r="H4638" s="1" t="s">
        <v>19</v>
      </c>
      <c r="I4638" s="1" t="s">
        <v>3790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3849</v>
      </c>
      <c r="D4639" s="1"/>
      <c r="E4639" s="1" t="s">
        <v>3853</v>
      </c>
      <c r="F4639" s="1" t="s">
        <v>3820</v>
      </c>
      <c r="G4639" s="1">
        <v>2</v>
      </c>
      <c r="H4639" s="1" t="s">
        <v>19</v>
      </c>
      <c r="I4639" s="1" t="s">
        <v>3790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3849</v>
      </c>
      <c r="D4640" s="1"/>
      <c r="E4640" s="1" t="s">
        <v>3854</v>
      </c>
      <c r="F4640" s="1" t="s">
        <v>3844</v>
      </c>
      <c r="G4640" s="1">
        <v>2</v>
      </c>
      <c r="H4640" s="1" t="s">
        <v>19</v>
      </c>
      <c r="I4640" s="1" t="s">
        <v>3790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3802</v>
      </c>
      <c r="D4641" s="1"/>
      <c r="E4641" s="1" t="s">
        <v>3803</v>
      </c>
      <c r="F4641" s="1" t="s">
        <v>3804</v>
      </c>
      <c r="G4641" s="1">
        <v>2</v>
      </c>
      <c r="H4641" s="1" t="s">
        <v>19</v>
      </c>
      <c r="I4641" s="1" t="s">
        <v>3790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3802</v>
      </c>
      <c r="D4642" s="1"/>
      <c r="E4642" s="1" t="s">
        <v>3805</v>
      </c>
      <c r="F4642" s="1" t="s">
        <v>3806</v>
      </c>
      <c r="G4642" s="1">
        <v>2</v>
      </c>
      <c r="H4642" s="1" t="s">
        <v>19</v>
      </c>
      <c r="I4642" s="1" t="s">
        <v>3790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3873</v>
      </c>
      <c r="D4643" s="1"/>
      <c r="E4643" s="1" t="s">
        <v>4253</v>
      </c>
      <c r="F4643" s="1" t="s">
        <v>3814</v>
      </c>
      <c r="G4643" s="1">
        <v>4</v>
      </c>
      <c r="H4643" s="1" t="s">
        <v>19</v>
      </c>
      <c r="I4643" s="1" t="s">
        <v>3790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3873</v>
      </c>
      <c r="D4644" s="1"/>
      <c r="E4644" s="1" t="s">
        <v>4254</v>
      </c>
      <c r="F4644" s="1" t="s">
        <v>3816</v>
      </c>
      <c r="G4644" s="1">
        <v>4</v>
      </c>
      <c r="H4644" s="1" t="s">
        <v>19</v>
      </c>
      <c r="I4644" s="1" t="s">
        <v>3790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3875</v>
      </c>
      <c r="D4645" s="1"/>
      <c r="E4645" s="1" t="s">
        <v>3877</v>
      </c>
      <c r="F4645" s="1" t="s">
        <v>3879</v>
      </c>
      <c r="G4645" s="1">
        <v>8</v>
      </c>
      <c r="H4645" s="1" t="s">
        <v>19</v>
      </c>
      <c r="I4645" s="1" t="s">
        <v>3790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3858</v>
      </c>
      <c r="D4646" s="1"/>
      <c r="E4646" s="1" t="s">
        <v>4255</v>
      </c>
      <c r="F4646" s="1" t="s">
        <v>3804</v>
      </c>
      <c r="G4646" s="1">
        <v>2</v>
      </c>
      <c r="H4646" s="1" t="s">
        <v>19</v>
      </c>
      <c r="I4646" s="1" t="s">
        <v>3790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3873</v>
      </c>
      <c r="D4647" s="1"/>
      <c r="E4647" s="1" t="s">
        <v>4256</v>
      </c>
      <c r="F4647" s="1" t="s">
        <v>3804</v>
      </c>
      <c r="G4647" s="1">
        <v>2</v>
      </c>
      <c r="H4647" s="1" t="s">
        <v>19</v>
      </c>
      <c r="I4647" s="1" t="s">
        <v>3790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3873</v>
      </c>
      <c r="D4648" s="1"/>
      <c r="E4648" s="1" t="s">
        <v>4257</v>
      </c>
      <c r="F4648" s="1" t="s">
        <v>3806</v>
      </c>
      <c r="G4648" s="1">
        <v>2</v>
      </c>
      <c r="H4648" s="1" t="s">
        <v>19</v>
      </c>
      <c r="I4648" s="1" t="s">
        <v>3790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3779</v>
      </c>
      <c r="D4649" s="1"/>
      <c r="E4649" s="1" t="s">
        <v>3946</v>
      </c>
      <c r="F4649" s="1" t="s">
        <v>3947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3779</v>
      </c>
      <c r="D4650" s="1"/>
      <c r="E4650" s="1" t="s">
        <v>3946</v>
      </c>
      <c r="F4650" s="1" t="s">
        <v>3947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4258</v>
      </c>
      <c r="D4651" s="1"/>
      <c r="E4651" s="1"/>
      <c r="F4651" s="1" t="s">
        <v>4259</v>
      </c>
      <c r="G4651" s="1">
        <v>32</v>
      </c>
      <c r="H4651" s="1" t="s">
        <v>19</v>
      </c>
      <c r="I4651" s="1" t="s">
        <v>4086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4260</v>
      </c>
      <c r="D4652" s="1"/>
      <c r="E4652" s="1"/>
      <c r="F4652" s="1" t="s">
        <v>4261</v>
      </c>
      <c r="G4652" s="1">
        <v>1144</v>
      </c>
      <c r="H4652" s="1" t="s">
        <v>19</v>
      </c>
      <c r="I4652" s="1" t="s">
        <v>4086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3948</v>
      </c>
      <c r="D4653" s="1"/>
      <c r="E4653" s="1"/>
      <c r="F4653" s="1" t="s">
        <v>4262</v>
      </c>
      <c r="G4653" s="1">
        <v>264</v>
      </c>
      <c r="H4653" s="1" t="s">
        <v>19</v>
      </c>
      <c r="I4653" s="1" t="s">
        <v>4086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3948</v>
      </c>
      <c r="D4654" s="1"/>
      <c r="E4654" s="1"/>
      <c r="F4654" s="1" t="s">
        <v>4263</v>
      </c>
      <c r="G4654" s="1">
        <v>672</v>
      </c>
      <c r="H4654" s="1" t="s">
        <v>19</v>
      </c>
      <c r="I4654" s="1" t="s">
        <v>4086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3880</v>
      </c>
      <c r="D4655" s="1"/>
      <c r="E4655" s="1"/>
      <c r="F4655" s="1" t="s">
        <v>4264</v>
      </c>
      <c r="G4655" s="1">
        <v>8</v>
      </c>
      <c r="H4655" s="1" t="s">
        <v>19</v>
      </c>
      <c r="I4655" s="1" t="s">
        <v>4086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3909</v>
      </c>
      <c r="D4656" s="1"/>
      <c r="E4656" s="1"/>
      <c r="F4656" s="1" t="s">
        <v>4265</v>
      </c>
      <c r="G4656" s="1">
        <v>8</v>
      </c>
      <c r="H4656" s="1" t="s">
        <v>19</v>
      </c>
      <c r="I4656" s="1" t="s">
        <v>4086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4266</v>
      </c>
      <c r="D4657" s="1"/>
      <c r="E4657" s="1"/>
      <c r="F4657" s="1" t="s">
        <v>4267</v>
      </c>
      <c r="G4657" s="1">
        <v>4</v>
      </c>
      <c r="H4657" s="1" t="s">
        <v>19</v>
      </c>
      <c r="I4657" s="1" t="s">
        <v>4086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4266</v>
      </c>
      <c r="D4658" s="1"/>
      <c r="E4658" s="1"/>
      <c r="F4658" s="1" t="s">
        <v>4268</v>
      </c>
      <c r="G4658" s="1">
        <v>40</v>
      </c>
      <c r="H4658" s="1" t="s">
        <v>19</v>
      </c>
      <c r="I4658" s="1" t="s">
        <v>4086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3979</v>
      </c>
      <c r="D4659" s="1"/>
      <c r="E4659" s="1"/>
      <c r="F4659" s="1" t="s">
        <v>4269</v>
      </c>
      <c r="G4659" s="1">
        <v>50</v>
      </c>
      <c r="H4659" s="1" t="s">
        <v>1253</v>
      </c>
      <c r="I4659" s="1" t="s">
        <v>4086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3773</v>
      </c>
      <c r="D4660" s="1"/>
      <c r="E4660" s="1"/>
      <c r="F4660" s="1" t="s">
        <v>4242</v>
      </c>
      <c r="G4660" s="1">
        <v>32</v>
      </c>
      <c r="H4660" s="1" t="s">
        <v>19</v>
      </c>
      <c r="I4660" s="1" t="s">
        <v>4086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4270</v>
      </c>
      <c r="D4661" s="1"/>
      <c r="E4661" s="1"/>
      <c r="F4661" s="1" t="s">
        <v>4271</v>
      </c>
      <c r="G4661" s="1">
        <v>32</v>
      </c>
      <c r="H4661" s="1" t="s">
        <v>19</v>
      </c>
      <c r="I4661" s="1" t="s">
        <v>4086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4270</v>
      </c>
      <c r="D4662" s="1"/>
      <c r="E4662" s="1"/>
      <c r="F4662" s="1" t="s">
        <v>4272</v>
      </c>
      <c r="G4662" s="1">
        <v>16</v>
      </c>
      <c r="H4662" s="1" t="s">
        <v>19</v>
      </c>
      <c r="I4662" s="1" t="s">
        <v>4086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4270</v>
      </c>
      <c r="D4663" s="1"/>
      <c r="E4663" s="1"/>
      <c r="F4663" s="1" t="s">
        <v>4273</v>
      </c>
      <c r="G4663" s="1">
        <v>4</v>
      </c>
      <c r="H4663" s="1" t="s">
        <v>19</v>
      </c>
      <c r="I4663" s="1" t="s">
        <v>4086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4274</v>
      </c>
      <c r="D4664" s="1"/>
      <c r="E4664" s="1"/>
      <c r="F4664" s="1" t="s">
        <v>4275</v>
      </c>
      <c r="G4664" s="1">
        <v>72</v>
      </c>
      <c r="H4664" s="1" t="s">
        <v>19</v>
      </c>
      <c r="I4664" s="1" t="s">
        <v>4086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4144</v>
      </c>
      <c r="D4665" s="1"/>
      <c r="E4665" s="1"/>
      <c r="F4665" s="1" t="s">
        <v>4276</v>
      </c>
      <c r="G4665" s="1">
        <v>8</v>
      </c>
      <c r="H4665" s="1" t="s">
        <v>19</v>
      </c>
      <c r="I4665" s="1" t="s">
        <v>4086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4144</v>
      </c>
      <c r="D4666" s="1"/>
      <c r="E4666" s="1"/>
      <c r="F4666" s="1" t="s">
        <v>4277</v>
      </c>
      <c r="G4666" s="1">
        <v>8</v>
      </c>
      <c r="H4666" s="1" t="s">
        <v>19</v>
      </c>
      <c r="I4666" s="1" t="s">
        <v>4086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4144</v>
      </c>
      <c r="D4667" s="1"/>
      <c r="E4667" s="1"/>
      <c r="F4667" s="1" t="s">
        <v>4278</v>
      </c>
      <c r="G4667" s="1">
        <v>8</v>
      </c>
      <c r="H4667" s="1" t="s">
        <v>19</v>
      </c>
      <c r="I4667" s="1" t="s">
        <v>4086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4161</v>
      </c>
      <c r="D4668" s="1"/>
      <c r="E4668" s="1"/>
      <c r="F4668" s="1" t="s">
        <v>4279</v>
      </c>
      <c r="G4668" s="1">
        <v>360</v>
      </c>
      <c r="H4668" s="1" t="s">
        <v>19</v>
      </c>
      <c r="I4668" s="1" t="s">
        <v>4086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4166</v>
      </c>
      <c r="D4669" s="1"/>
      <c r="E4669" s="1"/>
      <c r="F4669" s="1" t="s">
        <v>4280</v>
      </c>
      <c r="G4669" s="1">
        <v>216</v>
      </c>
      <c r="H4669" s="1" t="s">
        <v>19</v>
      </c>
      <c r="I4669" s="1" t="s">
        <v>4086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4166</v>
      </c>
      <c r="D4670" s="1"/>
      <c r="E4670" s="1"/>
      <c r="F4670" s="1" t="s">
        <v>4281</v>
      </c>
      <c r="G4670" s="1">
        <v>216</v>
      </c>
      <c r="H4670" s="1" t="s">
        <v>19</v>
      </c>
      <c r="I4670" s="1" t="s">
        <v>4086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4170</v>
      </c>
      <c r="D4671" s="1"/>
      <c r="E4671" s="1"/>
      <c r="F4671" s="1" t="s">
        <v>4282</v>
      </c>
      <c r="G4671" s="1">
        <v>176</v>
      </c>
      <c r="H4671" s="1" t="s">
        <v>19</v>
      </c>
      <c r="I4671" s="1" t="s">
        <v>4086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4173</v>
      </c>
      <c r="D4672" s="1"/>
      <c r="E4672" s="1"/>
      <c r="F4672" s="1" t="s">
        <v>4283</v>
      </c>
      <c r="G4672" s="1">
        <v>160</v>
      </c>
      <c r="H4672" s="1" t="s">
        <v>19</v>
      </c>
      <c r="I4672" s="1" t="s">
        <v>4086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4176</v>
      </c>
      <c r="D4673" s="1"/>
      <c r="E4673" s="1"/>
      <c r="F4673" s="1" t="s">
        <v>4284</v>
      </c>
      <c r="G4673" s="1">
        <v>96</v>
      </c>
      <c r="H4673" s="1" t="s">
        <v>19</v>
      </c>
      <c r="I4673" s="1" t="s">
        <v>4086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4179</v>
      </c>
      <c r="D4674" s="1"/>
      <c r="E4674" s="1"/>
      <c r="F4674" s="1" t="s">
        <v>4285</v>
      </c>
      <c r="G4674" s="1">
        <v>96</v>
      </c>
      <c r="H4674" s="1" t="s">
        <v>19</v>
      </c>
      <c r="I4674" s="1" t="s">
        <v>4086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4182</v>
      </c>
      <c r="D4675" s="1"/>
      <c r="E4675" s="1"/>
      <c r="F4675" s="1" t="s">
        <v>4286</v>
      </c>
      <c r="G4675" s="1">
        <v>56</v>
      </c>
      <c r="H4675" s="1" t="s">
        <v>19</v>
      </c>
      <c r="I4675" s="1" t="s">
        <v>4086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4185</v>
      </c>
      <c r="D4676" s="1"/>
      <c r="E4676" s="1"/>
      <c r="F4676" s="1" t="s">
        <v>4287</v>
      </c>
      <c r="G4676" s="1">
        <v>128</v>
      </c>
      <c r="H4676" s="1" t="s">
        <v>19</v>
      </c>
      <c r="I4676" s="1" t="s">
        <v>4086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4188</v>
      </c>
      <c r="D4677" s="1"/>
      <c r="E4677" s="1"/>
      <c r="F4677" s="1" t="s">
        <v>4288</v>
      </c>
      <c r="G4677" s="1">
        <v>112</v>
      </c>
      <c r="H4677" s="1" t="s">
        <v>19</v>
      </c>
      <c r="I4677" s="1" t="s">
        <v>4086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4192</v>
      </c>
      <c r="D4678" s="1"/>
      <c r="E4678" s="1"/>
      <c r="F4678" s="1" t="s">
        <v>4289</v>
      </c>
      <c r="G4678" s="1">
        <v>96</v>
      </c>
      <c r="H4678" s="1" t="s">
        <v>19</v>
      </c>
      <c r="I4678" s="1" t="s">
        <v>4086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4196</v>
      </c>
      <c r="D4679" s="1"/>
      <c r="E4679" s="1"/>
      <c r="F4679" s="1" t="s">
        <v>4290</v>
      </c>
      <c r="G4679" s="1">
        <v>112</v>
      </c>
      <c r="H4679" s="1" t="s">
        <v>19</v>
      </c>
      <c r="I4679" s="1" t="s">
        <v>4086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4200</v>
      </c>
      <c r="D4680" s="1"/>
      <c r="E4680" s="1"/>
      <c r="F4680" s="1" t="s">
        <v>4291</v>
      </c>
      <c r="G4680" s="1">
        <v>112</v>
      </c>
      <c r="H4680" s="1" t="s">
        <v>19</v>
      </c>
      <c r="I4680" s="1" t="s">
        <v>4086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4204</v>
      </c>
      <c r="D4681" s="1"/>
      <c r="E4681" s="1"/>
      <c r="F4681" s="1" t="s">
        <v>4291</v>
      </c>
      <c r="G4681" s="1">
        <v>208</v>
      </c>
      <c r="H4681" s="1" t="s">
        <v>19</v>
      </c>
      <c r="I4681" s="1" t="s">
        <v>4086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4204</v>
      </c>
      <c r="D4682" s="1"/>
      <c r="E4682" s="1"/>
      <c r="F4682" s="1" t="s">
        <v>4292</v>
      </c>
      <c r="G4682" s="1">
        <v>208</v>
      </c>
      <c r="H4682" s="1" t="s">
        <v>19</v>
      </c>
      <c r="I4682" s="1" t="s">
        <v>4086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4207</v>
      </c>
      <c r="D4683" s="1"/>
      <c r="E4683" s="1"/>
      <c r="F4683" s="1" t="s">
        <v>4293</v>
      </c>
      <c r="G4683" s="1">
        <v>384</v>
      </c>
      <c r="H4683" s="1" t="s">
        <v>19</v>
      </c>
      <c r="I4683" s="1" t="s">
        <v>4086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4211</v>
      </c>
      <c r="D4684" s="1"/>
      <c r="E4684" s="1"/>
      <c r="F4684" s="1" t="s">
        <v>4294</v>
      </c>
      <c r="G4684" s="1">
        <v>8</v>
      </c>
      <c r="H4684" s="1" t="s">
        <v>19</v>
      </c>
      <c r="I4684" s="1" t="s">
        <v>4086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4234</v>
      </c>
      <c r="D4685" s="1"/>
      <c r="E4685" s="1"/>
      <c r="F4685" s="1" t="s">
        <v>4295</v>
      </c>
      <c r="G4685" s="1">
        <v>664</v>
      </c>
      <c r="H4685" s="1" t="s">
        <v>19</v>
      </c>
      <c r="I4685" s="1" t="s">
        <v>4086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3764</v>
      </c>
      <c r="D4686" s="1"/>
      <c r="E4686" s="1" t="s">
        <v>3765</v>
      </c>
      <c r="F4686" s="1" t="s">
        <v>3766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3764</v>
      </c>
      <c r="D4687" s="1"/>
      <c r="E4687" s="1" t="s">
        <v>3768</v>
      </c>
      <c r="F4687" s="1" t="s">
        <v>3766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3764</v>
      </c>
      <c r="D4688" s="1"/>
      <c r="E4688" s="1" t="s">
        <v>3765</v>
      </c>
      <c r="F4688" s="1" t="s">
        <v>3766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3764</v>
      </c>
      <c r="D4689" s="1"/>
      <c r="E4689" s="1" t="s">
        <v>3768</v>
      </c>
      <c r="F4689" s="1" t="s">
        <v>3766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3773</v>
      </c>
      <c r="D4690" s="1"/>
      <c r="E4690" s="1" t="s">
        <v>3776</v>
      </c>
      <c r="F4690" s="1" t="s">
        <v>3777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3773</v>
      </c>
      <c r="D4691" s="1"/>
      <c r="E4691" s="1" t="s">
        <v>3776</v>
      </c>
      <c r="F4691" s="1" t="s">
        <v>3777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3842</v>
      </c>
      <c r="D4692" s="1"/>
      <c r="E4692" s="1" t="s">
        <v>4296</v>
      </c>
      <c r="F4692" s="1" t="s">
        <v>3848</v>
      </c>
      <c r="G4692" s="1">
        <v>4</v>
      </c>
      <c r="H4692" s="1" t="s">
        <v>19</v>
      </c>
      <c r="I4692" s="1" t="s">
        <v>3790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3900</v>
      </c>
      <c r="D4693" s="1"/>
      <c r="E4693" s="1" t="s">
        <v>3901</v>
      </c>
      <c r="F4693" s="1" t="s">
        <v>3902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3900</v>
      </c>
      <c r="D4694" s="1"/>
      <c r="E4694" s="1" t="s">
        <v>3901</v>
      </c>
      <c r="F4694" s="1" t="s">
        <v>3902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3913</v>
      </c>
      <c r="D4695" s="1"/>
      <c r="E4695" s="1" t="s">
        <v>4297</v>
      </c>
      <c r="F4695" s="1" t="s">
        <v>3897</v>
      </c>
      <c r="G4695" s="1">
        <v>60</v>
      </c>
      <c r="H4695" s="1" t="s">
        <v>19</v>
      </c>
      <c r="I4695" s="1" t="s">
        <v>3790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3935</v>
      </c>
      <c r="D4696" s="1"/>
      <c r="E4696" s="1" t="s">
        <v>3941</v>
      </c>
      <c r="F4696" s="1" t="s">
        <v>3937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3935</v>
      </c>
      <c r="D4697" s="1"/>
      <c r="E4697" s="1" t="s">
        <v>3941</v>
      </c>
      <c r="F4697" s="1" t="s">
        <v>3937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3971</v>
      </c>
      <c r="D4698" s="1"/>
      <c r="E4698" s="1" t="s">
        <v>3972</v>
      </c>
      <c r="F4698" s="1" t="s">
        <v>3973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3971</v>
      </c>
      <c r="D4699" s="1"/>
      <c r="E4699" s="1" t="s">
        <v>3975</v>
      </c>
      <c r="F4699" s="1" t="s">
        <v>3976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3971</v>
      </c>
      <c r="D4700" s="1"/>
      <c r="E4700" s="1" t="s">
        <v>3975</v>
      </c>
      <c r="F4700" s="1" t="s">
        <v>3976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3979</v>
      </c>
      <c r="D4701" s="1"/>
      <c r="E4701" s="1" t="s">
        <v>3980</v>
      </c>
      <c r="F4701" s="1" t="s">
        <v>3982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3979</v>
      </c>
      <c r="D4702" s="1"/>
      <c r="E4702" s="1" t="s">
        <v>3980</v>
      </c>
      <c r="F4702" s="1" t="s">
        <v>3982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3904</v>
      </c>
      <c r="D4703" s="1"/>
      <c r="E4703" s="1" t="s">
        <v>3905</v>
      </c>
      <c r="F4703" s="1" t="s">
        <v>3906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3904</v>
      </c>
      <c r="D4704" s="1"/>
      <c r="E4704" s="1" t="s">
        <v>3905</v>
      </c>
      <c r="F4704" s="1" t="s">
        <v>3906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3812</v>
      </c>
      <c r="D4705" s="1"/>
      <c r="E4705" s="1" t="s">
        <v>3815</v>
      </c>
      <c r="F4705" s="1" t="s">
        <v>3816</v>
      </c>
      <c r="G4705" s="1">
        <v>4</v>
      </c>
      <c r="H4705" s="1" t="s">
        <v>19</v>
      </c>
      <c r="I4705" s="1" t="s">
        <v>3790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3812</v>
      </c>
      <c r="D4706" s="1"/>
      <c r="E4706" s="1" t="s">
        <v>3817</v>
      </c>
      <c r="F4706" s="1" t="s">
        <v>3818</v>
      </c>
      <c r="G4706" s="1">
        <v>4</v>
      </c>
      <c r="H4706" s="1" t="s">
        <v>19</v>
      </c>
      <c r="I4706" s="1" t="s">
        <v>3790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3821</v>
      </c>
      <c r="D4707" s="1"/>
      <c r="E4707" s="1" t="s">
        <v>3822</v>
      </c>
      <c r="F4707" s="1" t="s">
        <v>3804</v>
      </c>
      <c r="G4707" s="1">
        <v>2</v>
      </c>
      <c r="H4707" s="1" t="s">
        <v>19</v>
      </c>
      <c r="I4707" s="1" t="s">
        <v>3790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3821</v>
      </c>
      <c r="D4708" s="1"/>
      <c r="E4708" s="1" t="s">
        <v>3823</v>
      </c>
      <c r="F4708" s="1" t="s">
        <v>3806</v>
      </c>
      <c r="G4708" s="1">
        <v>2</v>
      </c>
      <c r="H4708" s="1" t="s">
        <v>19</v>
      </c>
      <c r="I4708" s="1" t="s">
        <v>3790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3828</v>
      </c>
      <c r="D4709" s="1"/>
      <c r="E4709" s="1" t="s">
        <v>3830</v>
      </c>
      <c r="F4709" s="1" t="s">
        <v>3816</v>
      </c>
      <c r="G4709" s="1">
        <v>4</v>
      </c>
      <c r="H4709" s="1" t="s">
        <v>19</v>
      </c>
      <c r="I4709" s="1" t="s">
        <v>3790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3837</v>
      </c>
      <c r="D4710" s="1"/>
      <c r="E4710" s="1" t="s">
        <v>3839</v>
      </c>
      <c r="F4710" s="1" t="s">
        <v>3816</v>
      </c>
      <c r="G4710" s="1">
        <v>4</v>
      </c>
      <c r="H4710" s="1" t="s">
        <v>19</v>
      </c>
      <c r="I4710" s="1" t="s">
        <v>3790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3858</v>
      </c>
      <c r="D4711" s="1"/>
      <c r="E4711" s="1" t="s">
        <v>3860</v>
      </c>
      <c r="F4711" s="1" t="s">
        <v>3806</v>
      </c>
      <c r="G4711" s="1">
        <v>2</v>
      </c>
      <c r="H4711" s="1" t="s">
        <v>19</v>
      </c>
      <c r="I4711" s="1" t="s">
        <v>3790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3971</v>
      </c>
      <c r="D4712" s="1"/>
      <c r="E4712" s="1" t="s">
        <v>3972</v>
      </c>
      <c r="F4712" s="1" t="s">
        <v>3973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3773</v>
      </c>
      <c r="D4713" s="1"/>
      <c r="E4713" s="1" t="s">
        <v>4002</v>
      </c>
      <c r="F4713" s="1" t="s">
        <v>4003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3773</v>
      </c>
      <c r="D4714" s="1"/>
      <c r="E4714" s="1" t="s">
        <v>4002</v>
      </c>
      <c r="F4714" s="1" t="s">
        <v>4003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4447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4448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3737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3737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3737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4330</v>
      </c>
      <c r="D4719" s="1"/>
      <c r="E4719" s="1"/>
      <c r="F4719" s="1" t="s">
        <v>4331</v>
      </c>
      <c r="G4719" s="1">
        <v>2</v>
      </c>
      <c r="H4719" s="1" t="s">
        <v>19</v>
      </c>
      <c r="I4719" s="1" t="s">
        <v>3737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4334</v>
      </c>
      <c r="G4720" s="1">
        <v>1</v>
      </c>
      <c r="H4720" s="1" t="s">
        <v>19</v>
      </c>
      <c r="I4720" s="1" t="s">
        <v>3737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4335</v>
      </c>
      <c r="G4721" s="1">
        <v>1</v>
      </c>
      <c r="H4721" s="1" t="s">
        <v>19</v>
      </c>
      <c r="I4721" s="1" t="s">
        <v>3737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4336</v>
      </c>
      <c r="G4722" s="1">
        <v>1</v>
      </c>
      <c r="H4722" s="1" t="s">
        <v>19</v>
      </c>
      <c r="I4722" s="1" t="s">
        <v>3737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4337</v>
      </c>
      <c r="G4723" s="1">
        <v>1</v>
      </c>
      <c r="H4723" s="1" t="s">
        <v>19</v>
      </c>
      <c r="I4723" s="1" t="s">
        <v>3737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4338</v>
      </c>
      <c r="G4724" s="1">
        <v>1</v>
      </c>
      <c r="H4724" s="1" t="s">
        <v>19</v>
      </c>
      <c r="I4724" s="1" t="s">
        <v>3737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4451</v>
      </c>
      <c r="D4725" s="1"/>
      <c r="E4725" s="1"/>
      <c r="F4725" s="1" t="s">
        <v>4452</v>
      </c>
      <c r="G4725" s="1">
        <v>1</v>
      </c>
      <c r="H4725" s="1" t="s">
        <v>19</v>
      </c>
      <c r="I4725" s="1" t="s">
        <v>3737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4453</v>
      </c>
      <c r="D4726" s="1"/>
      <c r="E4726" s="1"/>
      <c r="F4726" s="1" t="s">
        <v>4454</v>
      </c>
      <c r="G4726" s="1">
        <v>2</v>
      </c>
      <c r="H4726" s="1" t="s">
        <v>19</v>
      </c>
      <c r="I4726" s="1" t="s">
        <v>3737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4455</v>
      </c>
      <c r="D4727" s="1"/>
      <c r="E4727" s="1"/>
      <c r="F4727" s="1" t="s">
        <v>4456</v>
      </c>
      <c r="G4727" s="1">
        <v>2</v>
      </c>
      <c r="H4727" s="1" t="s">
        <v>19</v>
      </c>
      <c r="I4727" s="1" t="s">
        <v>3737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4345</v>
      </c>
      <c r="D4728" s="1"/>
      <c r="E4728" s="1" t="s">
        <v>2</v>
      </c>
      <c r="F4728" s="1" t="s">
        <v>4346</v>
      </c>
      <c r="G4728" s="1">
        <v>1</v>
      </c>
      <c r="H4728" s="1" t="s">
        <v>19</v>
      </c>
      <c r="I4728" s="1" t="s">
        <v>3737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4347</v>
      </c>
      <c r="D4729" s="1"/>
      <c r="E4729" s="1" t="s">
        <v>2</v>
      </c>
      <c r="F4729" s="1" t="s">
        <v>4348</v>
      </c>
      <c r="G4729" s="1">
        <v>1</v>
      </c>
      <c r="H4729" s="1" t="s">
        <v>19</v>
      </c>
      <c r="I4729" s="1" t="s">
        <v>3737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4347</v>
      </c>
      <c r="D4730" s="1"/>
      <c r="E4730" s="1" t="s">
        <v>43</v>
      </c>
      <c r="F4730" s="1" t="s">
        <v>4349</v>
      </c>
      <c r="G4730" s="1">
        <v>1</v>
      </c>
      <c r="H4730" s="1" t="s">
        <v>19</v>
      </c>
      <c r="I4730" s="1" t="s">
        <v>3737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4347</v>
      </c>
      <c r="D4731" s="1"/>
      <c r="E4731" s="1" t="s">
        <v>746</v>
      </c>
      <c r="F4731" s="1" t="s">
        <v>4350</v>
      </c>
      <c r="G4731" s="1">
        <v>1</v>
      </c>
      <c r="H4731" s="1" t="s">
        <v>19</v>
      </c>
      <c r="I4731" s="1" t="s">
        <v>3737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4351</v>
      </c>
      <c r="D4732" s="1"/>
      <c r="E4732" s="1" t="s">
        <v>2</v>
      </c>
      <c r="F4732" s="1" t="s">
        <v>4352</v>
      </c>
      <c r="G4732" s="1">
        <v>1</v>
      </c>
      <c r="H4732" s="1" t="s">
        <v>19</v>
      </c>
      <c r="I4732" s="1" t="s">
        <v>3737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4351</v>
      </c>
      <c r="D4733" s="1"/>
      <c r="E4733" s="1" t="s">
        <v>43</v>
      </c>
      <c r="F4733" s="1" t="s">
        <v>4353</v>
      </c>
      <c r="G4733" s="1">
        <v>1</v>
      </c>
      <c r="H4733" s="1" t="s">
        <v>19</v>
      </c>
      <c r="I4733" s="1" t="s">
        <v>3737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4373</v>
      </c>
      <c r="D4734" s="1"/>
      <c r="E4734" s="1"/>
      <c r="F4734" s="1" t="s">
        <v>4374</v>
      </c>
      <c r="G4734" s="1">
        <v>1</v>
      </c>
      <c r="H4734" s="1" t="s">
        <v>19</v>
      </c>
      <c r="I4734" s="1" t="s">
        <v>3737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4375</v>
      </c>
      <c r="D4735" s="1"/>
      <c r="E4735" s="1"/>
      <c r="F4735" s="1" t="s">
        <v>4376</v>
      </c>
      <c r="G4735" s="1">
        <v>1</v>
      </c>
      <c r="H4735" s="1" t="s">
        <v>19</v>
      </c>
      <c r="I4735" s="1" t="s">
        <v>3737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4383</v>
      </c>
      <c r="D4736" s="1"/>
      <c r="E4736" s="1" t="s">
        <v>2</v>
      </c>
      <c r="F4736" s="1" t="s">
        <v>4384</v>
      </c>
      <c r="G4736" s="1">
        <v>1</v>
      </c>
      <c r="H4736" s="1" t="s">
        <v>19</v>
      </c>
      <c r="I4736" s="1" t="s">
        <v>3737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4383</v>
      </c>
      <c r="D4737" s="1"/>
      <c r="E4737" s="1" t="s">
        <v>43</v>
      </c>
      <c r="F4737" s="1" t="s">
        <v>4457</v>
      </c>
      <c r="G4737" s="1">
        <v>1</v>
      </c>
      <c r="H4737" s="1" t="s">
        <v>19</v>
      </c>
      <c r="I4737" s="1" t="s">
        <v>3737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4383</v>
      </c>
      <c r="D4738" s="1"/>
      <c r="E4738" s="1" t="s">
        <v>746</v>
      </c>
      <c r="F4738" s="1" t="s">
        <v>4385</v>
      </c>
      <c r="G4738" s="1">
        <v>1</v>
      </c>
      <c r="H4738" s="1" t="s">
        <v>19</v>
      </c>
      <c r="I4738" s="1" t="s">
        <v>3737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4383</v>
      </c>
      <c r="D4739" s="1"/>
      <c r="E4739" s="1" t="s">
        <v>1101</v>
      </c>
      <c r="F4739" s="1" t="s">
        <v>4386</v>
      </c>
      <c r="G4739" s="1">
        <v>1</v>
      </c>
      <c r="H4739" s="1" t="s">
        <v>19</v>
      </c>
      <c r="I4739" s="1" t="s">
        <v>3737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4383</v>
      </c>
      <c r="D4740" s="1"/>
      <c r="E4740" s="1" t="s">
        <v>100</v>
      </c>
      <c r="F4740" s="1" t="s">
        <v>4387</v>
      </c>
      <c r="G4740" s="1">
        <v>1</v>
      </c>
      <c r="H4740" s="1" t="s">
        <v>19</v>
      </c>
      <c r="I4740" s="1" t="s">
        <v>3737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4383</v>
      </c>
      <c r="D4741" s="1"/>
      <c r="E4741" s="1" t="s">
        <v>173</v>
      </c>
      <c r="F4741" s="1" t="s">
        <v>4388</v>
      </c>
      <c r="G4741" s="1">
        <v>1</v>
      </c>
      <c r="H4741" s="1" t="s">
        <v>19</v>
      </c>
      <c r="I4741" s="1" t="s">
        <v>3737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4383</v>
      </c>
      <c r="D4742" s="1"/>
      <c r="E4742" s="1" t="s">
        <v>461</v>
      </c>
      <c r="F4742" s="1" t="s">
        <v>4389</v>
      </c>
      <c r="G4742" s="1">
        <v>1</v>
      </c>
      <c r="H4742" s="1" t="s">
        <v>19</v>
      </c>
      <c r="I4742" s="1" t="s">
        <v>3737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4383</v>
      </c>
      <c r="D4743" s="1"/>
      <c r="E4743" s="1" t="s">
        <v>464</v>
      </c>
      <c r="F4743" s="1" t="s">
        <v>4390</v>
      </c>
      <c r="G4743" s="1">
        <v>1</v>
      </c>
      <c r="H4743" s="1" t="s">
        <v>19</v>
      </c>
      <c r="I4743" s="1" t="s">
        <v>3737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4383</v>
      </c>
      <c r="D4744" s="1"/>
      <c r="E4744" s="1" t="s">
        <v>1102</v>
      </c>
      <c r="F4744" s="1" t="s">
        <v>4391</v>
      </c>
      <c r="G4744" s="1">
        <v>1</v>
      </c>
      <c r="H4744" s="1" t="s">
        <v>19</v>
      </c>
      <c r="I4744" s="1" t="s">
        <v>3737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4383</v>
      </c>
      <c r="D4745" s="1"/>
      <c r="E4745" s="1" t="s">
        <v>1103</v>
      </c>
      <c r="F4745" s="1" t="s">
        <v>4392</v>
      </c>
      <c r="G4745" s="1">
        <v>1</v>
      </c>
      <c r="H4745" s="1" t="s">
        <v>19</v>
      </c>
      <c r="I4745" s="1" t="s">
        <v>3737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4383</v>
      </c>
      <c r="D4746" s="1"/>
      <c r="E4746" s="1" t="s">
        <v>1105</v>
      </c>
      <c r="F4746" s="1" t="s">
        <v>4393</v>
      </c>
      <c r="G4746" s="1">
        <v>2</v>
      </c>
      <c r="H4746" s="1" t="s">
        <v>19</v>
      </c>
      <c r="I4746" s="1" t="s">
        <v>3737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4394</v>
      </c>
      <c r="D4747" s="1"/>
      <c r="E4747" s="1"/>
      <c r="F4747" s="1" t="s">
        <v>4395</v>
      </c>
      <c r="G4747" s="1">
        <v>1</v>
      </c>
      <c r="H4747" s="1" t="s">
        <v>19</v>
      </c>
      <c r="I4747" s="1" t="s">
        <v>3737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4398</v>
      </c>
      <c r="D4748" s="1"/>
      <c r="E4748" s="1"/>
      <c r="F4748" s="1" t="s">
        <v>4399</v>
      </c>
      <c r="G4748" s="1">
        <v>4</v>
      </c>
      <c r="H4748" s="1" t="s">
        <v>19</v>
      </c>
      <c r="I4748" s="1" t="s">
        <v>3737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5">
        <v>4347</v>
      </c>
      <c r="C4749" s="1" t="s">
        <v>4458</v>
      </c>
      <c r="D4749" s="1"/>
      <c r="E4749" s="1"/>
      <c r="F4749" s="1" t="s">
        <v>4459</v>
      </c>
      <c r="G4749" s="1">
        <v>2</v>
      </c>
      <c r="H4749" s="1" t="s">
        <v>19</v>
      </c>
      <c r="I4749" s="1" t="s">
        <v>3737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4458</v>
      </c>
      <c r="D4750" s="1"/>
      <c r="E4750" s="1"/>
      <c r="F4750" s="1" t="s">
        <v>4460</v>
      </c>
      <c r="G4750" s="1">
        <v>1</v>
      </c>
      <c r="H4750" s="1" t="s">
        <v>19</v>
      </c>
      <c r="I4750" s="1" t="s">
        <v>3737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5">
        <v>4349</v>
      </c>
      <c r="C4751" s="1" t="s">
        <v>4458</v>
      </c>
      <c r="D4751" s="1"/>
      <c r="E4751" s="1"/>
      <c r="F4751" s="1" t="s">
        <v>4461</v>
      </c>
      <c r="G4751" s="1">
        <v>1</v>
      </c>
      <c r="H4751" s="1" t="s">
        <v>19</v>
      </c>
      <c r="I4751" s="1" t="s">
        <v>3737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4462</v>
      </c>
      <c r="D4752" s="1"/>
      <c r="E4752" s="1"/>
      <c r="F4752" s="1" t="s">
        <v>4463</v>
      </c>
      <c r="G4752" s="1">
        <v>1</v>
      </c>
      <c r="H4752" s="1" t="s">
        <v>19</v>
      </c>
      <c r="I4752" s="1" t="s">
        <v>3737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5">
        <v>4351</v>
      </c>
      <c r="C4753" s="1" t="s">
        <v>4394</v>
      </c>
      <c r="D4753" s="1"/>
      <c r="E4753" s="1"/>
      <c r="F4753" s="1" t="s">
        <v>4464</v>
      </c>
      <c r="G4753" s="1">
        <v>1</v>
      </c>
      <c r="H4753" s="1" t="s">
        <v>19</v>
      </c>
      <c r="I4753" s="1" t="s">
        <v>3737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4394</v>
      </c>
      <c r="D4754" s="1"/>
      <c r="E4754" s="1"/>
      <c r="F4754" s="1" t="s">
        <v>4465</v>
      </c>
      <c r="G4754" s="1">
        <v>4</v>
      </c>
      <c r="H4754" s="1" t="s">
        <v>19</v>
      </c>
      <c r="I4754" s="1" t="s">
        <v>3737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5">
        <v>4353</v>
      </c>
      <c r="C4755" s="1" t="s">
        <v>4394</v>
      </c>
      <c r="D4755" s="1"/>
      <c r="E4755" s="1"/>
      <c r="F4755" s="1" t="s">
        <v>4466</v>
      </c>
      <c r="G4755" s="1">
        <v>2</v>
      </c>
      <c r="H4755" s="1" t="s">
        <v>19</v>
      </c>
      <c r="I4755" s="1" t="s">
        <v>3737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4462</v>
      </c>
      <c r="D4756" s="1"/>
      <c r="E4756" s="1"/>
      <c r="F4756" s="1" t="s">
        <v>4467</v>
      </c>
      <c r="G4756" s="1">
        <v>110</v>
      </c>
      <c r="H4756" s="1" t="s">
        <v>1253</v>
      </c>
      <c r="I4756" s="1" t="s">
        <v>3737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5">
        <v>4355</v>
      </c>
      <c r="C4757" s="1" t="s">
        <v>4468</v>
      </c>
      <c r="D4757" s="1"/>
      <c r="E4757" s="1"/>
      <c r="F4757" s="1" t="s">
        <v>4469</v>
      </c>
      <c r="G4757" s="1">
        <v>40</v>
      </c>
      <c r="H4757" s="1" t="s">
        <v>19</v>
      </c>
      <c r="I4757" s="1" t="s">
        <v>3737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4468</v>
      </c>
      <c r="D4758" s="1"/>
      <c r="E4758" s="1"/>
      <c r="F4758" s="1" t="s">
        <v>4470</v>
      </c>
      <c r="G4758" s="1">
        <v>40</v>
      </c>
      <c r="H4758" s="1" t="s">
        <v>19</v>
      </c>
      <c r="I4758" s="1" t="s">
        <v>3737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5">
        <v>4357</v>
      </c>
      <c r="C4759" s="1" t="s">
        <v>4468</v>
      </c>
      <c r="D4759" s="1"/>
      <c r="E4759" s="1"/>
      <c r="F4759" s="1" t="s">
        <v>4471</v>
      </c>
      <c r="G4759" s="1">
        <v>40</v>
      </c>
      <c r="H4759" s="1" t="s">
        <v>19</v>
      </c>
      <c r="I4759" s="1" t="s">
        <v>3737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4472</v>
      </c>
      <c r="D4760" s="1"/>
      <c r="E4760" s="1"/>
      <c r="F4760" s="1" t="s">
        <v>4473</v>
      </c>
      <c r="G4760" s="1">
        <v>1</v>
      </c>
      <c r="H4760" s="1" t="s">
        <v>19</v>
      </c>
      <c r="I4760" s="1" t="s">
        <v>3737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5">
        <v>4359</v>
      </c>
      <c r="C4761" s="1" t="s">
        <v>4474</v>
      </c>
      <c r="D4761" s="1"/>
      <c r="E4761" s="1"/>
      <c r="F4761" s="1" t="s">
        <v>4475</v>
      </c>
      <c r="G4761" s="1">
        <v>18</v>
      </c>
      <c r="H4761" s="1" t="s">
        <v>19</v>
      </c>
      <c r="I4761" s="1" t="s">
        <v>3737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4474</v>
      </c>
      <c r="D4762" s="1"/>
      <c r="E4762" s="1"/>
      <c r="F4762" s="1" t="s">
        <v>4476</v>
      </c>
      <c r="G4762" s="1">
        <v>18</v>
      </c>
      <c r="H4762" s="1" t="s">
        <v>19</v>
      </c>
      <c r="I4762" s="1" t="s">
        <v>3737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5">
        <v>4361</v>
      </c>
      <c r="C4763" s="1" t="s">
        <v>4474</v>
      </c>
      <c r="D4763" s="1"/>
      <c r="E4763" s="1"/>
      <c r="F4763" s="1" t="s">
        <v>4477</v>
      </c>
      <c r="G4763" s="1">
        <v>5</v>
      </c>
      <c r="H4763" s="1" t="s">
        <v>19</v>
      </c>
      <c r="I4763" s="1" t="s">
        <v>3737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4474</v>
      </c>
      <c r="D4764" s="1"/>
      <c r="E4764" s="1"/>
      <c r="F4764" s="1" t="s">
        <v>4478</v>
      </c>
      <c r="G4764" s="1">
        <v>3</v>
      </c>
      <c r="H4764" s="1" t="s">
        <v>19</v>
      </c>
      <c r="I4764" s="1" t="s">
        <v>3737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5">
        <v>4363</v>
      </c>
      <c r="C4765" s="1" t="s">
        <v>4474</v>
      </c>
      <c r="D4765" s="1"/>
      <c r="E4765" s="1"/>
      <c r="F4765" s="1" t="s">
        <v>4479</v>
      </c>
      <c r="G4765" s="1">
        <v>3</v>
      </c>
      <c r="H4765" s="1" t="s">
        <v>19</v>
      </c>
      <c r="I4765" s="1" t="s">
        <v>3737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4474</v>
      </c>
      <c r="D4766" s="1"/>
      <c r="E4766" s="1"/>
      <c r="F4766" s="1" t="s">
        <v>4480</v>
      </c>
      <c r="G4766" s="1">
        <v>10</v>
      </c>
      <c r="H4766" s="1" t="s">
        <v>19</v>
      </c>
      <c r="I4766" s="1" t="s">
        <v>3737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5">
        <v>4365</v>
      </c>
      <c r="C4767" s="1" t="s">
        <v>4474</v>
      </c>
      <c r="D4767" s="1"/>
      <c r="E4767" s="1"/>
      <c r="F4767" s="1" t="s">
        <v>4481</v>
      </c>
      <c r="G4767" s="1">
        <v>10</v>
      </c>
      <c r="H4767" s="1" t="s">
        <v>19</v>
      </c>
      <c r="I4767" s="1" t="s">
        <v>3737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4474</v>
      </c>
      <c r="D4768" s="1"/>
      <c r="E4768" s="1"/>
      <c r="F4768" s="1" t="s">
        <v>4482</v>
      </c>
      <c r="G4768" s="1">
        <v>2</v>
      </c>
      <c r="H4768" s="1" t="s">
        <v>19</v>
      </c>
      <c r="I4768" s="1" t="s">
        <v>3737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5">
        <v>4367</v>
      </c>
      <c r="C4769" s="1" t="s">
        <v>4474</v>
      </c>
      <c r="D4769" s="1"/>
      <c r="E4769" s="1"/>
      <c r="F4769" s="1" t="s">
        <v>4483</v>
      </c>
      <c r="G4769" s="1">
        <v>4</v>
      </c>
      <c r="H4769" s="1" t="s">
        <v>19</v>
      </c>
      <c r="I4769" s="1" t="s">
        <v>3737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4474</v>
      </c>
      <c r="D4770" s="1"/>
      <c r="E4770" s="1"/>
      <c r="F4770" s="1" t="s">
        <v>4484</v>
      </c>
      <c r="G4770" s="1">
        <v>2</v>
      </c>
      <c r="H4770" s="1" t="s">
        <v>19</v>
      </c>
      <c r="I4770" s="1" t="s">
        <v>3737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5">
        <v>4369</v>
      </c>
      <c r="C4771" s="1" t="s">
        <v>4474</v>
      </c>
      <c r="D4771" s="1"/>
      <c r="E4771" s="1"/>
      <c r="F4771" s="1" t="s">
        <v>4485</v>
      </c>
      <c r="G4771" s="1">
        <v>8</v>
      </c>
      <c r="H4771" s="1" t="s">
        <v>19</v>
      </c>
      <c r="I4771" s="1" t="s">
        <v>3737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4474</v>
      </c>
      <c r="D4772" s="1"/>
      <c r="E4772" s="1"/>
      <c r="F4772" s="1" t="s">
        <v>4486</v>
      </c>
      <c r="G4772" s="1">
        <v>1</v>
      </c>
      <c r="H4772" s="1" t="s">
        <v>19</v>
      </c>
      <c r="I4772" s="1" t="s">
        <v>3737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5">
        <v>4371</v>
      </c>
      <c r="C4773" s="1" t="s">
        <v>4474</v>
      </c>
      <c r="D4773" s="1"/>
      <c r="E4773" s="1"/>
      <c r="F4773" s="1" t="s">
        <v>4487</v>
      </c>
      <c r="G4773" s="1">
        <v>71</v>
      </c>
      <c r="H4773" s="1" t="s">
        <v>4488</v>
      </c>
      <c r="I4773" s="1" t="s">
        <v>3737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4474</v>
      </c>
      <c r="D4774" s="1"/>
      <c r="E4774" s="1"/>
      <c r="F4774" s="1" t="s">
        <v>4489</v>
      </c>
      <c r="G4774" s="1">
        <v>10</v>
      </c>
      <c r="H4774" s="1" t="s">
        <v>4488</v>
      </c>
      <c r="I4774" s="1" t="s">
        <v>3737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5">
        <v>4373</v>
      </c>
      <c r="C4775" s="1" t="s">
        <v>4474</v>
      </c>
      <c r="D4775" s="1"/>
      <c r="E4775" s="1"/>
      <c r="F4775" s="1" t="s">
        <v>4490</v>
      </c>
      <c r="G4775" s="1">
        <v>18</v>
      </c>
      <c r="H4775" s="1" t="s">
        <v>4488</v>
      </c>
      <c r="I4775" s="1" t="s">
        <v>3737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4474</v>
      </c>
      <c r="D4776" s="1"/>
      <c r="E4776" s="1"/>
      <c r="F4776" s="1" t="s">
        <v>4491</v>
      </c>
      <c r="G4776" s="1">
        <v>50</v>
      </c>
      <c r="H4776" s="1" t="s">
        <v>4488</v>
      </c>
      <c r="I4776" s="1" t="s">
        <v>3737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5">
        <v>4375</v>
      </c>
      <c r="C4777" s="1" t="s">
        <v>4474</v>
      </c>
      <c r="D4777" s="1"/>
      <c r="E4777" s="1"/>
      <c r="F4777" s="1" t="s">
        <v>4492</v>
      </c>
      <c r="G4777" s="1">
        <v>60</v>
      </c>
      <c r="H4777" s="1" t="s">
        <v>4488</v>
      </c>
      <c r="I4777" s="1" t="s">
        <v>3737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4474</v>
      </c>
      <c r="D4778" s="1"/>
      <c r="E4778" s="1"/>
      <c r="F4778" s="1" t="s">
        <v>4493</v>
      </c>
      <c r="G4778" s="1">
        <v>15</v>
      </c>
      <c r="H4778" s="1" t="s">
        <v>4488</v>
      </c>
      <c r="I4778" s="1" t="s">
        <v>3737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5">
        <v>4377</v>
      </c>
      <c r="C4779" s="1" t="s">
        <v>4474</v>
      </c>
      <c r="D4779" s="1"/>
      <c r="E4779" s="1"/>
      <c r="F4779" s="1" t="s">
        <v>4494</v>
      </c>
      <c r="G4779" s="1">
        <v>52</v>
      </c>
      <c r="H4779" s="1" t="s">
        <v>4488</v>
      </c>
      <c r="I4779" s="1" t="s">
        <v>3737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4474</v>
      </c>
      <c r="D4780" s="1"/>
      <c r="E4780" s="1"/>
      <c r="F4780" s="1" t="s">
        <v>4495</v>
      </c>
      <c r="G4780" s="1">
        <v>78</v>
      </c>
      <c r="H4780" s="1" t="s">
        <v>4488</v>
      </c>
      <c r="I4780" s="1" t="s">
        <v>3737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5">
        <v>4379</v>
      </c>
      <c r="C4781" s="1" t="s">
        <v>4474</v>
      </c>
      <c r="D4781" s="1"/>
      <c r="E4781" s="1"/>
      <c r="F4781" s="1" t="s">
        <v>4496</v>
      </c>
      <c r="G4781" s="1">
        <v>26</v>
      </c>
      <c r="H4781" s="1" t="s">
        <v>4488</v>
      </c>
      <c r="I4781" s="1" t="s">
        <v>3737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4474</v>
      </c>
      <c r="D4782" s="1"/>
      <c r="E4782" s="1"/>
      <c r="F4782" s="1" t="s">
        <v>4497</v>
      </c>
      <c r="G4782" s="1">
        <v>60</v>
      </c>
      <c r="H4782" s="1" t="s">
        <v>4488</v>
      </c>
      <c r="I4782" s="1" t="s">
        <v>3737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5">
        <v>4381</v>
      </c>
      <c r="C4783" s="1" t="s">
        <v>4474</v>
      </c>
      <c r="D4783" s="1"/>
      <c r="E4783" s="1"/>
      <c r="F4783" s="1" t="s">
        <v>4498</v>
      </c>
      <c r="G4783" s="1">
        <v>52</v>
      </c>
      <c r="H4783" s="1" t="s">
        <v>4488</v>
      </c>
      <c r="I4783" s="1" t="s">
        <v>3737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4474</v>
      </c>
      <c r="D4784" s="1"/>
      <c r="E4784" s="1"/>
      <c r="F4784" s="1" t="s">
        <v>4499</v>
      </c>
      <c r="G4784" s="1">
        <v>26</v>
      </c>
      <c r="H4784" s="1" t="s">
        <v>4488</v>
      </c>
      <c r="I4784" s="1" t="s">
        <v>3737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5">
        <v>4383</v>
      </c>
      <c r="C4785" s="1" t="s">
        <v>4474</v>
      </c>
      <c r="D4785" s="1"/>
      <c r="E4785" s="1"/>
      <c r="F4785" s="1" t="s">
        <v>4500</v>
      </c>
      <c r="G4785" s="1">
        <v>3</v>
      </c>
      <c r="H4785" s="1" t="s">
        <v>4488</v>
      </c>
      <c r="I4785" s="1" t="s">
        <v>3737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4474</v>
      </c>
      <c r="D4786" s="1"/>
      <c r="E4786" s="1"/>
      <c r="F4786" s="1" t="s">
        <v>4501</v>
      </c>
      <c r="G4786" s="1">
        <v>20</v>
      </c>
      <c r="H4786" s="1" t="s">
        <v>4488</v>
      </c>
      <c r="I4786" s="1" t="s">
        <v>3737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5">
        <v>4385</v>
      </c>
      <c r="C4787" s="1" t="s">
        <v>4474</v>
      </c>
      <c r="D4787" s="1"/>
      <c r="E4787" s="1"/>
      <c r="F4787" s="1" t="s">
        <v>4502</v>
      </c>
      <c r="G4787" s="1">
        <v>6</v>
      </c>
      <c r="H4787" s="1" t="s">
        <v>4488</v>
      </c>
      <c r="I4787" s="1" t="s">
        <v>3737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4474</v>
      </c>
      <c r="D4788" s="1"/>
      <c r="E4788" s="1"/>
      <c r="F4788" s="1" t="s">
        <v>4503</v>
      </c>
      <c r="G4788" s="1">
        <v>3</v>
      </c>
      <c r="H4788" s="1" t="s">
        <v>4488</v>
      </c>
      <c r="I4788" s="1" t="s">
        <v>3737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5">
        <v>4387</v>
      </c>
      <c r="C4789" s="1" t="s">
        <v>4474</v>
      </c>
      <c r="D4789" s="1"/>
      <c r="E4789" s="1"/>
      <c r="F4789" s="1" t="s">
        <v>4504</v>
      </c>
      <c r="G4789" s="1">
        <v>6</v>
      </c>
      <c r="H4789" s="1" t="s">
        <v>4488</v>
      </c>
      <c r="I4789" s="1" t="s">
        <v>3737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4474</v>
      </c>
      <c r="D4790" s="1"/>
      <c r="E4790" s="1"/>
      <c r="F4790" s="1" t="s">
        <v>4505</v>
      </c>
      <c r="G4790" s="1">
        <v>15</v>
      </c>
      <c r="H4790" s="1" t="s">
        <v>4488</v>
      </c>
      <c r="I4790" s="1" t="s">
        <v>3737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5">
        <v>4389</v>
      </c>
      <c r="C4791" s="1" t="s">
        <v>4474</v>
      </c>
      <c r="D4791" s="1"/>
      <c r="E4791" s="1"/>
      <c r="F4791" s="1" t="s">
        <v>4506</v>
      </c>
      <c r="G4791" s="1">
        <v>12</v>
      </c>
      <c r="H4791" s="1" t="s">
        <v>4488</v>
      </c>
      <c r="I4791" s="1" t="s">
        <v>3737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4462</v>
      </c>
      <c r="D4792" s="1"/>
      <c r="E4792" s="1"/>
      <c r="F4792" s="1" t="s">
        <v>4507</v>
      </c>
      <c r="G4792" s="1">
        <v>4</v>
      </c>
      <c r="H4792" s="1" t="s">
        <v>19</v>
      </c>
      <c r="I4792" s="1" t="s">
        <v>3737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5">
        <v>4391</v>
      </c>
      <c r="C4793" s="1" t="s">
        <v>4474</v>
      </c>
      <c r="D4793" s="1"/>
      <c r="E4793" s="1"/>
      <c r="F4793" s="1" t="s">
        <v>4508</v>
      </c>
      <c r="G4793" s="1">
        <v>1</v>
      </c>
      <c r="H4793" s="1" t="s">
        <v>19</v>
      </c>
      <c r="I4793" s="1" t="s">
        <v>4474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4474</v>
      </c>
      <c r="D4794" s="1"/>
      <c r="E4794" s="1"/>
      <c r="F4794" s="1" t="s">
        <v>4450</v>
      </c>
      <c r="G4794" s="1">
        <v>1</v>
      </c>
      <c r="H4794" s="1" t="s">
        <v>19</v>
      </c>
      <c r="I4794" s="1" t="s">
        <v>4474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5">
        <v>4393</v>
      </c>
      <c r="C4795" s="1" t="s">
        <v>4509</v>
      </c>
      <c r="D4795" s="1"/>
      <c r="E4795" s="1"/>
      <c r="F4795" s="1" t="s">
        <v>4510</v>
      </c>
      <c r="G4795" s="1">
        <v>1</v>
      </c>
      <c r="H4795" s="1" t="s">
        <v>19</v>
      </c>
      <c r="I4795" s="1" t="s">
        <v>4509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4509</v>
      </c>
      <c r="D4796" s="1"/>
      <c r="E4796" s="1"/>
      <c r="F4796" s="1" t="s">
        <v>4511</v>
      </c>
      <c r="G4796" s="1">
        <v>1</v>
      </c>
      <c r="H4796" s="1" t="s">
        <v>19</v>
      </c>
      <c r="I4796" s="1" t="s">
        <v>4509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11" t="s">
        <v>6</v>
      </c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11" t="s">
        <v>6</v>
      </c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4559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11" t="s">
        <v>6</v>
      </c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4559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11" t="s">
        <v>6</v>
      </c>
    </row>
    <row r="4832" spans="1:15" ht="20.25" x14ac:dyDescent="0.25">
      <c r="A4832" s="1">
        <v>5</v>
      </c>
      <c r="B4832" t="s">
        <v>4697</v>
      </c>
      <c r="C4832" s="1" t="s">
        <v>4560</v>
      </c>
      <c r="D4832" s="1"/>
      <c r="E4832" s="1"/>
      <c r="F4832" s="1" t="s">
        <v>4561</v>
      </c>
      <c r="G4832" s="1">
        <v>16</v>
      </c>
      <c r="H4832" s="1" t="s">
        <v>4562</v>
      </c>
      <c r="I4832" s="1" t="s">
        <v>4560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11" t="s">
        <v>6</v>
      </c>
    </row>
    <row r="4833" spans="1:15" ht="20.25" x14ac:dyDescent="0.25">
      <c r="A4833" s="1">
        <v>6</v>
      </c>
      <c r="B4833" t="s">
        <v>4698</v>
      </c>
      <c r="C4833" s="1" t="s">
        <v>4560</v>
      </c>
      <c r="D4833" s="1"/>
      <c r="E4833" s="1"/>
      <c r="F4833" s="1" t="s">
        <v>4563</v>
      </c>
      <c r="G4833" s="1">
        <v>8</v>
      </c>
      <c r="H4833" s="1" t="s">
        <v>4562</v>
      </c>
      <c r="I4833" s="1" t="s">
        <v>4560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11" t="s">
        <v>6</v>
      </c>
    </row>
    <row r="4834" spans="1:15" ht="20.25" x14ac:dyDescent="0.25">
      <c r="A4834" s="1">
        <v>7</v>
      </c>
      <c r="B4834" t="s">
        <v>4699</v>
      </c>
      <c r="C4834" s="1" t="s">
        <v>4560</v>
      </c>
      <c r="D4834" s="1"/>
      <c r="E4834" s="1"/>
      <c r="F4834" s="1" t="s">
        <v>4564</v>
      </c>
      <c r="G4834" s="1">
        <v>7</v>
      </c>
      <c r="H4834" s="1" t="s">
        <v>4562</v>
      </c>
      <c r="I4834" s="1" t="s">
        <v>4560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11" t="s">
        <v>6</v>
      </c>
    </row>
    <row r="4835" spans="1:15" ht="20.25" x14ac:dyDescent="0.25">
      <c r="A4835" s="1">
        <v>8</v>
      </c>
      <c r="B4835" t="s">
        <v>4700</v>
      </c>
      <c r="C4835" s="1" t="s">
        <v>4560</v>
      </c>
      <c r="D4835" s="1"/>
      <c r="E4835" s="1"/>
      <c r="F4835" s="1" t="s">
        <v>4565</v>
      </c>
      <c r="G4835" s="1">
        <v>3</v>
      </c>
      <c r="H4835" s="1" t="s">
        <v>4566</v>
      </c>
      <c r="I4835" s="1" t="s">
        <v>4560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11" t="s">
        <v>6</v>
      </c>
    </row>
    <row r="4836" spans="1:15" ht="20.25" x14ac:dyDescent="0.25">
      <c r="A4836" s="1">
        <v>9</v>
      </c>
      <c r="B4836" t="s">
        <v>4701</v>
      </c>
      <c r="C4836" s="1" t="s">
        <v>4560</v>
      </c>
      <c r="D4836" s="1"/>
      <c r="E4836" s="1"/>
      <c r="F4836" s="1" t="s">
        <v>4567</v>
      </c>
      <c r="G4836" s="1">
        <v>3</v>
      </c>
      <c r="H4836" s="1" t="s">
        <v>4566</v>
      </c>
      <c r="I4836" s="1" t="s">
        <v>4560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11" t="s">
        <v>6</v>
      </c>
    </row>
    <row r="4837" spans="1:15" ht="20.25" x14ac:dyDescent="0.25">
      <c r="A4837" s="1">
        <v>10</v>
      </c>
      <c r="B4837" t="s">
        <v>4702</v>
      </c>
      <c r="C4837" s="1" t="s">
        <v>4560</v>
      </c>
      <c r="D4837" s="1"/>
      <c r="E4837" s="1"/>
      <c r="F4837" s="1" t="s">
        <v>4568</v>
      </c>
      <c r="G4837" s="1">
        <v>2</v>
      </c>
      <c r="H4837" s="1" t="s">
        <v>4566</v>
      </c>
      <c r="I4837" s="1" t="s">
        <v>4560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11" t="s">
        <v>6</v>
      </c>
    </row>
    <row r="4838" spans="1:15" ht="20.25" x14ac:dyDescent="0.25">
      <c r="A4838" s="1">
        <v>11</v>
      </c>
      <c r="B4838" t="s">
        <v>4703</v>
      </c>
      <c r="C4838" s="1" t="s">
        <v>4560</v>
      </c>
      <c r="D4838" s="1"/>
      <c r="E4838" s="1"/>
      <c r="F4838" s="1" t="s">
        <v>4569</v>
      </c>
      <c r="G4838" s="1">
        <v>6</v>
      </c>
      <c r="H4838" s="1" t="s">
        <v>4566</v>
      </c>
      <c r="I4838" s="1" t="s">
        <v>4560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11" t="s">
        <v>6</v>
      </c>
    </row>
    <row r="4839" spans="1:15" ht="20.25" x14ac:dyDescent="0.25">
      <c r="A4839" s="1">
        <v>12</v>
      </c>
      <c r="B4839" t="s">
        <v>4704</v>
      </c>
      <c r="C4839" s="1" t="s">
        <v>4560</v>
      </c>
      <c r="D4839" s="1"/>
      <c r="E4839" s="1"/>
      <c r="F4839" s="1" t="s">
        <v>4570</v>
      </c>
      <c r="G4839" s="1">
        <v>2</v>
      </c>
      <c r="H4839" s="1" t="s">
        <v>4562</v>
      </c>
      <c r="I4839" s="1" t="s">
        <v>4560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11" t="s">
        <v>6</v>
      </c>
    </row>
    <row r="4840" spans="1:15" ht="20.25" x14ac:dyDescent="0.25">
      <c r="A4840" s="1">
        <v>13</v>
      </c>
      <c r="B4840" t="s">
        <v>4705</v>
      </c>
      <c r="C4840" s="1" t="s">
        <v>4560</v>
      </c>
      <c r="D4840" s="1"/>
      <c r="E4840" s="1"/>
      <c r="F4840" s="1" t="s">
        <v>4571</v>
      </c>
      <c r="G4840" s="1">
        <v>6</v>
      </c>
      <c r="H4840" s="1" t="s">
        <v>4562</v>
      </c>
      <c r="I4840" s="1" t="s">
        <v>4560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11" t="s">
        <v>6</v>
      </c>
    </row>
    <row r="4841" spans="1:15" ht="20.25" x14ac:dyDescent="0.25">
      <c r="A4841" s="1">
        <v>14</v>
      </c>
      <c r="B4841" t="s">
        <v>4706</v>
      </c>
      <c r="C4841" s="1" t="s">
        <v>4560</v>
      </c>
      <c r="D4841" s="1"/>
      <c r="E4841" s="1"/>
      <c r="F4841" s="1" t="s">
        <v>4572</v>
      </c>
      <c r="G4841" s="1">
        <v>2</v>
      </c>
      <c r="H4841" s="1" t="s">
        <v>4562</v>
      </c>
      <c r="I4841" s="1" t="s">
        <v>4560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11" t="s">
        <v>6</v>
      </c>
    </row>
    <row r="4842" spans="1:15" ht="20.25" x14ac:dyDescent="0.25">
      <c r="A4842" s="1">
        <v>15</v>
      </c>
      <c r="B4842" t="s">
        <v>4707</v>
      </c>
      <c r="C4842" s="1" t="s">
        <v>4560</v>
      </c>
      <c r="D4842" s="1"/>
      <c r="E4842" s="1"/>
      <c r="F4842" s="1" t="s">
        <v>4573</v>
      </c>
      <c r="G4842" s="1">
        <v>2</v>
      </c>
      <c r="H4842" s="1" t="s">
        <v>4562</v>
      </c>
      <c r="I4842" s="1" t="s">
        <v>4560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11" t="s">
        <v>6</v>
      </c>
    </row>
    <row r="4843" spans="1:15" ht="20.25" x14ac:dyDescent="0.25">
      <c r="A4843" s="1">
        <v>16</v>
      </c>
      <c r="B4843" t="s">
        <v>4708</v>
      </c>
      <c r="C4843" s="1" t="s">
        <v>4560</v>
      </c>
      <c r="D4843" s="1"/>
      <c r="E4843" s="1"/>
      <c r="F4843" s="1" t="s">
        <v>4574</v>
      </c>
      <c r="G4843" s="1">
        <v>4</v>
      </c>
      <c r="H4843" s="1" t="s">
        <v>4566</v>
      </c>
      <c r="I4843" s="1" t="s">
        <v>4560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11" t="s">
        <v>6</v>
      </c>
    </row>
    <row r="4844" spans="1:15" ht="20.25" x14ac:dyDescent="0.25">
      <c r="A4844" s="1">
        <v>17</v>
      </c>
      <c r="B4844" t="s">
        <v>4709</v>
      </c>
      <c r="C4844" s="1" t="s">
        <v>4560</v>
      </c>
      <c r="D4844" s="1"/>
      <c r="E4844" s="1"/>
      <c r="F4844" s="1" t="s">
        <v>4575</v>
      </c>
      <c r="G4844" s="1">
        <v>2</v>
      </c>
      <c r="H4844" s="1" t="s">
        <v>4566</v>
      </c>
      <c r="I4844" s="1" t="s">
        <v>4560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11" t="s">
        <v>6</v>
      </c>
    </row>
    <row r="4845" spans="1:15" ht="20.25" x14ac:dyDescent="0.25">
      <c r="A4845" s="1">
        <v>18</v>
      </c>
      <c r="B4845" t="s">
        <v>4710</v>
      </c>
      <c r="C4845" s="1" t="s">
        <v>4560</v>
      </c>
      <c r="D4845" s="1"/>
      <c r="E4845" s="1"/>
      <c r="F4845" s="1" t="s">
        <v>4576</v>
      </c>
      <c r="G4845" s="1">
        <v>3</v>
      </c>
      <c r="H4845" s="1" t="s">
        <v>4566</v>
      </c>
      <c r="I4845" s="1" t="s">
        <v>4560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11" t="s">
        <v>6</v>
      </c>
    </row>
    <row r="4846" spans="1:15" ht="20.25" x14ac:dyDescent="0.25">
      <c r="A4846" s="1">
        <v>19</v>
      </c>
      <c r="B4846" t="s">
        <v>4711</v>
      </c>
      <c r="C4846" s="1" t="s">
        <v>4560</v>
      </c>
      <c r="D4846" s="1"/>
      <c r="E4846" s="1"/>
      <c r="F4846" s="1" t="s">
        <v>4577</v>
      </c>
      <c r="G4846" s="1">
        <v>5</v>
      </c>
      <c r="H4846" s="1" t="s">
        <v>4566</v>
      </c>
      <c r="I4846" s="1" t="s">
        <v>4560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11" t="s">
        <v>6</v>
      </c>
    </row>
    <row r="4847" spans="1:15" ht="20.25" x14ac:dyDescent="0.25">
      <c r="A4847" s="1">
        <v>20</v>
      </c>
      <c r="B4847" t="s">
        <v>4712</v>
      </c>
      <c r="C4847" s="1" t="s">
        <v>4560</v>
      </c>
      <c r="D4847" s="1"/>
      <c r="E4847" s="1"/>
      <c r="F4847" s="1" t="s">
        <v>4578</v>
      </c>
      <c r="G4847" s="1">
        <v>7</v>
      </c>
      <c r="H4847" s="1" t="s">
        <v>4566</v>
      </c>
      <c r="I4847" s="1" t="s">
        <v>4560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11" t="s">
        <v>6</v>
      </c>
    </row>
    <row r="4848" spans="1:15" ht="20.25" x14ac:dyDescent="0.25">
      <c r="A4848" s="1">
        <v>21</v>
      </c>
      <c r="B4848" t="s">
        <v>4713</v>
      </c>
      <c r="C4848" s="1" t="s">
        <v>4560</v>
      </c>
      <c r="D4848" s="1"/>
      <c r="E4848" s="1"/>
      <c r="F4848" s="1" t="s">
        <v>4579</v>
      </c>
      <c r="G4848" s="1">
        <v>32</v>
      </c>
      <c r="H4848" s="1" t="s">
        <v>4562</v>
      </c>
      <c r="I4848" s="1" t="s">
        <v>4560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11" t="s">
        <v>6</v>
      </c>
    </row>
    <row r="4849" spans="1:15" ht="20.25" x14ac:dyDescent="0.25">
      <c r="A4849" s="1">
        <v>22</v>
      </c>
      <c r="B4849" t="s">
        <v>4714</v>
      </c>
      <c r="C4849" s="1" t="s">
        <v>4560</v>
      </c>
      <c r="D4849" s="1"/>
      <c r="E4849" s="1"/>
      <c r="F4849" s="1" t="s">
        <v>4580</v>
      </c>
      <c r="G4849" s="1">
        <v>16</v>
      </c>
      <c r="H4849" s="1" t="s">
        <v>4562</v>
      </c>
      <c r="I4849" s="1" t="s">
        <v>4560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11" t="s">
        <v>6</v>
      </c>
    </row>
    <row r="4850" spans="1:15" ht="20.25" x14ac:dyDescent="0.25">
      <c r="A4850" s="1">
        <v>23</v>
      </c>
      <c r="B4850" t="s">
        <v>4715</v>
      </c>
      <c r="C4850" s="1" t="s">
        <v>4560</v>
      </c>
      <c r="D4850" s="1"/>
      <c r="E4850" s="1"/>
      <c r="F4850" s="1" t="s">
        <v>4581</v>
      </c>
      <c r="G4850" s="1">
        <v>14</v>
      </c>
      <c r="H4850" s="1" t="s">
        <v>4566</v>
      </c>
      <c r="I4850" s="1" t="s">
        <v>4560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11" t="s">
        <v>6</v>
      </c>
    </row>
    <row r="4851" spans="1:15" ht="20.25" x14ac:dyDescent="0.25">
      <c r="A4851" s="1">
        <v>24</v>
      </c>
      <c r="B4851" t="s">
        <v>4716</v>
      </c>
      <c r="C4851" s="1" t="s">
        <v>4582</v>
      </c>
      <c r="D4851" s="1"/>
      <c r="E4851" s="1"/>
      <c r="F4851" s="1" t="s">
        <v>4583</v>
      </c>
      <c r="G4851" s="1">
        <v>16</v>
      </c>
      <c r="H4851" s="1" t="s">
        <v>4562</v>
      </c>
      <c r="I4851" s="1" t="s">
        <v>4582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11" t="s">
        <v>6</v>
      </c>
    </row>
    <row r="4852" spans="1:15" ht="20.25" x14ac:dyDescent="0.25">
      <c r="A4852" s="1">
        <v>25</v>
      </c>
      <c r="B4852" t="s">
        <v>4717</v>
      </c>
      <c r="C4852" s="1" t="s">
        <v>4582</v>
      </c>
      <c r="D4852" s="1"/>
      <c r="E4852" s="1"/>
      <c r="F4852" s="1" t="s">
        <v>4584</v>
      </c>
      <c r="G4852" s="1">
        <v>8</v>
      </c>
      <c r="H4852" s="1" t="s">
        <v>4562</v>
      </c>
      <c r="I4852" s="1" t="s">
        <v>4582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11" t="s">
        <v>6</v>
      </c>
    </row>
    <row r="4853" spans="1:15" ht="20.25" x14ac:dyDescent="0.25">
      <c r="A4853" s="1">
        <v>26</v>
      </c>
      <c r="B4853" t="s">
        <v>4718</v>
      </c>
      <c r="C4853" s="1" t="s">
        <v>4582</v>
      </c>
      <c r="D4853" s="1"/>
      <c r="E4853" s="1"/>
      <c r="F4853" s="1" t="s">
        <v>4585</v>
      </c>
      <c r="G4853" s="1">
        <v>7</v>
      </c>
      <c r="H4853" s="1" t="s">
        <v>4562</v>
      </c>
      <c r="I4853" s="1" t="s">
        <v>4582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11" t="s">
        <v>6</v>
      </c>
    </row>
    <row r="4854" spans="1:15" ht="20.25" x14ac:dyDescent="0.25">
      <c r="A4854" s="1">
        <v>27</v>
      </c>
      <c r="B4854" t="s">
        <v>4719</v>
      </c>
      <c r="C4854" s="1" t="s">
        <v>4582</v>
      </c>
      <c r="D4854" s="1"/>
      <c r="E4854" s="1"/>
      <c r="F4854" s="1" t="s">
        <v>4586</v>
      </c>
      <c r="G4854" s="1">
        <v>3</v>
      </c>
      <c r="H4854" s="1" t="s">
        <v>4566</v>
      </c>
      <c r="I4854" s="1" t="s">
        <v>4582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11" t="s">
        <v>6</v>
      </c>
    </row>
    <row r="4855" spans="1:15" ht="20.25" x14ac:dyDescent="0.25">
      <c r="A4855" s="1">
        <v>28</v>
      </c>
      <c r="B4855" t="s">
        <v>4720</v>
      </c>
      <c r="C4855" s="1" t="s">
        <v>4582</v>
      </c>
      <c r="D4855" s="1"/>
      <c r="E4855" s="1"/>
      <c r="F4855" s="1" t="s">
        <v>4587</v>
      </c>
      <c r="G4855" s="1">
        <v>3</v>
      </c>
      <c r="H4855" s="1" t="s">
        <v>4566</v>
      </c>
      <c r="I4855" s="1" t="s">
        <v>4582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11" t="s">
        <v>6</v>
      </c>
    </row>
    <row r="4856" spans="1:15" ht="20.25" x14ac:dyDescent="0.25">
      <c r="A4856" s="1">
        <v>29</v>
      </c>
      <c r="B4856" t="s">
        <v>4721</v>
      </c>
      <c r="C4856" s="1" t="s">
        <v>4582</v>
      </c>
      <c r="D4856" s="1"/>
      <c r="E4856" s="1"/>
      <c r="F4856" s="1" t="s">
        <v>4588</v>
      </c>
      <c r="G4856" s="1">
        <v>2</v>
      </c>
      <c r="H4856" s="1" t="s">
        <v>4566</v>
      </c>
      <c r="I4856" s="1" t="s">
        <v>4582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11" t="s">
        <v>6</v>
      </c>
    </row>
    <row r="4857" spans="1:15" ht="20.25" x14ac:dyDescent="0.25">
      <c r="A4857" s="1">
        <v>30</v>
      </c>
      <c r="B4857" t="s">
        <v>4722</v>
      </c>
      <c r="C4857" s="1" t="s">
        <v>4582</v>
      </c>
      <c r="D4857" s="1"/>
      <c r="E4857" s="1"/>
      <c r="F4857" s="1" t="s">
        <v>4589</v>
      </c>
      <c r="G4857" s="1">
        <v>6</v>
      </c>
      <c r="H4857" s="1" t="s">
        <v>4566</v>
      </c>
      <c r="I4857" s="1" t="s">
        <v>4582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11" t="s">
        <v>6</v>
      </c>
    </row>
    <row r="4858" spans="1:15" ht="20.25" x14ac:dyDescent="0.25">
      <c r="A4858" s="1">
        <v>31</v>
      </c>
      <c r="B4858" t="s">
        <v>4723</v>
      </c>
      <c r="C4858" s="1" t="s">
        <v>4582</v>
      </c>
      <c r="D4858" s="1"/>
      <c r="E4858" s="1"/>
      <c r="F4858" s="1" t="s">
        <v>4590</v>
      </c>
      <c r="G4858" s="1">
        <v>2</v>
      </c>
      <c r="H4858" s="1" t="s">
        <v>4562</v>
      </c>
      <c r="I4858" s="1" t="s">
        <v>4582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11" t="s">
        <v>6</v>
      </c>
    </row>
    <row r="4859" spans="1:15" ht="20.25" x14ac:dyDescent="0.25">
      <c r="A4859" s="1">
        <v>32</v>
      </c>
      <c r="B4859" t="s">
        <v>4724</v>
      </c>
      <c r="C4859" s="1" t="s">
        <v>4582</v>
      </c>
      <c r="D4859" s="1"/>
      <c r="E4859" s="1"/>
      <c r="F4859" s="1" t="s">
        <v>4591</v>
      </c>
      <c r="G4859" s="1">
        <v>6</v>
      </c>
      <c r="H4859" s="1" t="s">
        <v>4562</v>
      </c>
      <c r="I4859" s="1" t="s">
        <v>4582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11" t="s">
        <v>6</v>
      </c>
    </row>
    <row r="4860" spans="1:15" ht="20.25" x14ac:dyDescent="0.25">
      <c r="A4860" s="1">
        <v>33</v>
      </c>
      <c r="B4860" t="s">
        <v>4725</v>
      </c>
      <c r="C4860" s="1" t="s">
        <v>4582</v>
      </c>
      <c r="D4860" s="1"/>
      <c r="E4860" s="1"/>
      <c r="F4860" s="1" t="s">
        <v>4592</v>
      </c>
      <c r="G4860" s="1">
        <v>2</v>
      </c>
      <c r="H4860" s="1" t="s">
        <v>4562</v>
      </c>
      <c r="I4860" s="1" t="s">
        <v>4582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11" t="s">
        <v>6</v>
      </c>
    </row>
    <row r="4861" spans="1:15" ht="20.25" x14ac:dyDescent="0.25">
      <c r="A4861" s="1">
        <v>34</v>
      </c>
      <c r="B4861" t="s">
        <v>4726</v>
      </c>
      <c r="C4861" s="1" t="s">
        <v>4582</v>
      </c>
      <c r="D4861" s="1"/>
      <c r="E4861" s="1"/>
      <c r="F4861" s="1" t="s">
        <v>4593</v>
      </c>
      <c r="G4861" s="1">
        <v>2</v>
      </c>
      <c r="H4861" s="1" t="s">
        <v>4562</v>
      </c>
      <c r="I4861" s="1" t="s">
        <v>4582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11" t="s">
        <v>6</v>
      </c>
    </row>
    <row r="4862" spans="1:15" ht="20.25" x14ac:dyDescent="0.25">
      <c r="A4862" s="1">
        <v>35</v>
      </c>
      <c r="B4862" t="s">
        <v>4727</v>
      </c>
      <c r="C4862" s="1" t="s">
        <v>4582</v>
      </c>
      <c r="D4862" s="1"/>
      <c r="E4862" s="1"/>
      <c r="F4862" s="1" t="s">
        <v>4594</v>
      </c>
      <c r="G4862" s="1">
        <v>4</v>
      </c>
      <c r="H4862" s="1" t="s">
        <v>4566</v>
      </c>
      <c r="I4862" s="1" t="s">
        <v>4582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11" t="s">
        <v>6</v>
      </c>
    </row>
    <row r="4863" spans="1:15" ht="20.25" x14ac:dyDescent="0.25">
      <c r="A4863" s="1">
        <v>36</v>
      </c>
      <c r="B4863" t="s">
        <v>4728</v>
      </c>
      <c r="C4863" s="1" t="s">
        <v>4582</v>
      </c>
      <c r="D4863" s="1"/>
      <c r="E4863" s="1"/>
      <c r="F4863" s="1" t="s">
        <v>4595</v>
      </c>
      <c r="G4863" s="1">
        <v>2</v>
      </c>
      <c r="H4863" s="1" t="s">
        <v>4566</v>
      </c>
      <c r="I4863" s="1" t="s">
        <v>4582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11" t="s">
        <v>6</v>
      </c>
    </row>
    <row r="4864" spans="1:15" ht="20.25" x14ac:dyDescent="0.25">
      <c r="A4864" s="1">
        <v>37</v>
      </c>
      <c r="B4864" t="s">
        <v>4729</v>
      </c>
      <c r="C4864" s="1" t="s">
        <v>4582</v>
      </c>
      <c r="D4864" s="1"/>
      <c r="E4864" s="1"/>
      <c r="F4864" s="1" t="s">
        <v>4596</v>
      </c>
      <c r="G4864" s="1">
        <v>3</v>
      </c>
      <c r="H4864" s="1" t="s">
        <v>4566</v>
      </c>
      <c r="I4864" s="1" t="s">
        <v>4582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11" t="s">
        <v>6</v>
      </c>
    </row>
    <row r="4865" spans="1:15" ht="20.25" x14ac:dyDescent="0.25">
      <c r="A4865" s="1">
        <v>38</v>
      </c>
      <c r="B4865" t="s">
        <v>4730</v>
      </c>
      <c r="C4865" s="1" t="s">
        <v>4582</v>
      </c>
      <c r="D4865" s="1"/>
      <c r="E4865" s="1"/>
      <c r="F4865" s="1" t="s">
        <v>4597</v>
      </c>
      <c r="G4865" s="1">
        <v>5</v>
      </c>
      <c r="H4865" s="1" t="s">
        <v>4566</v>
      </c>
      <c r="I4865" s="1" t="s">
        <v>4582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11" t="s">
        <v>6</v>
      </c>
    </row>
    <row r="4866" spans="1:15" ht="20.25" x14ac:dyDescent="0.25">
      <c r="A4866" s="1">
        <v>39</v>
      </c>
      <c r="B4866" t="s">
        <v>4731</v>
      </c>
      <c r="C4866" s="1" t="s">
        <v>4582</v>
      </c>
      <c r="D4866" s="1"/>
      <c r="E4866" s="1"/>
      <c r="F4866" s="1" t="s">
        <v>4598</v>
      </c>
      <c r="G4866" s="1">
        <v>7</v>
      </c>
      <c r="H4866" s="1" t="s">
        <v>4566</v>
      </c>
      <c r="I4866" s="1" t="s">
        <v>4582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11" t="s">
        <v>6</v>
      </c>
    </row>
    <row r="4867" spans="1:15" ht="20.25" x14ac:dyDescent="0.25">
      <c r="A4867" s="1">
        <v>40</v>
      </c>
      <c r="B4867" t="s">
        <v>4732</v>
      </c>
      <c r="C4867" s="1" t="s">
        <v>4582</v>
      </c>
      <c r="D4867" s="1"/>
      <c r="E4867" s="1"/>
      <c r="F4867" s="1" t="s">
        <v>4599</v>
      </c>
      <c r="G4867" s="1">
        <v>32</v>
      </c>
      <c r="H4867" s="1" t="s">
        <v>4562</v>
      </c>
      <c r="I4867" s="1" t="s">
        <v>4582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11" t="s">
        <v>6</v>
      </c>
    </row>
    <row r="4868" spans="1:15" ht="20.25" x14ac:dyDescent="0.25">
      <c r="A4868" s="1">
        <v>41</v>
      </c>
      <c r="B4868" t="s">
        <v>4733</v>
      </c>
      <c r="C4868" s="1" t="s">
        <v>4582</v>
      </c>
      <c r="D4868" s="1"/>
      <c r="E4868" s="1"/>
      <c r="F4868" s="1" t="s">
        <v>4600</v>
      </c>
      <c r="G4868" s="1">
        <v>16</v>
      </c>
      <c r="H4868" s="1" t="s">
        <v>4562</v>
      </c>
      <c r="I4868" s="1" t="s">
        <v>4582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11" t="s">
        <v>6</v>
      </c>
    </row>
    <row r="4869" spans="1:15" ht="20.25" x14ac:dyDescent="0.25">
      <c r="A4869" s="1">
        <v>42</v>
      </c>
      <c r="B4869" t="s">
        <v>4734</v>
      </c>
      <c r="C4869" s="1" t="s">
        <v>4582</v>
      </c>
      <c r="D4869" s="1"/>
      <c r="E4869" s="1"/>
      <c r="F4869" s="1" t="s">
        <v>4601</v>
      </c>
      <c r="G4869" s="1">
        <v>14</v>
      </c>
      <c r="H4869" s="1" t="s">
        <v>4566</v>
      </c>
      <c r="I4869" s="1" t="s">
        <v>4582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11" t="s">
        <v>6</v>
      </c>
    </row>
    <row r="4870" spans="1:15" ht="20.25" x14ac:dyDescent="0.25">
      <c r="A4870" s="1">
        <v>43</v>
      </c>
      <c r="B4870" t="s">
        <v>4735</v>
      </c>
      <c r="C4870" s="1" t="s">
        <v>4582</v>
      </c>
      <c r="D4870" s="1"/>
      <c r="E4870" s="1"/>
      <c r="F4870" s="1" t="s">
        <v>4602</v>
      </c>
      <c r="G4870" s="1">
        <v>130</v>
      </c>
      <c r="H4870" s="1" t="s">
        <v>1105</v>
      </c>
      <c r="I4870" s="1" t="s">
        <v>4582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11" t="s">
        <v>6</v>
      </c>
    </row>
    <row r="4871" spans="1:15" ht="20.25" x14ac:dyDescent="0.25">
      <c r="A4871" s="1">
        <v>44</v>
      </c>
      <c r="B4871" t="s">
        <v>4736</v>
      </c>
      <c r="C4871" s="1" t="s">
        <v>4582</v>
      </c>
      <c r="D4871" s="1"/>
      <c r="E4871" s="1"/>
      <c r="F4871" s="1" t="s">
        <v>4603</v>
      </c>
      <c r="G4871" s="1">
        <v>250</v>
      </c>
      <c r="H4871" s="1" t="s">
        <v>1105</v>
      </c>
      <c r="I4871" s="1" t="s">
        <v>4582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11" t="s">
        <v>6</v>
      </c>
    </row>
    <row r="4872" spans="1:15" ht="20.25" x14ac:dyDescent="0.25">
      <c r="A4872" s="1">
        <v>45</v>
      </c>
      <c r="B4872" t="s">
        <v>4737</v>
      </c>
      <c r="C4872" s="1" t="s">
        <v>4582</v>
      </c>
      <c r="D4872" s="1"/>
      <c r="E4872" s="1"/>
      <c r="F4872" s="1" t="s">
        <v>4604</v>
      </c>
      <c r="G4872" s="1">
        <v>5</v>
      </c>
      <c r="H4872" s="1" t="s">
        <v>1105</v>
      </c>
      <c r="I4872" s="1" t="s">
        <v>4582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11" t="s">
        <v>6</v>
      </c>
    </row>
    <row r="4873" spans="1:15" ht="20.25" x14ac:dyDescent="0.25">
      <c r="A4873" s="1">
        <v>46</v>
      </c>
      <c r="B4873" t="s">
        <v>4738</v>
      </c>
      <c r="C4873" s="1" t="s">
        <v>4582</v>
      </c>
      <c r="D4873" s="1"/>
      <c r="E4873" s="1"/>
      <c r="F4873" s="1" t="s">
        <v>4605</v>
      </c>
      <c r="G4873" s="1">
        <v>6</v>
      </c>
      <c r="H4873" s="1" t="s">
        <v>4562</v>
      </c>
      <c r="I4873" s="1" t="s">
        <v>4582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11" t="s">
        <v>6</v>
      </c>
    </row>
    <row r="4874" spans="1:15" ht="20.25" x14ac:dyDescent="0.25">
      <c r="A4874" s="1">
        <v>47</v>
      </c>
      <c r="B4874" t="s">
        <v>4739</v>
      </c>
      <c r="C4874" s="1" t="s">
        <v>4582</v>
      </c>
      <c r="D4874" s="1"/>
      <c r="E4874" s="1"/>
      <c r="F4874" s="1" t="s">
        <v>4606</v>
      </c>
      <c r="G4874" s="1">
        <v>6</v>
      </c>
      <c r="H4874" s="1" t="s">
        <v>4566</v>
      </c>
      <c r="I4874" s="1" t="s">
        <v>4582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11" t="s">
        <v>6</v>
      </c>
    </row>
    <row r="4875" spans="1:15" ht="20.25" x14ac:dyDescent="0.25">
      <c r="A4875" s="1">
        <v>48</v>
      </c>
      <c r="B4875" t="s">
        <v>4740</v>
      </c>
      <c r="C4875" s="1" t="s">
        <v>4582</v>
      </c>
      <c r="D4875" s="1"/>
      <c r="E4875" s="1"/>
      <c r="F4875" s="1" t="s">
        <v>4607</v>
      </c>
      <c r="G4875" s="1">
        <v>4</v>
      </c>
      <c r="H4875" s="1" t="s">
        <v>1105</v>
      </c>
      <c r="I4875" s="1" t="s">
        <v>4582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11" t="s">
        <v>6</v>
      </c>
    </row>
    <row r="4876" spans="1:15" ht="20.25" x14ac:dyDescent="0.25">
      <c r="A4876" s="1">
        <v>49</v>
      </c>
      <c r="B4876" t="s">
        <v>4741</v>
      </c>
      <c r="C4876" s="1" t="s">
        <v>4582</v>
      </c>
      <c r="D4876" s="1"/>
      <c r="E4876" s="1"/>
      <c r="F4876" s="1" t="s">
        <v>4608</v>
      </c>
      <c r="G4876" s="1">
        <v>3</v>
      </c>
      <c r="H4876" s="1" t="s">
        <v>4562</v>
      </c>
      <c r="I4876" s="1" t="s">
        <v>4582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11" t="s">
        <v>6</v>
      </c>
    </row>
    <row r="4877" spans="1:15" ht="20.25" x14ac:dyDescent="0.25">
      <c r="A4877" s="1">
        <v>50</v>
      </c>
      <c r="B4877" t="s">
        <v>4742</v>
      </c>
      <c r="C4877" s="1" t="s">
        <v>4582</v>
      </c>
      <c r="D4877" s="1"/>
      <c r="E4877" s="1"/>
      <c r="F4877" s="1" t="s">
        <v>4609</v>
      </c>
      <c r="G4877" s="1">
        <v>3</v>
      </c>
      <c r="H4877" s="1" t="s">
        <v>4562</v>
      </c>
      <c r="I4877" s="1" t="s">
        <v>4582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11" t="s">
        <v>6</v>
      </c>
    </row>
    <row r="4878" spans="1:15" ht="20.25" x14ac:dyDescent="0.25">
      <c r="A4878" s="1">
        <v>51</v>
      </c>
      <c r="B4878" t="s">
        <v>4743</v>
      </c>
      <c r="C4878" s="1" t="s">
        <v>4582</v>
      </c>
      <c r="D4878" s="1"/>
      <c r="E4878" s="1"/>
      <c r="F4878" s="1" t="s">
        <v>4610</v>
      </c>
      <c r="G4878" s="1">
        <v>5</v>
      </c>
      <c r="H4878" s="1" t="s">
        <v>4566</v>
      </c>
      <c r="I4878" s="1" t="s">
        <v>4582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11" t="s">
        <v>6</v>
      </c>
    </row>
    <row r="4879" spans="1:15" ht="20.25" x14ac:dyDescent="0.25">
      <c r="A4879" s="1">
        <v>52</v>
      </c>
      <c r="B4879" t="s">
        <v>4744</v>
      </c>
      <c r="C4879" s="1" t="s">
        <v>4582</v>
      </c>
      <c r="D4879" s="1"/>
      <c r="E4879" s="1"/>
      <c r="F4879" s="1" t="s">
        <v>4611</v>
      </c>
      <c r="G4879" s="1">
        <v>2</v>
      </c>
      <c r="H4879" s="1" t="s">
        <v>4566</v>
      </c>
      <c r="I4879" s="1" t="s">
        <v>4582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11" t="s">
        <v>6</v>
      </c>
    </row>
    <row r="4880" spans="1:15" ht="20.25" x14ac:dyDescent="0.25">
      <c r="A4880" s="1">
        <v>53</v>
      </c>
      <c r="B4880" t="s">
        <v>4745</v>
      </c>
      <c r="C4880" s="1" t="s">
        <v>4582</v>
      </c>
      <c r="D4880" s="1"/>
      <c r="E4880" s="1"/>
      <c r="F4880" s="1" t="s">
        <v>4612</v>
      </c>
      <c r="G4880" s="1">
        <v>1</v>
      </c>
      <c r="H4880" s="1" t="s">
        <v>4566</v>
      </c>
      <c r="I4880" s="1" t="s">
        <v>4582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11" t="s">
        <v>6</v>
      </c>
    </row>
    <row r="4881" spans="1:15" ht="20.25" x14ac:dyDescent="0.25">
      <c r="A4881" s="1">
        <v>54</v>
      </c>
      <c r="B4881" t="s">
        <v>4746</v>
      </c>
      <c r="C4881" s="1" t="s">
        <v>4560</v>
      </c>
      <c r="D4881" s="1"/>
      <c r="E4881" s="1"/>
      <c r="F4881" s="1" t="s">
        <v>4613</v>
      </c>
      <c r="G4881" s="1">
        <v>130</v>
      </c>
      <c r="H4881" s="1" t="s">
        <v>1105</v>
      </c>
      <c r="I4881" s="1" t="s">
        <v>4560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11" t="s">
        <v>6</v>
      </c>
    </row>
    <row r="4882" spans="1:15" ht="20.25" x14ac:dyDescent="0.25">
      <c r="A4882" s="1">
        <v>55</v>
      </c>
      <c r="B4882" t="s">
        <v>4747</v>
      </c>
      <c r="C4882" s="1" t="s">
        <v>4560</v>
      </c>
      <c r="D4882" s="1"/>
      <c r="E4882" s="1"/>
      <c r="F4882" s="1" t="s">
        <v>4614</v>
      </c>
      <c r="G4882" s="1">
        <v>250</v>
      </c>
      <c r="H4882" s="1" t="s">
        <v>1105</v>
      </c>
      <c r="I4882" s="1" t="s">
        <v>4560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11" t="s">
        <v>6</v>
      </c>
    </row>
    <row r="4883" spans="1:15" ht="20.25" x14ac:dyDescent="0.25">
      <c r="A4883" s="1">
        <v>56</v>
      </c>
      <c r="B4883" t="s">
        <v>4748</v>
      </c>
      <c r="C4883" s="1" t="s">
        <v>4560</v>
      </c>
      <c r="D4883" s="1"/>
      <c r="E4883" s="1"/>
      <c r="F4883" s="1" t="s">
        <v>4615</v>
      </c>
      <c r="G4883" s="1">
        <v>5</v>
      </c>
      <c r="H4883" s="1" t="s">
        <v>1105</v>
      </c>
      <c r="I4883" s="1" t="s">
        <v>4560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11" t="s">
        <v>6</v>
      </c>
    </row>
    <row r="4884" spans="1:15" ht="20.25" x14ac:dyDescent="0.25">
      <c r="A4884" s="1">
        <v>57</v>
      </c>
      <c r="B4884" t="s">
        <v>4749</v>
      </c>
      <c r="C4884" s="1" t="s">
        <v>4560</v>
      </c>
      <c r="D4884" s="1"/>
      <c r="E4884" s="1"/>
      <c r="F4884" s="1" t="s">
        <v>4616</v>
      </c>
      <c r="G4884" s="1">
        <v>6</v>
      </c>
      <c r="H4884" s="1" t="s">
        <v>4562</v>
      </c>
      <c r="I4884" s="1" t="s">
        <v>4560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11" t="s">
        <v>6</v>
      </c>
    </row>
    <row r="4885" spans="1:15" ht="20.25" x14ac:dyDescent="0.25">
      <c r="A4885" s="1">
        <v>58</v>
      </c>
      <c r="B4885" t="s">
        <v>4750</v>
      </c>
      <c r="C4885" s="1" t="s">
        <v>4560</v>
      </c>
      <c r="D4885" s="1"/>
      <c r="E4885" s="1"/>
      <c r="F4885" s="1" t="s">
        <v>4617</v>
      </c>
      <c r="G4885" s="1">
        <v>6</v>
      </c>
      <c r="H4885" s="1" t="s">
        <v>4566</v>
      </c>
      <c r="I4885" s="1" t="s">
        <v>4560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11" t="s">
        <v>6</v>
      </c>
    </row>
    <row r="4886" spans="1:15" ht="20.25" x14ac:dyDescent="0.25">
      <c r="A4886" s="1">
        <v>59</v>
      </c>
      <c r="B4886" t="s">
        <v>4751</v>
      </c>
      <c r="C4886" s="1" t="s">
        <v>4560</v>
      </c>
      <c r="D4886" s="1"/>
      <c r="E4886" s="1"/>
      <c r="F4886" s="1" t="s">
        <v>4618</v>
      </c>
      <c r="G4886" s="1">
        <v>4</v>
      </c>
      <c r="H4886" s="1" t="s">
        <v>1105</v>
      </c>
      <c r="I4886" s="1" t="s">
        <v>4560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11" t="s">
        <v>6</v>
      </c>
    </row>
    <row r="4887" spans="1:15" ht="20.25" x14ac:dyDescent="0.25">
      <c r="A4887" s="1">
        <v>60</v>
      </c>
      <c r="B4887" t="s">
        <v>4752</v>
      </c>
      <c r="C4887" s="1" t="s">
        <v>4560</v>
      </c>
      <c r="D4887" s="1"/>
      <c r="E4887" s="1"/>
      <c r="F4887" s="1" t="s">
        <v>4619</v>
      </c>
      <c r="G4887" s="1">
        <v>3</v>
      </c>
      <c r="H4887" s="1" t="s">
        <v>4562</v>
      </c>
      <c r="I4887" s="1" t="s">
        <v>4560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11" t="s">
        <v>6</v>
      </c>
    </row>
    <row r="4888" spans="1:15" ht="20.25" x14ac:dyDescent="0.25">
      <c r="A4888" s="1">
        <v>61</v>
      </c>
      <c r="B4888" t="s">
        <v>4753</v>
      </c>
      <c r="C4888" s="1" t="s">
        <v>4560</v>
      </c>
      <c r="D4888" s="1"/>
      <c r="E4888" s="1"/>
      <c r="F4888" s="1" t="s">
        <v>4620</v>
      </c>
      <c r="G4888" s="1">
        <v>3</v>
      </c>
      <c r="H4888" s="1" t="s">
        <v>4562</v>
      </c>
      <c r="I4888" s="1" t="s">
        <v>4560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11" t="s">
        <v>6</v>
      </c>
    </row>
    <row r="4889" spans="1:15" ht="20.25" x14ac:dyDescent="0.25">
      <c r="A4889" s="1">
        <v>62</v>
      </c>
      <c r="B4889" t="s">
        <v>4754</v>
      </c>
      <c r="C4889" s="1" t="s">
        <v>4560</v>
      </c>
      <c r="D4889" s="1"/>
      <c r="E4889" s="1"/>
      <c r="F4889" s="1" t="s">
        <v>4621</v>
      </c>
      <c r="G4889" s="1">
        <v>5</v>
      </c>
      <c r="H4889" s="1" t="s">
        <v>4566</v>
      </c>
      <c r="I4889" s="1" t="s">
        <v>4560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11" t="s">
        <v>6</v>
      </c>
    </row>
    <row r="4890" spans="1:15" ht="20.25" x14ac:dyDescent="0.25">
      <c r="A4890" s="1">
        <v>63</v>
      </c>
      <c r="B4890" t="s">
        <v>4755</v>
      </c>
      <c r="C4890" s="1" t="s">
        <v>4560</v>
      </c>
      <c r="D4890" s="1"/>
      <c r="E4890" s="1"/>
      <c r="F4890" s="1" t="s">
        <v>4622</v>
      </c>
      <c r="G4890" s="1">
        <v>2</v>
      </c>
      <c r="H4890" s="1" t="s">
        <v>4566</v>
      </c>
      <c r="I4890" s="1" t="s">
        <v>4560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11" t="s">
        <v>6</v>
      </c>
    </row>
    <row r="4891" spans="1:15" ht="20.25" x14ac:dyDescent="0.25">
      <c r="A4891" s="1">
        <v>64</v>
      </c>
      <c r="B4891" t="s">
        <v>4756</v>
      </c>
      <c r="C4891" s="1" t="s">
        <v>4560</v>
      </c>
      <c r="D4891" s="1"/>
      <c r="E4891" s="1"/>
      <c r="F4891" s="1" t="s">
        <v>4623</v>
      </c>
      <c r="G4891" s="1">
        <v>1</v>
      </c>
      <c r="H4891" s="1" t="s">
        <v>4566</v>
      </c>
      <c r="I4891" s="1" t="s">
        <v>4560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11" t="s">
        <v>6</v>
      </c>
    </row>
    <row r="4892" spans="1:15" ht="20.25" x14ac:dyDescent="0.25">
      <c r="A4892" s="1">
        <v>65</v>
      </c>
      <c r="B4892" t="s">
        <v>4757</v>
      </c>
      <c r="C4892" s="1" t="s">
        <v>4582</v>
      </c>
      <c r="D4892" s="1"/>
      <c r="E4892" s="1"/>
      <c r="F4892" s="1" t="s">
        <v>4624</v>
      </c>
      <c r="G4892" s="1">
        <v>1</v>
      </c>
      <c r="H4892" s="1" t="s">
        <v>4562</v>
      </c>
      <c r="I4892" s="1" t="s">
        <v>4582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11" t="s">
        <v>6</v>
      </c>
    </row>
    <row r="4893" spans="1:15" ht="20.25" x14ac:dyDescent="0.25">
      <c r="A4893" s="1">
        <v>66</v>
      </c>
      <c r="B4893" t="s">
        <v>4758</v>
      </c>
      <c r="C4893" s="1" t="s">
        <v>4582</v>
      </c>
      <c r="D4893" s="1"/>
      <c r="E4893" s="1"/>
      <c r="F4893" s="1" t="s">
        <v>4625</v>
      </c>
      <c r="G4893" s="1">
        <v>2</v>
      </c>
      <c r="H4893" s="1" t="s">
        <v>4566</v>
      </c>
      <c r="I4893" s="1" t="s">
        <v>4582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11" t="s">
        <v>6</v>
      </c>
    </row>
    <row r="4894" spans="1:15" ht="20.25" x14ac:dyDescent="0.25">
      <c r="A4894" s="1">
        <v>67</v>
      </c>
      <c r="B4894" t="s">
        <v>4759</v>
      </c>
      <c r="C4894" s="1" t="s">
        <v>4582</v>
      </c>
      <c r="D4894" s="1"/>
      <c r="E4894" s="1"/>
      <c r="F4894" s="1" t="s">
        <v>4626</v>
      </c>
      <c r="G4894" s="1">
        <v>4</v>
      </c>
      <c r="H4894" s="1" t="s">
        <v>4566</v>
      </c>
      <c r="I4894" s="1" t="s">
        <v>4582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11" t="s">
        <v>6</v>
      </c>
    </row>
    <row r="4895" spans="1:15" ht="20.25" x14ac:dyDescent="0.25">
      <c r="A4895" s="1">
        <v>68</v>
      </c>
      <c r="B4895" t="s">
        <v>4760</v>
      </c>
      <c r="C4895" s="1" t="s">
        <v>4582</v>
      </c>
      <c r="D4895" s="1"/>
      <c r="E4895" s="1"/>
      <c r="F4895" s="1" t="s">
        <v>4627</v>
      </c>
      <c r="G4895" s="1">
        <v>1</v>
      </c>
      <c r="H4895" s="1" t="s">
        <v>4566</v>
      </c>
      <c r="I4895" s="1" t="s">
        <v>4582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11" t="s">
        <v>6</v>
      </c>
    </row>
    <row r="4896" spans="1:15" ht="20.25" x14ac:dyDescent="0.25">
      <c r="A4896" s="1">
        <v>69</v>
      </c>
      <c r="B4896" t="s">
        <v>4761</v>
      </c>
      <c r="C4896" s="1" t="s">
        <v>4582</v>
      </c>
      <c r="D4896" s="1"/>
      <c r="E4896" s="1"/>
      <c r="F4896" s="1" t="s">
        <v>4628</v>
      </c>
      <c r="G4896" s="1">
        <v>1</v>
      </c>
      <c r="H4896" s="1" t="s">
        <v>4562</v>
      </c>
      <c r="I4896" s="1" t="s">
        <v>4582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11" t="s">
        <v>6</v>
      </c>
    </row>
    <row r="4897" spans="1:15" ht="20.25" x14ac:dyDescent="0.25">
      <c r="A4897" s="1">
        <v>70</v>
      </c>
      <c r="B4897" t="s">
        <v>4762</v>
      </c>
      <c r="C4897" s="1" t="s">
        <v>4582</v>
      </c>
      <c r="D4897" s="1"/>
      <c r="E4897" s="1"/>
      <c r="F4897" s="1" t="s">
        <v>4629</v>
      </c>
      <c r="G4897" s="1">
        <v>2</v>
      </c>
      <c r="H4897" s="1" t="s">
        <v>4566</v>
      </c>
      <c r="I4897" s="1" t="s">
        <v>4582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11" t="s">
        <v>6</v>
      </c>
    </row>
    <row r="4898" spans="1:15" ht="20.25" x14ac:dyDescent="0.25">
      <c r="A4898" s="1">
        <v>71</v>
      </c>
      <c r="B4898" t="s">
        <v>4763</v>
      </c>
      <c r="C4898" s="1" t="s">
        <v>4582</v>
      </c>
      <c r="D4898" s="1"/>
      <c r="E4898" s="1"/>
      <c r="F4898" s="1" t="s">
        <v>4630</v>
      </c>
      <c r="G4898" s="1">
        <v>4</v>
      </c>
      <c r="H4898" s="1" t="s">
        <v>4566</v>
      </c>
      <c r="I4898" s="1" t="s">
        <v>4582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11" t="s">
        <v>6</v>
      </c>
    </row>
    <row r="4899" spans="1:15" ht="20.25" x14ac:dyDescent="0.25">
      <c r="A4899" s="1">
        <v>72</v>
      </c>
      <c r="B4899" t="s">
        <v>4764</v>
      </c>
      <c r="C4899" s="1" t="s">
        <v>4582</v>
      </c>
      <c r="D4899" s="1"/>
      <c r="E4899" s="1"/>
      <c r="F4899" s="1" t="s">
        <v>4631</v>
      </c>
      <c r="G4899" s="1">
        <v>1</v>
      </c>
      <c r="H4899" s="1" t="s">
        <v>4566</v>
      </c>
      <c r="I4899" s="1" t="s">
        <v>4582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11" t="s">
        <v>6</v>
      </c>
    </row>
    <row r="4900" spans="1:15" ht="20.25" x14ac:dyDescent="0.25">
      <c r="A4900" s="1">
        <v>73</v>
      </c>
      <c r="B4900" t="s">
        <v>4765</v>
      </c>
      <c r="C4900" s="1" t="s">
        <v>4582</v>
      </c>
      <c r="D4900" s="1"/>
      <c r="E4900" s="1"/>
      <c r="F4900" s="1" t="s">
        <v>4632</v>
      </c>
      <c r="G4900" s="1">
        <v>2</v>
      </c>
      <c r="H4900" s="1" t="s">
        <v>4566</v>
      </c>
      <c r="I4900" s="1" t="s">
        <v>4582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11" t="s">
        <v>6</v>
      </c>
    </row>
    <row r="4901" spans="1:15" ht="20.25" x14ac:dyDescent="0.25">
      <c r="A4901" s="1">
        <v>74</v>
      </c>
      <c r="B4901" t="s">
        <v>4766</v>
      </c>
      <c r="C4901" s="1" t="s">
        <v>4582</v>
      </c>
      <c r="D4901" s="1"/>
      <c r="E4901" s="1"/>
      <c r="F4901" s="1" t="s">
        <v>4633</v>
      </c>
      <c r="G4901" s="1">
        <v>1</v>
      </c>
      <c r="H4901" s="1" t="s">
        <v>4566</v>
      </c>
      <c r="I4901" s="1" t="s">
        <v>4582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11" t="s">
        <v>6</v>
      </c>
    </row>
    <row r="4902" spans="1:15" ht="20.25" x14ac:dyDescent="0.25">
      <c r="A4902" s="1">
        <v>75</v>
      </c>
      <c r="B4902" t="s">
        <v>4767</v>
      </c>
      <c r="C4902" s="1" t="s">
        <v>4582</v>
      </c>
      <c r="D4902" s="1"/>
      <c r="E4902" s="1"/>
      <c r="F4902" s="1" t="s">
        <v>4632</v>
      </c>
      <c r="G4902" s="1">
        <v>2</v>
      </c>
      <c r="H4902" s="1" t="s">
        <v>4566</v>
      </c>
      <c r="I4902" s="1" t="s">
        <v>4582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11" t="s">
        <v>6</v>
      </c>
    </row>
    <row r="4903" spans="1:15" ht="20.25" x14ac:dyDescent="0.25">
      <c r="A4903" s="1">
        <v>76</v>
      </c>
      <c r="B4903" t="s">
        <v>4768</v>
      </c>
      <c r="C4903" s="1" t="s">
        <v>4582</v>
      </c>
      <c r="D4903" s="1"/>
      <c r="E4903" s="1"/>
      <c r="F4903" s="1" t="s">
        <v>4633</v>
      </c>
      <c r="G4903" s="1">
        <v>1</v>
      </c>
      <c r="H4903" s="1" t="s">
        <v>4566</v>
      </c>
      <c r="I4903" s="1" t="s">
        <v>4582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11" t="s">
        <v>6</v>
      </c>
    </row>
    <row r="4904" spans="1:15" ht="20.25" x14ac:dyDescent="0.25">
      <c r="A4904" s="1">
        <v>77</v>
      </c>
      <c r="B4904" t="s">
        <v>4769</v>
      </c>
      <c r="C4904" s="1" t="s">
        <v>3773</v>
      </c>
      <c r="D4904" s="1"/>
      <c r="E4904" s="1"/>
      <c r="F4904" s="1" t="s">
        <v>4634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11" t="s">
        <v>6</v>
      </c>
    </row>
    <row r="4905" spans="1:15" ht="20.25" x14ac:dyDescent="0.25">
      <c r="A4905" s="1">
        <v>78</v>
      </c>
      <c r="B4905" t="s">
        <v>4770</v>
      </c>
      <c r="C4905" s="1" t="s">
        <v>4166</v>
      </c>
      <c r="D4905" s="1"/>
      <c r="E4905" s="1"/>
      <c r="F4905" s="1" t="s">
        <v>4635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11" t="s">
        <v>6</v>
      </c>
    </row>
    <row r="4906" spans="1:15" ht="20.25" x14ac:dyDescent="0.25">
      <c r="A4906" s="1">
        <v>79</v>
      </c>
      <c r="B4906" t="s">
        <v>4771</v>
      </c>
      <c r="C4906" s="1" t="s">
        <v>4204</v>
      </c>
      <c r="D4906" s="1"/>
      <c r="E4906" s="1"/>
      <c r="F4906" s="1" t="s">
        <v>4635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11" t="s">
        <v>6</v>
      </c>
    </row>
    <row r="4907" spans="1:15" ht="20.25" x14ac:dyDescent="0.25">
      <c r="A4907" s="1">
        <v>80</v>
      </c>
      <c r="B4907" t="s">
        <v>4772</v>
      </c>
      <c r="C4907" s="1" t="s">
        <v>4636</v>
      </c>
      <c r="D4907" s="1"/>
      <c r="E4907" s="1"/>
      <c r="F4907" s="1" t="s">
        <v>4637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11" t="s">
        <v>6</v>
      </c>
    </row>
    <row r="4908" spans="1:15" ht="20.25" x14ac:dyDescent="0.25">
      <c r="A4908" s="1">
        <v>81</v>
      </c>
      <c r="B4908" t="s">
        <v>4773</v>
      </c>
      <c r="C4908" s="1" t="s">
        <v>4636</v>
      </c>
      <c r="D4908" s="1"/>
      <c r="E4908" s="1"/>
      <c r="F4908" s="1" t="s">
        <v>4637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11" t="s">
        <v>6</v>
      </c>
    </row>
    <row r="4909" spans="1:15" ht="20.25" x14ac:dyDescent="0.25">
      <c r="A4909" s="1">
        <v>82</v>
      </c>
      <c r="B4909" t="s">
        <v>4774</v>
      </c>
      <c r="C4909" s="1" t="s">
        <v>4636</v>
      </c>
      <c r="D4909" s="1"/>
      <c r="E4909" s="1"/>
      <c r="F4909" s="1" t="s">
        <v>4638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11" t="s">
        <v>6</v>
      </c>
    </row>
    <row r="4910" spans="1:15" ht="20.25" x14ac:dyDescent="0.25">
      <c r="A4910" s="1">
        <v>83</v>
      </c>
      <c r="B4910" t="s">
        <v>4775</v>
      </c>
      <c r="C4910" s="1" t="s">
        <v>4636</v>
      </c>
      <c r="D4910" s="1"/>
      <c r="E4910" s="1"/>
      <c r="F4910" s="1" t="s">
        <v>4638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11" t="s">
        <v>6</v>
      </c>
    </row>
    <row r="4911" spans="1:15" ht="20.25" x14ac:dyDescent="0.25">
      <c r="A4911" s="1">
        <v>84</v>
      </c>
      <c r="B4911" t="s">
        <v>4776</v>
      </c>
      <c r="C4911" s="1" t="s">
        <v>3802</v>
      </c>
      <c r="D4911" s="1"/>
      <c r="E4911" s="1"/>
      <c r="F4911" s="1" t="s">
        <v>4639</v>
      </c>
      <c r="G4911" s="1">
        <v>232</v>
      </c>
      <c r="H4911" s="1" t="s">
        <v>19</v>
      </c>
      <c r="I4911" s="1" t="s">
        <v>4086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11" t="s">
        <v>6</v>
      </c>
    </row>
    <row r="4912" spans="1:15" ht="20.25" x14ac:dyDescent="0.25">
      <c r="A4912" s="1">
        <v>85</v>
      </c>
      <c r="B4912" t="s">
        <v>4777</v>
      </c>
      <c r="C4912" s="1" t="s">
        <v>3821</v>
      </c>
      <c r="D4912" s="1"/>
      <c r="E4912" s="1"/>
      <c r="F4912" s="1" t="s">
        <v>4640</v>
      </c>
      <c r="G4912" s="1">
        <v>96</v>
      </c>
      <c r="H4912" s="1" t="s">
        <v>19</v>
      </c>
      <c r="I4912" s="1" t="s">
        <v>4086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11" t="s">
        <v>6</v>
      </c>
    </row>
    <row r="4913" spans="1:15" ht="20.25" x14ac:dyDescent="0.25">
      <c r="A4913" s="1">
        <v>86</v>
      </c>
      <c r="B4913" t="s">
        <v>4778</v>
      </c>
      <c r="C4913" s="1" t="s">
        <v>3858</v>
      </c>
      <c r="D4913" s="1"/>
      <c r="E4913" s="1"/>
      <c r="F4913" s="1" t="s">
        <v>4641</v>
      </c>
      <c r="G4913" s="1">
        <v>218</v>
      </c>
      <c r="H4913" s="1" t="s">
        <v>19</v>
      </c>
      <c r="I4913" s="1" t="s">
        <v>4086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11" t="s">
        <v>6</v>
      </c>
    </row>
    <row r="4914" spans="1:15" ht="20.25" x14ac:dyDescent="0.25">
      <c r="A4914" s="1">
        <v>87</v>
      </c>
      <c r="B4914" t="s">
        <v>4779</v>
      </c>
      <c r="C4914" s="1" t="s">
        <v>4642</v>
      </c>
      <c r="D4914" s="1"/>
      <c r="E4914" s="1"/>
      <c r="F4914" s="1" t="s">
        <v>4643</v>
      </c>
      <c r="G4914" s="1">
        <v>58</v>
      </c>
      <c r="H4914" s="1" t="s">
        <v>19</v>
      </c>
      <c r="I4914" s="1" t="s">
        <v>4086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11" t="s">
        <v>6</v>
      </c>
    </row>
    <row r="4915" spans="1:15" ht="20.25" x14ac:dyDescent="0.25">
      <c r="A4915" s="1">
        <v>88</v>
      </c>
      <c r="B4915" t="s">
        <v>4780</v>
      </c>
      <c r="C4915" s="1" t="s">
        <v>4642</v>
      </c>
      <c r="D4915" s="1"/>
      <c r="E4915" s="1"/>
      <c r="F4915" s="1" t="s">
        <v>4644</v>
      </c>
      <c r="G4915" s="1">
        <v>2</v>
      </c>
      <c r="H4915" s="1" t="s">
        <v>19</v>
      </c>
      <c r="I4915" s="1" t="s">
        <v>4086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11" t="s">
        <v>6</v>
      </c>
    </row>
    <row r="4916" spans="1:15" ht="20.25" x14ac:dyDescent="0.25">
      <c r="A4916" s="1">
        <v>89</v>
      </c>
      <c r="B4916" t="s">
        <v>4781</v>
      </c>
      <c r="C4916" s="1" t="s">
        <v>4642</v>
      </c>
      <c r="D4916" s="1"/>
      <c r="E4916" s="1"/>
      <c r="F4916" s="1" t="s">
        <v>4645</v>
      </c>
      <c r="G4916" s="1">
        <v>2</v>
      </c>
      <c r="H4916" s="1" t="s">
        <v>19</v>
      </c>
      <c r="I4916" s="1" t="s">
        <v>4086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11" t="s">
        <v>6</v>
      </c>
    </row>
    <row r="4917" spans="1:15" ht="20.25" x14ac:dyDescent="0.25">
      <c r="A4917" s="1">
        <v>90</v>
      </c>
      <c r="B4917" t="s">
        <v>4782</v>
      </c>
      <c r="C4917" s="1" t="s">
        <v>4642</v>
      </c>
      <c r="D4917" s="1"/>
      <c r="E4917" s="1"/>
      <c r="F4917" s="1" t="s">
        <v>4646</v>
      </c>
      <c r="G4917" s="1">
        <v>2</v>
      </c>
      <c r="H4917" s="1" t="s">
        <v>19</v>
      </c>
      <c r="I4917" s="1" t="s">
        <v>4086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11" t="s">
        <v>6</v>
      </c>
    </row>
    <row r="4918" spans="1:15" ht="20.25" x14ac:dyDescent="0.25">
      <c r="A4918" s="1">
        <v>91</v>
      </c>
      <c r="B4918" t="s">
        <v>4783</v>
      </c>
      <c r="C4918" s="1" t="s">
        <v>4642</v>
      </c>
      <c r="D4918" s="1"/>
      <c r="E4918" s="1"/>
      <c r="F4918" s="1" t="s">
        <v>4647</v>
      </c>
      <c r="G4918" s="1">
        <v>2</v>
      </c>
      <c r="H4918" s="1" t="s">
        <v>19</v>
      </c>
      <c r="I4918" s="1" t="s">
        <v>4086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11" t="s">
        <v>6</v>
      </c>
    </row>
    <row r="4919" spans="1:15" ht="20.25" x14ac:dyDescent="0.25">
      <c r="A4919" s="1">
        <v>92</v>
      </c>
      <c r="B4919" t="s">
        <v>4784</v>
      </c>
      <c r="C4919" s="1" t="s">
        <v>4642</v>
      </c>
      <c r="D4919" s="1"/>
      <c r="E4919" s="1"/>
      <c r="F4919" s="1" t="s">
        <v>4648</v>
      </c>
      <c r="G4919" s="1">
        <v>2</v>
      </c>
      <c r="H4919" s="1" t="s">
        <v>19</v>
      </c>
      <c r="I4919" s="1" t="s">
        <v>4086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11" t="s">
        <v>6</v>
      </c>
    </row>
    <row r="4920" spans="1:15" ht="20.25" x14ac:dyDescent="0.25">
      <c r="A4920" s="1">
        <v>93</v>
      </c>
      <c r="B4920" t="s">
        <v>4785</v>
      </c>
      <c r="C4920" s="1" t="s">
        <v>4642</v>
      </c>
      <c r="D4920" s="1"/>
      <c r="E4920" s="1"/>
      <c r="F4920" s="1" t="s">
        <v>4649</v>
      </c>
      <c r="G4920" s="1">
        <v>2</v>
      </c>
      <c r="H4920" s="1" t="s">
        <v>19</v>
      </c>
      <c r="I4920" s="1" t="s">
        <v>4086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11" t="s">
        <v>6</v>
      </c>
    </row>
    <row r="4921" spans="1:15" ht="20.25" x14ac:dyDescent="0.25">
      <c r="A4921" s="1">
        <v>94</v>
      </c>
      <c r="B4921" t="s">
        <v>4786</v>
      </c>
      <c r="C4921" s="1" t="s">
        <v>3802</v>
      </c>
      <c r="D4921" s="1"/>
      <c r="E4921" s="1"/>
      <c r="F4921" s="1" t="s">
        <v>4650</v>
      </c>
      <c r="G4921" s="1">
        <v>4</v>
      </c>
      <c r="H4921" s="1" t="s">
        <v>19</v>
      </c>
      <c r="I4921" s="1" t="s">
        <v>4086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11" t="s">
        <v>6</v>
      </c>
    </row>
    <row r="4922" spans="1:15" ht="20.25" x14ac:dyDescent="0.25">
      <c r="A4922" s="1">
        <v>95</v>
      </c>
      <c r="B4922" t="s">
        <v>4787</v>
      </c>
      <c r="C4922" s="1" t="s">
        <v>3802</v>
      </c>
      <c r="D4922" s="1"/>
      <c r="E4922" s="1"/>
      <c r="F4922" s="1" t="s">
        <v>4651</v>
      </c>
      <c r="G4922" s="1">
        <v>4</v>
      </c>
      <c r="H4922" s="1" t="s">
        <v>19</v>
      </c>
      <c r="I4922" s="1" t="s">
        <v>4086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11" t="s">
        <v>6</v>
      </c>
    </row>
    <row r="4923" spans="1:15" ht="20.25" x14ac:dyDescent="0.25">
      <c r="A4923" s="1">
        <v>96</v>
      </c>
      <c r="B4923" t="s">
        <v>4788</v>
      </c>
      <c r="C4923" s="1" t="s">
        <v>3802</v>
      </c>
      <c r="D4923" s="1"/>
      <c r="E4923" s="1"/>
      <c r="F4923" s="1" t="s">
        <v>4652</v>
      </c>
      <c r="G4923" s="1">
        <v>4</v>
      </c>
      <c r="H4923" s="1" t="s">
        <v>19</v>
      </c>
      <c r="I4923" s="1" t="s">
        <v>4086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11" t="s">
        <v>6</v>
      </c>
    </row>
    <row r="4924" spans="1:15" ht="20.25" x14ac:dyDescent="0.25">
      <c r="A4924" s="1">
        <v>97</v>
      </c>
      <c r="B4924" t="s">
        <v>4789</v>
      </c>
      <c r="C4924" s="1" t="s">
        <v>3802</v>
      </c>
      <c r="D4924" s="1"/>
      <c r="E4924" s="1"/>
      <c r="F4924" s="1" t="s">
        <v>4653</v>
      </c>
      <c r="G4924" s="1">
        <v>4</v>
      </c>
      <c r="H4924" s="1" t="s">
        <v>19</v>
      </c>
      <c r="I4924" s="1" t="s">
        <v>4086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11" t="s">
        <v>6</v>
      </c>
    </row>
    <row r="4925" spans="1:15" ht="20.25" x14ac:dyDescent="0.25">
      <c r="A4925" s="1">
        <v>98</v>
      </c>
      <c r="B4925" t="s">
        <v>4790</v>
      </c>
      <c r="C4925" s="1" t="s">
        <v>3802</v>
      </c>
      <c r="D4925" s="1"/>
      <c r="E4925" s="1"/>
      <c r="F4925" s="1" t="s">
        <v>4654</v>
      </c>
      <c r="G4925" s="1">
        <v>4</v>
      </c>
      <c r="H4925" s="1" t="s">
        <v>19</v>
      </c>
      <c r="I4925" s="1" t="s">
        <v>4086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11" t="s">
        <v>6</v>
      </c>
    </row>
    <row r="4926" spans="1:15" ht="20.25" x14ac:dyDescent="0.25">
      <c r="A4926" s="1">
        <v>99</v>
      </c>
      <c r="B4926" t="s">
        <v>4791</v>
      </c>
      <c r="C4926" s="1" t="s">
        <v>3802</v>
      </c>
      <c r="D4926" s="1"/>
      <c r="E4926" s="1"/>
      <c r="F4926" s="1" t="s">
        <v>4655</v>
      </c>
      <c r="G4926" s="1">
        <v>8</v>
      </c>
      <c r="H4926" s="1" t="s">
        <v>19</v>
      </c>
      <c r="I4926" s="1" t="s">
        <v>4086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11" t="s">
        <v>6</v>
      </c>
    </row>
    <row r="4927" spans="1:15" ht="20.25" x14ac:dyDescent="0.25">
      <c r="A4927" s="1">
        <v>100</v>
      </c>
      <c r="B4927" t="s">
        <v>4792</v>
      </c>
      <c r="C4927" s="1" t="s">
        <v>3821</v>
      </c>
      <c r="D4927" s="1"/>
      <c r="E4927" s="1"/>
      <c r="F4927" s="1" t="s">
        <v>4656</v>
      </c>
      <c r="G4927" s="1">
        <v>4</v>
      </c>
      <c r="H4927" s="1" t="s">
        <v>19</v>
      </c>
      <c r="I4927" s="1" t="s">
        <v>4086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11" t="s">
        <v>6</v>
      </c>
    </row>
    <row r="4928" spans="1:15" ht="20.25" x14ac:dyDescent="0.25">
      <c r="A4928" s="1">
        <v>101</v>
      </c>
      <c r="B4928" t="s">
        <v>4793</v>
      </c>
      <c r="C4928" s="1" t="s">
        <v>3821</v>
      </c>
      <c r="D4928" s="1"/>
      <c r="E4928" s="1"/>
      <c r="F4928" s="1" t="s">
        <v>4657</v>
      </c>
      <c r="G4928" s="1">
        <v>12</v>
      </c>
      <c r="H4928" s="1" t="s">
        <v>19</v>
      </c>
      <c r="I4928" s="1" t="s">
        <v>4086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11" t="s">
        <v>6</v>
      </c>
    </row>
    <row r="4929" spans="1:15" ht="20.25" x14ac:dyDescent="0.25">
      <c r="A4929" s="1">
        <v>102</v>
      </c>
      <c r="B4929" t="s">
        <v>4794</v>
      </c>
      <c r="C4929" s="1" t="s">
        <v>3821</v>
      </c>
      <c r="D4929" s="1"/>
      <c r="E4929" s="1"/>
      <c r="F4929" s="1" t="s">
        <v>4658</v>
      </c>
      <c r="G4929" s="1">
        <v>4</v>
      </c>
      <c r="H4929" s="1" t="s">
        <v>19</v>
      </c>
      <c r="I4929" s="1" t="s">
        <v>4086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11" t="s">
        <v>6</v>
      </c>
    </row>
    <row r="4930" spans="1:15" ht="20.25" x14ac:dyDescent="0.25">
      <c r="A4930" s="1">
        <v>103</v>
      </c>
      <c r="B4930" t="s">
        <v>4795</v>
      </c>
      <c r="C4930" s="1" t="s">
        <v>3821</v>
      </c>
      <c r="D4930" s="1"/>
      <c r="E4930" s="1"/>
      <c r="F4930" s="1" t="s">
        <v>4658</v>
      </c>
      <c r="G4930" s="1">
        <v>4</v>
      </c>
      <c r="H4930" s="1" t="s">
        <v>19</v>
      </c>
      <c r="I4930" s="1" t="s">
        <v>4086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11" t="s">
        <v>6</v>
      </c>
    </row>
    <row r="4931" spans="1:15" ht="20.25" x14ac:dyDescent="0.25">
      <c r="A4931" s="1">
        <v>104</v>
      </c>
      <c r="B4931" t="s">
        <v>4796</v>
      </c>
      <c r="C4931" s="1" t="s">
        <v>3875</v>
      </c>
      <c r="D4931" s="1"/>
      <c r="E4931" s="1"/>
      <c r="F4931" s="1" t="s">
        <v>4659</v>
      </c>
      <c r="G4931" s="1">
        <v>4</v>
      </c>
      <c r="H4931" s="1" t="s">
        <v>19</v>
      </c>
      <c r="I4931" s="1" t="s">
        <v>4086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11" t="s">
        <v>6</v>
      </c>
    </row>
    <row r="4932" spans="1:15" ht="20.25" x14ac:dyDescent="0.25">
      <c r="A4932" s="1">
        <v>105</v>
      </c>
      <c r="B4932" t="s">
        <v>4797</v>
      </c>
      <c r="C4932" s="1" t="s">
        <v>3875</v>
      </c>
      <c r="D4932" s="1"/>
      <c r="E4932" s="1"/>
      <c r="F4932" s="1" t="s">
        <v>4660</v>
      </c>
      <c r="G4932" s="1">
        <v>20</v>
      </c>
      <c r="H4932" s="1" t="s">
        <v>19</v>
      </c>
      <c r="I4932" s="1" t="s">
        <v>4086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11" t="s">
        <v>6</v>
      </c>
    </row>
    <row r="4933" spans="1:15" ht="20.25" x14ac:dyDescent="0.25">
      <c r="A4933" s="1">
        <v>106</v>
      </c>
      <c r="B4933" t="s">
        <v>4798</v>
      </c>
      <c r="C4933" s="1" t="s">
        <v>3858</v>
      </c>
      <c r="D4933" s="1"/>
      <c r="E4933" s="1"/>
      <c r="F4933" s="1" t="s">
        <v>4661</v>
      </c>
      <c r="G4933" s="1">
        <v>2</v>
      </c>
      <c r="H4933" s="1" t="s">
        <v>19</v>
      </c>
      <c r="I4933" s="1" t="s">
        <v>4086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11" t="s">
        <v>6</v>
      </c>
    </row>
    <row r="4934" spans="1:15" ht="20.25" x14ac:dyDescent="0.25">
      <c r="A4934" s="1">
        <v>107</v>
      </c>
      <c r="B4934" t="s">
        <v>4799</v>
      </c>
      <c r="C4934" s="1" t="s">
        <v>3858</v>
      </c>
      <c r="D4934" s="1"/>
      <c r="E4934" s="1"/>
      <c r="F4934" s="1" t="s">
        <v>4661</v>
      </c>
      <c r="G4934" s="1">
        <v>22</v>
      </c>
      <c r="H4934" s="1" t="s">
        <v>19</v>
      </c>
      <c r="I4934" s="1" t="s">
        <v>4086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11" t="s">
        <v>6</v>
      </c>
    </row>
    <row r="4935" spans="1:15" ht="20.25" x14ac:dyDescent="0.25">
      <c r="A4935" s="1">
        <v>108</v>
      </c>
      <c r="B4935" t="s">
        <v>4800</v>
      </c>
      <c r="C4935" s="1" t="s">
        <v>3858</v>
      </c>
      <c r="D4935" s="1"/>
      <c r="E4935" s="1"/>
      <c r="F4935" s="1" t="s">
        <v>4662</v>
      </c>
      <c r="G4935" s="1">
        <v>2</v>
      </c>
      <c r="H4935" s="1" t="s">
        <v>19</v>
      </c>
      <c r="I4935" s="1" t="s">
        <v>4086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11" t="s">
        <v>6</v>
      </c>
    </row>
    <row r="4936" spans="1:15" ht="20.25" x14ac:dyDescent="0.25">
      <c r="A4936" s="1">
        <v>109</v>
      </c>
      <c r="B4936" t="s">
        <v>4801</v>
      </c>
      <c r="C4936" s="1" t="s">
        <v>3858</v>
      </c>
      <c r="D4936" s="1"/>
      <c r="E4936" s="1"/>
      <c r="F4936" s="1" t="s">
        <v>4662</v>
      </c>
      <c r="G4936" s="1">
        <v>2</v>
      </c>
      <c r="H4936" s="1" t="s">
        <v>19</v>
      </c>
      <c r="I4936" s="1" t="s">
        <v>4086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11" t="s">
        <v>6</v>
      </c>
    </row>
    <row r="4937" spans="1:15" ht="20.25" x14ac:dyDescent="0.25">
      <c r="A4937" s="1">
        <v>110</v>
      </c>
      <c r="B4937" t="s">
        <v>4802</v>
      </c>
      <c r="C4937" s="1" t="s">
        <v>3864</v>
      </c>
      <c r="D4937" s="1"/>
      <c r="E4937" s="1"/>
      <c r="F4937" s="1" t="s">
        <v>4663</v>
      </c>
      <c r="G4937" s="1">
        <v>2</v>
      </c>
      <c r="H4937" s="1" t="s">
        <v>19</v>
      </c>
      <c r="I4937" s="1" t="s">
        <v>4086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11" t="s">
        <v>6</v>
      </c>
    </row>
    <row r="4938" spans="1:15" ht="20.25" x14ac:dyDescent="0.25">
      <c r="A4938" s="1">
        <v>111</v>
      </c>
      <c r="B4938" t="s">
        <v>4803</v>
      </c>
      <c r="C4938" s="1" t="s">
        <v>3864</v>
      </c>
      <c r="D4938" s="1"/>
      <c r="E4938" s="1"/>
      <c r="F4938" s="1" t="s">
        <v>4664</v>
      </c>
      <c r="G4938" s="1">
        <v>2</v>
      </c>
      <c r="H4938" s="1" t="s">
        <v>19</v>
      </c>
      <c r="I4938" s="1" t="s">
        <v>4086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11" t="s">
        <v>6</v>
      </c>
    </row>
    <row r="4939" spans="1:15" ht="20.25" x14ac:dyDescent="0.25">
      <c r="A4939" s="1">
        <v>112</v>
      </c>
      <c r="B4939" t="s">
        <v>4804</v>
      </c>
      <c r="C4939" s="1" t="s">
        <v>3864</v>
      </c>
      <c r="D4939" s="1"/>
      <c r="E4939" s="1"/>
      <c r="F4939" s="1" t="s">
        <v>4665</v>
      </c>
      <c r="G4939" s="1">
        <v>4</v>
      </c>
      <c r="H4939" s="1" t="s">
        <v>19</v>
      </c>
      <c r="I4939" s="1" t="s">
        <v>4086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11" t="s">
        <v>6</v>
      </c>
    </row>
    <row r="4940" spans="1:15" ht="20.25" x14ac:dyDescent="0.25">
      <c r="A4940" s="1">
        <v>113</v>
      </c>
      <c r="B4940" t="s">
        <v>4805</v>
      </c>
      <c r="C4940" s="1" t="s">
        <v>3864</v>
      </c>
      <c r="D4940" s="1"/>
      <c r="E4940" s="1"/>
      <c r="F4940" s="1" t="s">
        <v>4666</v>
      </c>
      <c r="G4940" s="1">
        <v>4</v>
      </c>
      <c r="H4940" s="1" t="s">
        <v>19</v>
      </c>
      <c r="I4940" s="1" t="s">
        <v>4086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11" t="s">
        <v>6</v>
      </c>
    </row>
    <row r="4941" spans="1:15" ht="20.25" x14ac:dyDescent="0.25">
      <c r="A4941" s="1">
        <v>114</v>
      </c>
      <c r="B4941" t="s">
        <v>4806</v>
      </c>
      <c r="C4941" s="1" t="s">
        <v>3864</v>
      </c>
      <c r="D4941" s="1"/>
      <c r="E4941" s="1"/>
      <c r="F4941" s="1" t="s">
        <v>4667</v>
      </c>
      <c r="G4941" s="1">
        <v>6</v>
      </c>
      <c r="H4941" s="1" t="s">
        <v>19</v>
      </c>
      <c r="I4941" s="1" t="s">
        <v>4086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11" t="s">
        <v>6</v>
      </c>
    </row>
    <row r="4942" spans="1:15" ht="20.25" x14ac:dyDescent="0.25">
      <c r="A4942" s="1">
        <v>115</v>
      </c>
      <c r="B4942" t="s">
        <v>4807</v>
      </c>
      <c r="C4942" s="1" t="s">
        <v>3864</v>
      </c>
      <c r="D4942" s="1"/>
      <c r="E4942" s="1"/>
      <c r="F4942" s="1" t="s">
        <v>4668</v>
      </c>
      <c r="G4942" s="1">
        <v>2</v>
      </c>
      <c r="H4942" s="1" t="s">
        <v>19</v>
      </c>
      <c r="I4942" s="1" t="s">
        <v>4086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11" t="s">
        <v>6</v>
      </c>
    </row>
    <row r="4943" spans="1:15" ht="20.25" x14ac:dyDescent="0.25">
      <c r="A4943" s="1">
        <v>116</v>
      </c>
      <c r="B4943" t="s">
        <v>4808</v>
      </c>
      <c r="C4943" s="1" t="s">
        <v>3855</v>
      </c>
      <c r="D4943" s="1"/>
      <c r="E4943" s="1"/>
      <c r="F4943" s="1" t="s">
        <v>4669</v>
      </c>
      <c r="G4943" s="1">
        <v>2</v>
      </c>
      <c r="H4943" s="1" t="s">
        <v>19</v>
      </c>
      <c r="I4943" s="1" t="s">
        <v>4086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11" t="s">
        <v>6</v>
      </c>
    </row>
    <row r="4944" spans="1:15" ht="20.25" x14ac:dyDescent="0.25">
      <c r="A4944" s="1">
        <v>117</v>
      </c>
      <c r="B4944" t="s">
        <v>4809</v>
      </c>
      <c r="C4944" s="1" t="s">
        <v>3855</v>
      </c>
      <c r="D4944" s="1"/>
      <c r="E4944" s="1"/>
      <c r="F4944" s="1" t="s">
        <v>4670</v>
      </c>
      <c r="G4944" s="1">
        <v>26</v>
      </c>
      <c r="H4944" s="1" t="s">
        <v>19</v>
      </c>
      <c r="I4944" s="1" t="s">
        <v>4086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11" t="s">
        <v>6</v>
      </c>
    </row>
    <row r="4945" spans="1:15" ht="20.25" x14ac:dyDescent="0.25">
      <c r="A4945" s="1">
        <v>118</v>
      </c>
      <c r="B4945" t="s">
        <v>4810</v>
      </c>
      <c r="C4945" s="1" t="s">
        <v>3873</v>
      </c>
      <c r="D4945" s="1"/>
      <c r="E4945" s="1"/>
      <c r="F4945" s="1" t="s">
        <v>4671</v>
      </c>
      <c r="G4945" s="1">
        <v>4</v>
      </c>
      <c r="H4945" s="1" t="s">
        <v>19</v>
      </c>
      <c r="I4945" s="1" t="s">
        <v>4086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11" t="s">
        <v>6</v>
      </c>
    </row>
    <row r="4946" spans="1:15" ht="20.25" x14ac:dyDescent="0.25">
      <c r="A4946" s="1">
        <v>119</v>
      </c>
      <c r="B4946" t="s">
        <v>4811</v>
      </c>
      <c r="C4946" s="1" t="s">
        <v>3873</v>
      </c>
      <c r="D4946" s="1"/>
      <c r="E4946" s="1"/>
      <c r="F4946" s="1" t="s">
        <v>4672</v>
      </c>
      <c r="G4946" s="1">
        <v>20</v>
      </c>
      <c r="H4946" s="1" t="s">
        <v>19</v>
      </c>
      <c r="I4946" s="1" t="s">
        <v>4086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11" t="s">
        <v>6</v>
      </c>
    </row>
    <row r="4947" spans="1:15" ht="20.25" x14ac:dyDescent="0.25">
      <c r="A4947" s="1">
        <v>120</v>
      </c>
      <c r="B4947" t="s">
        <v>4812</v>
      </c>
      <c r="C4947" s="1" t="s">
        <v>4673</v>
      </c>
      <c r="D4947" s="1"/>
      <c r="E4947" s="1"/>
      <c r="F4947" s="1" t="s">
        <v>4674</v>
      </c>
      <c r="G4947" s="1">
        <v>1</v>
      </c>
      <c r="H4947" s="1" t="s">
        <v>19</v>
      </c>
      <c r="I4947" s="1" t="s">
        <v>4675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11" t="s">
        <v>6</v>
      </c>
    </row>
    <row r="4948" spans="1:15" ht="20.25" x14ac:dyDescent="0.25">
      <c r="A4948" s="1">
        <v>121</v>
      </c>
      <c r="B4948" t="s">
        <v>4813</v>
      </c>
      <c r="C4948" s="1" t="s">
        <v>4673</v>
      </c>
      <c r="D4948" s="1"/>
      <c r="E4948" s="1"/>
      <c r="F4948" s="1" t="s">
        <v>4676</v>
      </c>
      <c r="G4948" s="1">
        <v>1</v>
      </c>
      <c r="H4948" s="1" t="s">
        <v>19</v>
      </c>
      <c r="I4948" s="1" t="s">
        <v>4675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11" t="s">
        <v>6</v>
      </c>
    </row>
    <row r="4949" spans="1:15" ht="20.25" x14ac:dyDescent="0.25">
      <c r="A4949" s="1">
        <v>122</v>
      </c>
      <c r="B4949" t="s">
        <v>4814</v>
      </c>
      <c r="C4949" s="1" t="s">
        <v>4673</v>
      </c>
      <c r="D4949" s="1"/>
      <c r="E4949" s="1"/>
      <c r="F4949" s="1" t="s">
        <v>4677</v>
      </c>
      <c r="G4949" s="1">
        <v>1</v>
      </c>
      <c r="H4949" s="1" t="s">
        <v>19</v>
      </c>
      <c r="I4949" s="1" t="s">
        <v>4675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11" t="s">
        <v>6</v>
      </c>
    </row>
    <row r="4950" spans="1:15" ht="20.25" x14ac:dyDescent="0.25">
      <c r="A4950" s="1">
        <v>123</v>
      </c>
      <c r="B4950" t="s">
        <v>4815</v>
      </c>
      <c r="C4950" s="1" t="s">
        <v>4673</v>
      </c>
      <c r="D4950" s="1"/>
      <c r="E4950" s="1"/>
      <c r="F4950" s="1" t="s">
        <v>4678</v>
      </c>
      <c r="G4950" s="1">
        <v>1</v>
      </c>
      <c r="H4950" s="1" t="s">
        <v>19</v>
      </c>
      <c r="I4950" s="1" t="s">
        <v>4675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11" t="s">
        <v>6</v>
      </c>
    </row>
    <row r="4951" spans="1:15" ht="20.25" x14ac:dyDescent="0.25">
      <c r="A4951" s="1">
        <v>124</v>
      </c>
      <c r="B4951" t="s">
        <v>4816</v>
      </c>
      <c r="C4951" s="1" t="s">
        <v>4673</v>
      </c>
      <c r="D4951" s="1"/>
      <c r="E4951" s="1"/>
      <c r="F4951" s="1" t="s">
        <v>4679</v>
      </c>
      <c r="G4951" s="1">
        <v>1</v>
      </c>
      <c r="H4951" s="1" t="s">
        <v>19</v>
      </c>
      <c r="I4951" s="1" t="s">
        <v>4675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11" t="s">
        <v>6</v>
      </c>
    </row>
    <row r="4952" spans="1:15" ht="20.25" x14ac:dyDescent="0.25">
      <c r="A4952" s="1">
        <v>125</v>
      </c>
      <c r="B4952" t="s">
        <v>4817</v>
      </c>
      <c r="C4952" s="1" t="s">
        <v>4673</v>
      </c>
      <c r="D4952" s="1"/>
      <c r="E4952" s="1"/>
      <c r="F4952" s="1" t="s">
        <v>4680</v>
      </c>
      <c r="G4952" s="1">
        <v>1</v>
      </c>
      <c r="H4952" s="1" t="s">
        <v>19</v>
      </c>
      <c r="I4952" s="1" t="s">
        <v>4675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11" t="s">
        <v>6</v>
      </c>
    </row>
    <row r="4953" spans="1:15" ht="20.25" x14ac:dyDescent="0.25">
      <c r="A4953" s="1">
        <v>126</v>
      </c>
      <c r="B4953" t="s">
        <v>4818</v>
      </c>
      <c r="C4953" s="1" t="s">
        <v>4673</v>
      </c>
      <c r="D4953" s="1"/>
      <c r="E4953" s="1"/>
      <c r="F4953" s="1" t="s">
        <v>4681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11" t="s">
        <v>6</v>
      </c>
    </row>
    <row r="4954" spans="1:15" ht="20.25" x14ac:dyDescent="0.25">
      <c r="A4954" s="1">
        <v>127</v>
      </c>
      <c r="B4954" t="s">
        <v>4819</v>
      </c>
      <c r="C4954" s="1" t="s">
        <v>4673</v>
      </c>
      <c r="D4954" s="1"/>
      <c r="E4954" s="1"/>
      <c r="F4954" s="1" t="s">
        <v>4682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11" t="s">
        <v>6</v>
      </c>
    </row>
    <row r="4955" spans="1:15" ht="20.25" x14ac:dyDescent="0.25">
      <c r="A4955" s="1">
        <v>128</v>
      </c>
      <c r="B4955" t="s">
        <v>4820</v>
      </c>
      <c r="C4955" s="1" t="s">
        <v>4673</v>
      </c>
      <c r="D4955" s="1"/>
      <c r="E4955" s="1"/>
      <c r="F4955" s="1" t="s">
        <v>4683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11" t="s">
        <v>6</v>
      </c>
    </row>
    <row r="4956" spans="1:15" ht="20.25" x14ac:dyDescent="0.25">
      <c r="A4956" s="1">
        <v>129</v>
      </c>
      <c r="B4956" t="s">
        <v>4821</v>
      </c>
      <c r="C4956" s="1" t="s">
        <v>4673</v>
      </c>
      <c r="D4956" s="1"/>
      <c r="E4956" s="1"/>
      <c r="F4956" s="1" t="s">
        <v>4684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11" t="s">
        <v>6</v>
      </c>
    </row>
    <row r="4957" spans="1:15" ht="20.25" x14ac:dyDescent="0.25">
      <c r="A4957" s="1">
        <v>130</v>
      </c>
      <c r="B4957" t="s">
        <v>4822</v>
      </c>
      <c r="C4957" s="1" t="s">
        <v>4673</v>
      </c>
      <c r="D4957" s="1"/>
      <c r="E4957" s="1"/>
      <c r="F4957" s="1" t="s">
        <v>4685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11" t="s">
        <v>6</v>
      </c>
    </row>
    <row r="4958" spans="1:15" ht="20.25" x14ac:dyDescent="0.25">
      <c r="A4958" s="1">
        <v>131</v>
      </c>
      <c r="B4958" t="s">
        <v>4823</v>
      </c>
      <c r="C4958" s="1" t="s">
        <v>4673</v>
      </c>
      <c r="D4958" s="1"/>
      <c r="E4958" s="1"/>
      <c r="F4958" s="1" t="s">
        <v>4686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11" t="s">
        <v>6</v>
      </c>
    </row>
    <row r="4959" spans="1:15" ht="20.25" x14ac:dyDescent="0.25">
      <c r="A4959" s="1">
        <v>132</v>
      </c>
      <c r="B4959" t="s">
        <v>4824</v>
      </c>
      <c r="C4959" s="1" t="s">
        <v>4673</v>
      </c>
      <c r="D4959" s="1"/>
      <c r="E4959" s="1"/>
      <c r="F4959" s="1" t="s">
        <v>4687</v>
      </c>
      <c r="G4959" s="1">
        <v>168</v>
      </c>
      <c r="H4959" s="1" t="s">
        <v>19</v>
      </c>
      <c r="I4959" s="1" t="s">
        <v>4675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11" t="s">
        <v>6</v>
      </c>
    </row>
    <row r="4960" spans="1:15" ht="20.25" x14ac:dyDescent="0.25">
      <c r="A4960" s="1">
        <v>133</v>
      </c>
      <c r="B4960" t="s">
        <v>4825</v>
      </c>
      <c r="C4960" s="1" t="s">
        <v>4673</v>
      </c>
      <c r="D4960" s="1"/>
      <c r="E4960" s="1"/>
      <c r="F4960" s="1" t="s">
        <v>4688</v>
      </c>
      <c r="G4960" s="1">
        <v>336</v>
      </c>
      <c r="H4960" s="1" t="s">
        <v>19</v>
      </c>
      <c r="I4960" s="1" t="s">
        <v>4675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11" t="s">
        <v>6</v>
      </c>
    </row>
    <row r="4961" spans="1:15" ht="20.25" x14ac:dyDescent="0.25">
      <c r="A4961" s="1">
        <v>134</v>
      </c>
      <c r="B4961" t="s">
        <v>4826</v>
      </c>
      <c r="C4961" s="1" t="s">
        <v>4673</v>
      </c>
      <c r="D4961" s="1"/>
      <c r="E4961" s="1"/>
      <c r="F4961" s="1" t="s">
        <v>4689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11" t="s">
        <v>6</v>
      </c>
    </row>
    <row r="4962" spans="1:15" ht="20.25" x14ac:dyDescent="0.25">
      <c r="A4962" s="1">
        <v>135</v>
      </c>
      <c r="B4962" t="s">
        <v>4827</v>
      </c>
      <c r="C4962" s="1" t="s">
        <v>4673</v>
      </c>
      <c r="D4962" s="1"/>
      <c r="E4962" s="1"/>
      <c r="F4962" s="1" t="s">
        <v>4689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11" t="s">
        <v>6</v>
      </c>
    </row>
    <row r="4963" spans="1:15" ht="20.25" x14ac:dyDescent="0.25">
      <c r="A4963" s="1">
        <v>140</v>
      </c>
      <c r="B4963" s="159" t="s">
        <v>4828</v>
      </c>
      <c r="C4963" s="1" t="s">
        <v>3913</v>
      </c>
      <c r="D4963" s="1"/>
      <c r="E4963" s="1" t="s">
        <v>173</v>
      </c>
      <c r="F4963" s="1" t="s">
        <v>4691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11" t="s">
        <v>6</v>
      </c>
    </row>
    <row r="4964" spans="1:15" ht="20.25" x14ac:dyDescent="0.25">
      <c r="A4964" s="1">
        <v>141</v>
      </c>
      <c r="B4964" s="159" t="s">
        <v>4829</v>
      </c>
      <c r="C4964" s="1" t="s">
        <v>3913</v>
      </c>
      <c r="D4964" s="1"/>
      <c r="E4964" s="1" t="s">
        <v>173</v>
      </c>
      <c r="F4964" s="1" t="s">
        <v>4691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11" t="s">
        <v>6</v>
      </c>
    </row>
    <row r="4965" spans="1:15" ht="20.25" x14ac:dyDescent="0.25">
      <c r="A4965" s="1">
        <v>142</v>
      </c>
      <c r="B4965" s="159" t="s">
        <v>4830</v>
      </c>
      <c r="C4965" s="1" t="s">
        <v>4692</v>
      </c>
      <c r="D4965" s="1"/>
      <c r="E4965" s="1"/>
      <c r="F4965" s="1" t="s">
        <v>4693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11" t="s">
        <v>6</v>
      </c>
    </row>
    <row r="4966" spans="1:15" ht="20.25" x14ac:dyDescent="0.25">
      <c r="A4966" s="1">
        <v>143</v>
      </c>
      <c r="B4966" s="159" t="s">
        <v>4831</v>
      </c>
      <c r="C4966" s="1" t="s">
        <v>4692</v>
      </c>
      <c r="D4966" s="1"/>
      <c r="E4966" s="1"/>
      <c r="F4966" s="1" t="s">
        <v>4693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11" t="s">
        <v>6</v>
      </c>
    </row>
    <row r="4967" spans="1:15" ht="20.25" x14ac:dyDescent="0.25">
      <c r="A4967" s="1">
        <v>136</v>
      </c>
      <c r="B4967" s="159">
        <v>4131</v>
      </c>
      <c r="C4967" s="115" t="s">
        <v>3880</v>
      </c>
      <c r="D4967" s="1"/>
      <c r="E4967" s="1" t="s">
        <v>2</v>
      </c>
      <c r="F4967" s="1" t="s">
        <v>3882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11" t="s">
        <v>6</v>
      </c>
    </row>
    <row r="4968" spans="1:15" ht="20.25" x14ac:dyDescent="0.25">
      <c r="A4968" s="1">
        <v>137</v>
      </c>
      <c r="B4968" s="159">
        <v>4131</v>
      </c>
      <c r="C4968" s="115" t="s">
        <v>3880</v>
      </c>
      <c r="D4968" s="1"/>
      <c r="E4968" s="1" t="s">
        <v>4690</v>
      </c>
      <c r="F4968" s="1" t="s">
        <v>3885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11" t="s">
        <v>6</v>
      </c>
    </row>
    <row r="4969" spans="1:15" ht="20.25" x14ac:dyDescent="0.25">
      <c r="A4969" s="1">
        <v>138</v>
      </c>
      <c r="B4969" s="159">
        <v>4133</v>
      </c>
      <c r="C4969" s="115" t="s">
        <v>3880</v>
      </c>
      <c r="D4969" s="1"/>
      <c r="E4969" s="1" t="s">
        <v>2</v>
      </c>
      <c r="F4969" s="1" t="s">
        <v>3882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11" t="s">
        <v>6</v>
      </c>
    </row>
    <row r="4970" spans="1:15" ht="20.25" x14ac:dyDescent="0.25">
      <c r="A4970" s="1">
        <v>139</v>
      </c>
      <c r="B4970" s="159">
        <v>4133</v>
      </c>
      <c r="C4970" s="115" t="s">
        <v>3880</v>
      </c>
      <c r="D4970" s="1"/>
      <c r="E4970" s="1" t="s">
        <v>4690</v>
      </c>
      <c r="F4970" s="1" t="s">
        <v>3885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11" t="s">
        <v>6</v>
      </c>
    </row>
  </sheetData>
  <autoFilter ref="A1:O4966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4970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85.387500000000003</v>
      </c>
      <c r="I354" s="113">
        <f>SUMIF(MICRO!AP:AP,O:O,MICRO!T:T)</f>
        <v>-49.5</v>
      </c>
      <c r="J354" s="114">
        <f t="shared" si="130"/>
        <v>0.86250000000000004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49.5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3947.4274999999998</v>
      </c>
      <c r="I357" s="113">
        <f>SUMIF(MICRO!AP:AP,O:O,MICRO!T:T)</f>
        <v>-4306.2</v>
      </c>
      <c r="J357" s="114">
        <f t="shared" si="130"/>
        <v>0.62384276819015105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2021.4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144.71250000000001</v>
      </c>
      <c r="I359" s="113">
        <f>SUMIF(MICRO!AP:AP,O:O,MICRO!T:T)</f>
        <v>-1298.4000000000001</v>
      </c>
      <c r="J359" s="114">
        <f t="shared" si="130"/>
        <v>0.11145448243992606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119.92499999999998</v>
      </c>
      <c r="I381" s="113">
        <f>SUMIF(MICRO!AP:AP,O:O,MICRO!T:T)</f>
        <v>-61.499999999999993</v>
      </c>
      <c r="J381" s="114">
        <f t="shared" si="135"/>
        <v>0.97499999999999998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61.499999999999993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78.48899999999999</v>
      </c>
      <c r="I382" s="113">
        <f>SUMIF(MICRO!AP:AP,O:O,MICRO!T:T)</f>
        <v>-68.039999999999992</v>
      </c>
      <c r="J382" s="114">
        <f t="shared" si="135"/>
        <v>0.8075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29.159999999999997</v>
      </c>
      <c r="R382">
        <f>SUMIF(MICRO!AP:AP,O:O,MICRO!AU:AU)</f>
        <v>0</v>
      </c>
    </row>
    <row r="383" spans="4:18" ht="18.75" thickBot="1" x14ac:dyDescent="0.3">
      <c r="D383" s="110" t="s">
        <v>4299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4306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2026-07-22T13:03:09Z</cp:lastPrinted>
  <dcterms:created xsi:type="dcterms:W3CDTF">2022-04-15T01:30:45Z</dcterms:created>
  <dcterms:modified xsi:type="dcterms:W3CDTF">2026-07-22T19:56:44Z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