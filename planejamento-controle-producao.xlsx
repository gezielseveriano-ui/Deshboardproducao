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4307" documentId="8_{FDD42E6F-94E1-48F3-8613-54A91AB43A68}" xr6:coauthVersionLast="47" xr6:coauthVersionMax="47" xr10:uidLastSave="{84FD7470-9A3E-4D9D-865F-6C0CA2BB9792}"/>
  <bookViews>
    <workbookView xWindow="-120" yWindow="-120" windowWidth="24240" windowHeight="13020" tabRatio="818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04" i="1" l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S1002" i="1" s="1"/>
  <c r="T1002" i="1" s="1"/>
  <c r="Q1001" i="1"/>
  <c r="U1001" i="1"/>
  <c r="Y1001" i="1" s="1"/>
  <c r="V1001" i="1"/>
  <c r="W1001" i="1"/>
  <c r="H1001" i="1"/>
  <c r="S1001" i="1" s="1"/>
  <c r="T1001" i="1" s="1"/>
  <c r="Q1000" i="1"/>
  <c r="U1000" i="1"/>
  <c r="Y1000" i="1" s="1"/>
  <c r="V1000" i="1"/>
  <c r="W1000" i="1"/>
  <c r="H1000" i="1"/>
  <c r="R1000" i="1" s="1"/>
  <c r="Q999" i="1"/>
  <c r="U999" i="1"/>
  <c r="V999" i="1"/>
  <c r="W999" i="1"/>
  <c r="H999" i="1"/>
  <c r="R999" i="1" s="1"/>
  <c r="Q998" i="1"/>
  <c r="U998" i="1"/>
  <c r="V998" i="1"/>
  <c r="W998" i="1"/>
  <c r="H998" i="1"/>
  <c r="R998" i="1" s="1"/>
  <c r="Q997" i="1"/>
  <c r="U997" i="1"/>
  <c r="Y997" i="1" s="1"/>
  <c r="V997" i="1"/>
  <c r="W997" i="1"/>
  <c r="H997" i="1"/>
  <c r="S997" i="1" s="1"/>
  <c r="T997" i="1" s="1"/>
  <c r="Q996" i="1"/>
  <c r="U996" i="1"/>
  <c r="Y996" i="1" s="1"/>
  <c r="V996" i="1"/>
  <c r="W996" i="1"/>
  <c r="H996" i="1"/>
  <c r="R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S993" i="1" s="1"/>
  <c r="T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R991" i="1" s="1"/>
  <c r="Q990" i="1"/>
  <c r="U990" i="1"/>
  <c r="Y990" i="1" s="1"/>
  <c r="V990" i="1"/>
  <c r="W990" i="1"/>
  <c r="H990" i="1"/>
  <c r="R990" i="1" s="1"/>
  <c r="Q989" i="1"/>
  <c r="U989" i="1"/>
  <c r="Y989" i="1" s="1"/>
  <c r="V989" i="1"/>
  <c r="W989" i="1"/>
  <c r="H989" i="1"/>
  <c r="S989" i="1" s="1"/>
  <c r="T989" i="1" s="1"/>
  <c r="Q988" i="1"/>
  <c r="U988" i="1"/>
  <c r="Y988" i="1" s="1"/>
  <c r="V988" i="1"/>
  <c r="W988" i="1"/>
  <c r="H988" i="1"/>
  <c r="S988" i="1" s="1"/>
  <c r="T988" i="1" s="1"/>
  <c r="Q987" i="1"/>
  <c r="U987" i="1"/>
  <c r="Y987" i="1" s="1"/>
  <c r="V987" i="1"/>
  <c r="W987" i="1"/>
  <c r="H987" i="1"/>
  <c r="R987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S622" i="1" s="1"/>
  <c r="T622" i="1" s="1"/>
  <c r="Q622" i="1"/>
  <c r="R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Z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3" i="1"/>
  <c r="R853" i="1" s="1"/>
  <c r="Q853" i="1"/>
  <c r="U853" i="1"/>
  <c r="V853" i="1"/>
  <c r="W853" i="1"/>
  <c r="H854" i="1"/>
  <c r="Q854" i="1"/>
  <c r="U854" i="1"/>
  <c r="Y854" i="1" s="1"/>
  <c r="V854" i="1"/>
  <c r="W854" i="1"/>
  <c r="H855" i="1"/>
  <c r="S855" i="1" s="1"/>
  <c r="T855" i="1" s="1"/>
  <c r="Q855" i="1"/>
  <c r="U855" i="1"/>
  <c r="X855" i="1" s="1"/>
  <c r="V855" i="1"/>
  <c r="W855" i="1"/>
  <c r="H856" i="1"/>
  <c r="Q856" i="1"/>
  <c r="U856" i="1"/>
  <c r="X856" i="1" s="1"/>
  <c r="V856" i="1"/>
  <c r="W856" i="1"/>
  <c r="H857" i="1"/>
  <c r="R857" i="1" s="1"/>
  <c r="Q857" i="1"/>
  <c r="U857" i="1"/>
  <c r="V857" i="1"/>
  <c r="W857" i="1"/>
  <c r="H858" i="1"/>
  <c r="R858" i="1" s="1"/>
  <c r="Q858" i="1"/>
  <c r="U858" i="1"/>
  <c r="X858" i="1" s="1"/>
  <c r="V858" i="1"/>
  <c r="W858" i="1"/>
  <c r="H859" i="1"/>
  <c r="Q859" i="1"/>
  <c r="U859" i="1"/>
  <c r="X859" i="1" s="1"/>
  <c r="V859" i="1"/>
  <c r="W859" i="1"/>
  <c r="H861" i="1"/>
  <c r="R861" i="1" s="1"/>
  <c r="Q861" i="1"/>
  <c r="U861" i="1"/>
  <c r="Y861" i="1" s="1"/>
  <c r="V861" i="1"/>
  <c r="W861" i="1"/>
  <c r="H862" i="1"/>
  <c r="R862" i="1" s="1"/>
  <c r="Q862" i="1"/>
  <c r="U862" i="1"/>
  <c r="Y862" i="1" s="1"/>
  <c r="V862" i="1"/>
  <c r="W862" i="1"/>
  <c r="H863" i="1"/>
  <c r="S863" i="1" s="1"/>
  <c r="T863" i="1" s="1"/>
  <c r="Q863" i="1"/>
  <c r="U863" i="1"/>
  <c r="V863" i="1"/>
  <c r="W863" i="1"/>
  <c r="H864" i="1"/>
  <c r="Q864" i="1"/>
  <c r="U864" i="1"/>
  <c r="X864" i="1" s="1"/>
  <c r="V864" i="1"/>
  <c r="W864" i="1"/>
  <c r="H865" i="1"/>
  <c r="S865" i="1" s="1"/>
  <c r="T865" i="1" s="1"/>
  <c r="Q865" i="1"/>
  <c r="U865" i="1"/>
  <c r="Y865" i="1" s="1"/>
  <c r="V865" i="1"/>
  <c r="W865" i="1"/>
  <c r="H866" i="1"/>
  <c r="R866" i="1" s="1"/>
  <c r="Q866" i="1"/>
  <c r="U866" i="1"/>
  <c r="X866" i="1" s="1"/>
  <c r="V866" i="1"/>
  <c r="W866" i="1"/>
  <c r="H986" i="1"/>
  <c r="R986" i="1" s="1"/>
  <c r="Q986" i="1"/>
  <c r="U986" i="1"/>
  <c r="X986" i="1" s="1"/>
  <c r="V986" i="1"/>
  <c r="W986" i="1"/>
  <c r="H985" i="1"/>
  <c r="S985" i="1" s="1"/>
  <c r="T985" i="1" s="1"/>
  <c r="Q985" i="1"/>
  <c r="U985" i="1"/>
  <c r="Y985" i="1" s="1"/>
  <c r="V985" i="1"/>
  <c r="W985" i="1"/>
  <c r="H872" i="1"/>
  <c r="R872" i="1" s="1"/>
  <c r="Q872" i="1"/>
  <c r="U872" i="1"/>
  <c r="Y872" i="1" s="1"/>
  <c r="V872" i="1"/>
  <c r="W872" i="1"/>
  <c r="H873" i="1"/>
  <c r="S873" i="1" s="1"/>
  <c r="T873" i="1" s="1"/>
  <c r="Q873" i="1"/>
  <c r="U873" i="1"/>
  <c r="Y873" i="1" s="1"/>
  <c r="V873" i="1"/>
  <c r="W873" i="1"/>
  <c r="H874" i="1"/>
  <c r="Q874" i="1"/>
  <c r="U874" i="1"/>
  <c r="Y874" i="1" s="1"/>
  <c r="V874" i="1"/>
  <c r="W874" i="1"/>
  <c r="H875" i="1"/>
  <c r="S875" i="1" s="1"/>
  <c r="T875" i="1" s="1"/>
  <c r="Q875" i="1"/>
  <c r="U875" i="1"/>
  <c r="X875" i="1" s="1"/>
  <c r="V875" i="1"/>
  <c r="W875" i="1"/>
  <c r="H876" i="1"/>
  <c r="S876" i="1" s="1"/>
  <c r="T876" i="1" s="1"/>
  <c r="Q876" i="1"/>
  <c r="U876" i="1"/>
  <c r="X876" i="1" s="1"/>
  <c r="V876" i="1"/>
  <c r="W876" i="1"/>
  <c r="H877" i="1"/>
  <c r="R877" i="1" s="1"/>
  <c r="Q877" i="1"/>
  <c r="U877" i="1"/>
  <c r="X877" i="1" s="1"/>
  <c r="V877" i="1"/>
  <c r="W877" i="1"/>
  <c r="H878" i="1"/>
  <c r="Q878" i="1"/>
  <c r="U878" i="1"/>
  <c r="X878" i="1" s="1"/>
  <c r="V878" i="1"/>
  <c r="W878" i="1"/>
  <c r="H879" i="1"/>
  <c r="S879" i="1" s="1"/>
  <c r="T879" i="1" s="1"/>
  <c r="Q879" i="1"/>
  <c r="U879" i="1"/>
  <c r="X879" i="1" s="1"/>
  <c r="V879" i="1"/>
  <c r="W879" i="1"/>
  <c r="H880" i="1"/>
  <c r="R880" i="1" s="1"/>
  <c r="Q880" i="1"/>
  <c r="U880" i="1"/>
  <c r="Y880" i="1" s="1"/>
  <c r="V880" i="1"/>
  <c r="W880" i="1"/>
  <c r="H881" i="1"/>
  <c r="R881" i="1" s="1"/>
  <c r="Q881" i="1"/>
  <c r="U881" i="1"/>
  <c r="Y881" i="1" s="1"/>
  <c r="V881" i="1"/>
  <c r="W881" i="1"/>
  <c r="H882" i="1"/>
  <c r="Q882" i="1"/>
  <c r="U882" i="1"/>
  <c r="Y882" i="1" s="1"/>
  <c r="V882" i="1"/>
  <c r="W882" i="1"/>
  <c r="H883" i="1"/>
  <c r="R883" i="1" s="1"/>
  <c r="Q883" i="1"/>
  <c r="U883" i="1"/>
  <c r="X883" i="1" s="1"/>
  <c r="V883" i="1"/>
  <c r="W883" i="1"/>
  <c r="H884" i="1"/>
  <c r="Q884" i="1"/>
  <c r="U884" i="1"/>
  <c r="X884" i="1" s="1"/>
  <c r="V884" i="1"/>
  <c r="W884" i="1"/>
  <c r="H885" i="1"/>
  <c r="R885" i="1" s="1"/>
  <c r="Q885" i="1"/>
  <c r="U885" i="1"/>
  <c r="X885" i="1" s="1"/>
  <c r="V885" i="1"/>
  <c r="W885" i="1"/>
  <c r="H886" i="1"/>
  <c r="R886" i="1" s="1"/>
  <c r="Q886" i="1"/>
  <c r="U886" i="1"/>
  <c r="X886" i="1" s="1"/>
  <c r="V886" i="1"/>
  <c r="W886" i="1"/>
  <c r="H887" i="1"/>
  <c r="S887" i="1" s="1"/>
  <c r="T887" i="1" s="1"/>
  <c r="Q887" i="1"/>
  <c r="U887" i="1"/>
  <c r="X887" i="1" s="1"/>
  <c r="V887" i="1"/>
  <c r="W887" i="1"/>
  <c r="H888" i="1"/>
  <c r="S888" i="1" s="1"/>
  <c r="T888" i="1" s="1"/>
  <c r="Q888" i="1"/>
  <c r="U888" i="1"/>
  <c r="Y888" i="1" s="1"/>
  <c r="V888" i="1"/>
  <c r="W888" i="1"/>
  <c r="H889" i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R891" i="1" s="1"/>
  <c r="Q891" i="1"/>
  <c r="U891" i="1"/>
  <c r="V891" i="1"/>
  <c r="W891" i="1"/>
  <c r="H892" i="1"/>
  <c r="Q892" i="1"/>
  <c r="U892" i="1"/>
  <c r="X892" i="1" s="1"/>
  <c r="V892" i="1"/>
  <c r="W892" i="1"/>
  <c r="H893" i="1"/>
  <c r="R893" i="1" s="1"/>
  <c r="Q893" i="1"/>
  <c r="U893" i="1"/>
  <c r="X893" i="1" s="1"/>
  <c r="V893" i="1"/>
  <c r="W893" i="1"/>
  <c r="H894" i="1"/>
  <c r="Q894" i="1"/>
  <c r="U894" i="1"/>
  <c r="Y894" i="1" s="1"/>
  <c r="V894" i="1"/>
  <c r="W894" i="1"/>
  <c r="H895" i="1"/>
  <c r="S895" i="1" s="1"/>
  <c r="T895" i="1" s="1"/>
  <c r="Q895" i="1"/>
  <c r="U895" i="1"/>
  <c r="X895" i="1" s="1"/>
  <c r="V895" i="1"/>
  <c r="W895" i="1"/>
  <c r="H896" i="1"/>
  <c r="R896" i="1" s="1"/>
  <c r="Q896" i="1"/>
  <c r="U896" i="1"/>
  <c r="V896" i="1"/>
  <c r="W896" i="1"/>
  <c r="H897" i="1"/>
  <c r="S897" i="1" s="1"/>
  <c r="T897" i="1" s="1"/>
  <c r="Q897" i="1"/>
  <c r="U897" i="1"/>
  <c r="X897" i="1" s="1"/>
  <c r="V897" i="1"/>
  <c r="W897" i="1"/>
  <c r="H898" i="1"/>
  <c r="S898" i="1" s="1"/>
  <c r="T898" i="1" s="1"/>
  <c r="Q898" i="1"/>
  <c r="U898" i="1"/>
  <c r="Y898" i="1" s="1"/>
  <c r="V898" i="1"/>
  <c r="W898" i="1"/>
  <c r="H899" i="1"/>
  <c r="R899" i="1" s="1"/>
  <c r="Q899" i="1"/>
  <c r="U899" i="1"/>
  <c r="X899" i="1" s="1"/>
  <c r="V899" i="1"/>
  <c r="W899" i="1"/>
  <c r="H900" i="1"/>
  <c r="S900" i="1" s="1"/>
  <c r="T900" i="1" s="1"/>
  <c r="Q900" i="1"/>
  <c r="U900" i="1"/>
  <c r="V900" i="1"/>
  <c r="W900" i="1"/>
  <c r="H901" i="1"/>
  <c r="R901" i="1" s="1"/>
  <c r="Q901" i="1"/>
  <c r="U901" i="1"/>
  <c r="X901" i="1" s="1"/>
  <c r="V901" i="1"/>
  <c r="W901" i="1"/>
  <c r="H902" i="1"/>
  <c r="Q902" i="1"/>
  <c r="U902" i="1"/>
  <c r="Y902" i="1" s="1"/>
  <c r="V902" i="1"/>
  <c r="W902" i="1"/>
  <c r="H903" i="1"/>
  <c r="S903" i="1" s="1"/>
  <c r="T903" i="1" s="1"/>
  <c r="Q903" i="1"/>
  <c r="U903" i="1"/>
  <c r="Y903" i="1" s="1"/>
  <c r="V903" i="1"/>
  <c r="W903" i="1"/>
  <c r="H904" i="1"/>
  <c r="R904" i="1" s="1"/>
  <c r="Q904" i="1"/>
  <c r="U904" i="1"/>
  <c r="X904" i="1" s="1"/>
  <c r="V904" i="1"/>
  <c r="W904" i="1"/>
  <c r="H905" i="1"/>
  <c r="S905" i="1" s="1"/>
  <c r="T905" i="1" s="1"/>
  <c r="Q905" i="1"/>
  <c r="U905" i="1"/>
  <c r="Y905" i="1" s="1"/>
  <c r="V905" i="1"/>
  <c r="W905" i="1"/>
  <c r="H906" i="1"/>
  <c r="S906" i="1" s="1"/>
  <c r="T906" i="1" s="1"/>
  <c r="Q906" i="1"/>
  <c r="U906" i="1"/>
  <c r="Y906" i="1" s="1"/>
  <c r="V906" i="1"/>
  <c r="W906" i="1"/>
  <c r="H907" i="1"/>
  <c r="S907" i="1" s="1"/>
  <c r="T907" i="1" s="1"/>
  <c r="Q907" i="1"/>
  <c r="U907" i="1"/>
  <c r="V907" i="1"/>
  <c r="W907" i="1"/>
  <c r="H908" i="1"/>
  <c r="S908" i="1" s="1"/>
  <c r="T908" i="1" s="1"/>
  <c r="Q908" i="1"/>
  <c r="U908" i="1"/>
  <c r="X908" i="1" s="1"/>
  <c r="V908" i="1"/>
  <c r="W908" i="1"/>
  <c r="H909" i="1"/>
  <c r="R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Q911" i="1"/>
  <c r="U911" i="1"/>
  <c r="X911" i="1" s="1"/>
  <c r="V911" i="1"/>
  <c r="W911" i="1"/>
  <c r="H912" i="1"/>
  <c r="S912" i="1" s="1"/>
  <c r="T912" i="1" s="1"/>
  <c r="Q912" i="1"/>
  <c r="U912" i="1"/>
  <c r="V912" i="1"/>
  <c r="W912" i="1"/>
  <c r="H913" i="1"/>
  <c r="R913" i="1" s="1"/>
  <c r="Q913" i="1"/>
  <c r="U913" i="1"/>
  <c r="Y913" i="1" s="1"/>
  <c r="V913" i="1"/>
  <c r="W913" i="1"/>
  <c r="H914" i="1"/>
  <c r="R914" i="1" s="1"/>
  <c r="Q914" i="1"/>
  <c r="U914" i="1"/>
  <c r="V914" i="1"/>
  <c r="W914" i="1"/>
  <c r="H915" i="1"/>
  <c r="Q915" i="1"/>
  <c r="U915" i="1"/>
  <c r="Y915" i="1" s="1"/>
  <c r="V915" i="1"/>
  <c r="W915" i="1"/>
  <c r="H916" i="1"/>
  <c r="Q916" i="1"/>
  <c r="U916" i="1"/>
  <c r="Y916" i="1" s="1"/>
  <c r="V916" i="1"/>
  <c r="W916" i="1"/>
  <c r="H917" i="1"/>
  <c r="R917" i="1" s="1"/>
  <c r="Q917" i="1"/>
  <c r="U917" i="1"/>
  <c r="X917" i="1" s="1"/>
  <c r="V917" i="1"/>
  <c r="W917" i="1"/>
  <c r="H918" i="1"/>
  <c r="S918" i="1" s="1"/>
  <c r="T918" i="1" s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R922" i="1" s="1"/>
  <c r="Q922" i="1"/>
  <c r="U922" i="1"/>
  <c r="X922" i="1" s="1"/>
  <c r="V922" i="1"/>
  <c r="W922" i="1"/>
  <c r="H923" i="1"/>
  <c r="S923" i="1" s="1"/>
  <c r="T923" i="1" s="1"/>
  <c r="Q923" i="1"/>
  <c r="U923" i="1"/>
  <c r="X923" i="1" s="1"/>
  <c r="V923" i="1"/>
  <c r="W923" i="1"/>
  <c r="H924" i="1"/>
  <c r="Q924" i="1"/>
  <c r="U924" i="1"/>
  <c r="Y924" i="1" s="1"/>
  <c r="V924" i="1"/>
  <c r="W924" i="1"/>
  <c r="H925" i="1"/>
  <c r="R925" i="1" s="1"/>
  <c r="Q925" i="1"/>
  <c r="U925" i="1"/>
  <c r="X925" i="1" s="1"/>
  <c r="V925" i="1"/>
  <c r="W925" i="1"/>
  <c r="H926" i="1"/>
  <c r="S926" i="1" s="1"/>
  <c r="T926" i="1" s="1"/>
  <c r="Q926" i="1"/>
  <c r="U926" i="1"/>
  <c r="Y926" i="1" s="1"/>
  <c r="V926" i="1"/>
  <c r="W926" i="1"/>
  <c r="H927" i="1"/>
  <c r="R927" i="1" s="1"/>
  <c r="Q927" i="1"/>
  <c r="U927" i="1"/>
  <c r="V927" i="1"/>
  <c r="W927" i="1"/>
  <c r="H928" i="1"/>
  <c r="S928" i="1" s="1"/>
  <c r="T928" i="1" s="1"/>
  <c r="Q928" i="1"/>
  <c r="U928" i="1"/>
  <c r="X928" i="1" s="1"/>
  <c r="V928" i="1"/>
  <c r="W928" i="1"/>
  <c r="H929" i="1"/>
  <c r="R929" i="1" s="1"/>
  <c r="Q929" i="1"/>
  <c r="U929" i="1"/>
  <c r="X929" i="1" s="1"/>
  <c r="V929" i="1"/>
  <c r="W929" i="1"/>
  <c r="H930" i="1"/>
  <c r="Q930" i="1"/>
  <c r="U930" i="1"/>
  <c r="X930" i="1" s="1"/>
  <c r="V930" i="1"/>
  <c r="W930" i="1"/>
  <c r="H931" i="1"/>
  <c r="S931" i="1" s="1"/>
  <c r="T931" i="1" s="1"/>
  <c r="Q931" i="1"/>
  <c r="U931" i="1"/>
  <c r="X931" i="1" s="1"/>
  <c r="V931" i="1"/>
  <c r="W931" i="1"/>
  <c r="H932" i="1"/>
  <c r="Q932" i="1"/>
  <c r="U932" i="1"/>
  <c r="Y932" i="1" s="1"/>
  <c r="V932" i="1"/>
  <c r="W932" i="1"/>
  <c r="H933" i="1"/>
  <c r="R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V935" i="1"/>
  <c r="W935" i="1"/>
  <c r="H936" i="1"/>
  <c r="S936" i="1" s="1"/>
  <c r="T936" i="1" s="1"/>
  <c r="Q936" i="1"/>
  <c r="U936" i="1"/>
  <c r="Y936" i="1" s="1"/>
  <c r="V936" i="1"/>
  <c r="W936" i="1"/>
  <c r="H937" i="1"/>
  <c r="R937" i="1" s="1"/>
  <c r="Q937" i="1"/>
  <c r="U937" i="1"/>
  <c r="X937" i="1" s="1"/>
  <c r="V937" i="1"/>
  <c r="W937" i="1"/>
  <c r="H938" i="1"/>
  <c r="R938" i="1" s="1"/>
  <c r="Q938" i="1"/>
  <c r="U938" i="1"/>
  <c r="X938" i="1" s="1"/>
  <c r="V938" i="1"/>
  <c r="W938" i="1"/>
  <c r="H939" i="1"/>
  <c r="S939" i="1" s="1"/>
  <c r="T939" i="1" s="1"/>
  <c r="Q939" i="1"/>
  <c r="U939" i="1"/>
  <c r="X939" i="1" s="1"/>
  <c r="V939" i="1"/>
  <c r="W939" i="1"/>
  <c r="H940" i="1"/>
  <c r="Q940" i="1"/>
  <c r="U940" i="1"/>
  <c r="Y940" i="1" s="1"/>
  <c r="V940" i="1"/>
  <c r="W940" i="1"/>
  <c r="H941" i="1"/>
  <c r="R941" i="1" s="1"/>
  <c r="Q941" i="1"/>
  <c r="U941" i="1"/>
  <c r="Y941" i="1" s="1"/>
  <c r="V941" i="1"/>
  <c r="W941" i="1"/>
  <c r="H942" i="1"/>
  <c r="S942" i="1" s="1"/>
  <c r="T942" i="1" s="1"/>
  <c r="Q942" i="1"/>
  <c r="U942" i="1"/>
  <c r="Y942" i="1" s="1"/>
  <c r="V942" i="1"/>
  <c r="W942" i="1"/>
  <c r="H943" i="1"/>
  <c r="R943" i="1" s="1"/>
  <c r="Q943" i="1"/>
  <c r="U943" i="1"/>
  <c r="X943" i="1" s="1"/>
  <c r="V943" i="1"/>
  <c r="W943" i="1"/>
  <c r="H944" i="1"/>
  <c r="S944" i="1" s="1"/>
  <c r="T944" i="1" s="1"/>
  <c r="Q944" i="1"/>
  <c r="U944" i="1"/>
  <c r="X944" i="1" s="1"/>
  <c r="V944" i="1"/>
  <c r="W944" i="1"/>
  <c r="H945" i="1"/>
  <c r="S945" i="1" s="1"/>
  <c r="T945" i="1" s="1"/>
  <c r="Q945" i="1"/>
  <c r="U945" i="1"/>
  <c r="X945" i="1" s="1"/>
  <c r="V945" i="1"/>
  <c r="W945" i="1"/>
  <c r="H946" i="1"/>
  <c r="Q946" i="1"/>
  <c r="U946" i="1"/>
  <c r="X946" i="1" s="1"/>
  <c r="V946" i="1"/>
  <c r="W946" i="1"/>
  <c r="H947" i="1"/>
  <c r="S947" i="1" s="1"/>
  <c r="T947" i="1" s="1"/>
  <c r="Q947" i="1"/>
  <c r="U947" i="1"/>
  <c r="Y947" i="1" s="1"/>
  <c r="V947" i="1"/>
  <c r="W947" i="1"/>
  <c r="H948" i="1"/>
  <c r="R948" i="1" s="1"/>
  <c r="Q948" i="1"/>
  <c r="U948" i="1"/>
  <c r="X948" i="1" s="1"/>
  <c r="V948" i="1"/>
  <c r="W948" i="1"/>
  <c r="H949" i="1"/>
  <c r="R949" i="1" s="1"/>
  <c r="Q949" i="1"/>
  <c r="U949" i="1"/>
  <c r="X949" i="1" s="1"/>
  <c r="V949" i="1"/>
  <c r="W949" i="1"/>
  <c r="H950" i="1"/>
  <c r="R950" i="1" s="1"/>
  <c r="Q950" i="1"/>
  <c r="U950" i="1"/>
  <c r="Y950" i="1" s="1"/>
  <c r="V950" i="1"/>
  <c r="W950" i="1"/>
  <c r="H951" i="1"/>
  <c r="R951" i="1" s="1"/>
  <c r="Q951" i="1"/>
  <c r="U951" i="1"/>
  <c r="X951" i="1" s="1"/>
  <c r="V951" i="1"/>
  <c r="W951" i="1"/>
  <c r="H952" i="1"/>
  <c r="S952" i="1" s="1"/>
  <c r="T952" i="1" s="1"/>
  <c r="Q952" i="1"/>
  <c r="U952" i="1"/>
  <c r="X952" i="1" s="1"/>
  <c r="V952" i="1"/>
  <c r="W952" i="1"/>
  <c r="H953" i="1"/>
  <c r="S953" i="1" s="1"/>
  <c r="T953" i="1" s="1"/>
  <c r="Q953" i="1"/>
  <c r="U953" i="1"/>
  <c r="X953" i="1" s="1"/>
  <c r="V953" i="1"/>
  <c r="W953" i="1"/>
  <c r="H954" i="1"/>
  <c r="S954" i="1" s="1"/>
  <c r="T954" i="1" s="1"/>
  <c r="Q954" i="1"/>
  <c r="U954" i="1"/>
  <c r="Y954" i="1" s="1"/>
  <c r="V954" i="1"/>
  <c r="W954" i="1"/>
  <c r="H955" i="1"/>
  <c r="R955" i="1" s="1"/>
  <c r="Q955" i="1"/>
  <c r="U955" i="1"/>
  <c r="X955" i="1" s="1"/>
  <c r="V955" i="1"/>
  <c r="W955" i="1"/>
  <c r="H956" i="1"/>
  <c r="S956" i="1" s="1"/>
  <c r="T956" i="1" s="1"/>
  <c r="Q956" i="1"/>
  <c r="U956" i="1"/>
  <c r="X956" i="1" s="1"/>
  <c r="V956" i="1"/>
  <c r="W956" i="1"/>
  <c r="H957" i="1"/>
  <c r="R957" i="1" s="1"/>
  <c r="Q957" i="1"/>
  <c r="U957" i="1"/>
  <c r="X957" i="1" s="1"/>
  <c r="V957" i="1"/>
  <c r="W957" i="1"/>
  <c r="H958" i="1"/>
  <c r="R958" i="1" s="1"/>
  <c r="Q958" i="1"/>
  <c r="U958" i="1"/>
  <c r="Y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X960" i="1" s="1"/>
  <c r="V960" i="1"/>
  <c r="W960" i="1"/>
  <c r="H961" i="1"/>
  <c r="R961" i="1" s="1"/>
  <c r="Q961" i="1"/>
  <c r="U961" i="1"/>
  <c r="X961" i="1" s="1"/>
  <c r="V961" i="1"/>
  <c r="W961" i="1"/>
  <c r="H962" i="1"/>
  <c r="S962" i="1" s="1"/>
  <c r="T962" i="1" s="1"/>
  <c r="Q962" i="1"/>
  <c r="U962" i="1"/>
  <c r="Y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X964" i="1" s="1"/>
  <c r="V964" i="1"/>
  <c r="W964" i="1"/>
  <c r="H965" i="1"/>
  <c r="S965" i="1" s="1"/>
  <c r="T965" i="1" s="1"/>
  <c r="Q965" i="1"/>
  <c r="U965" i="1"/>
  <c r="X965" i="1" s="1"/>
  <c r="V965" i="1"/>
  <c r="W965" i="1"/>
  <c r="H966" i="1"/>
  <c r="S966" i="1" s="1"/>
  <c r="T966" i="1" s="1"/>
  <c r="Q966" i="1"/>
  <c r="U966" i="1"/>
  <c r="Y966" i="1" s="1"/>
  <c r="V966" i="1"/>
  <c r="W966" i="1"/>
  <c r="H967" i="1"/>
  <c r="R967" i="1" s="1"/>
  <c r="Q967" i="1"/>
  <c r="U967" i="1"/>
  <c r="X967" i="1" s="1"/>
  <c r="V967" i="1"/>
  <c r="W967" i="1"/>
  <c r="H968" i="1"/>
  <c r="R968" i="1" s="1"/>
  <c r="Q968" i="1"/>
  <c r="U968" i="1"/>
  <c r="X968" i="1" s="1"/>
  <c r="V968" i="1"/>
  <c r="W968" i="1"/>
  <c r="H969" i="1"/>
  <c r="R969" i="1" s="1"/>
  <c r="Q969" i="1"/>
  <c r="U969" i="1"/>
  <c r="X969" i="1" s="1"/>
  <c r="V969" i="1"/>
  <c r="W969" i="1"/>
  <c r="H970" i="1"/>
  <c r="S970" i="1" s="1"/>
  <c r="T970" i="1" s="1"/>
  <c r="Q970" i="1"/>
  <c r="U970" i="1"/>
  <c r="Y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X972" i="1" s="1"/>
  <c r="V972" i="1"/>
  <c r="W972" i="1"/>
  <c r="H973" i="1"/>
  <c r="R973" i="1" s="1"/>
  <c r="Q973" i="1"/>
  <c r="U973" i="1"/>
  <c r="X973" i="1" s="1"/>
  <c r="V973" i="1"/>
  <c r="W973" i="1"/>
  <c r="H974" i="1"/>
  <c r="R974" i="1" s="1"/>
  <c r="Q974" i="1"/>
  <c r="U974" i="1"/>
  <c r="Y974" i="1" s="1"/>
  <c r="V974" i="1"/>
  <c r="W974" i="1"/>
  <c r="H975" i="1"/>
  <c r="R975" i="1" s="1"/>
  <c r="Q975" i="1"/>
  <c r="U975" i="1"/>
  <c r="Y975" i="1" s="1"/>
  <c r="V975" i="1"/>
  <c r="W975" i="1"/>
  <c r="H976" i="1"/>
  <c r="R976" i="1" s="1"/>
  <c r="Q976" i="1"/>
  <c r="U976" i="1"/>
  <c r="X976" i="1" s="1"/>
  <c r="V976" i="1"/>
  <c r="W976" i="1"/>
  <c r="H977" i="1"/>
  <c r="S977" i="1" s="1"/>
  <c r="T977" i="1" s="1"/>
  <c r="Q977" i="1"/>
  <c r="U977" i="1"/>
  <c r="X977" i="1" s="1"/>
  <c r="V977" i="1"/>
  <c r="W977" i="1"/>
  <c r="H978" i="1"/>
  <c r="S978" i="1" s="1"/>
  <c r="T978" i="1" s="1"/>
  <c r="Q978" i="1"/>
  <c r="U978" i="1"/>
  <c r="Y978" i="1" s="1"/>
  <c r="V978" i="1"/>
  <c r="W978" i="1"/>
  <c r="H979" i="1"/>
  <c r="R979" i="1" s="1"/>
  <c r="Q979" i="1"/>
  <c r="U979" i="1"/>
  <c r="X979" i="1" s="1"/>
  <c r="V979" i="1"/>
  <c r="W979" i="1"/>
  <c r="H980" i="1"/>
  <c r="S980" i="1" s="1"/>
  <c r="T980" i="1" s="1"/>
  <c r="Q980" i="1"/>
  <c r="U980" i="1"/>
  <c r="X980" i="1" s="1"/>
  <c r="V980" i="1"/>
  <c r="W980" i="1"/>
  <c r="H981" i="1"/>
  <c r="R981" i="1" s="1"/>
  <c r="Q981" i="1"/>
  <c r="U981" i="1"/>
  <c r="X981" i="1" s="1"/>
  <c r="V981" i="1"/>
  <c r="W981" i="1"/>
  <c r="H982" i="1"/>
  <c r="R982" i="1" s="1"/>
  <c r="Q982" i="1"/>
  <c r="U982" i="1"/>
  <c r="Y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X984" i="1" s="1"/>
  <c r="V984" i="1"/>
  <c r="W984" i="1"/>
  <c r="N5137" i="6"/>
  <c r="N5138" i="6"/>
  <c r="N5136" i="6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W869" i="1"/>
  <c r="V869" i="1"/>
  <c r="U869" i="1"/>
  <c r="Y869" i="1" s="1"/>
  <c r="Q869" i="1"/>
  <c r="H869" i="1"/>
  <c r="W868" i="1"/>
  <c r="V868" i="1"/>
  <c r="U868" i="1"/>
  <c r="Y868" i="1" s="1"/>
  <c r="Q868" i="1"/>
  <c r="H868" i="1"/>
  <c r="S868" i="1" s="1"/>
  <c r="T868" i="1" s="1"/>
  <c r="W867" i="1"/>
  <c r="V867" i="1"/>
  <c r="U867" i="1"/>
  <c r="Y867" i="1" s="1"/>
  <c r="Q867" i="1"/>
  <c r="H867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0" i="1"/>
  <c r="V860" i="1"/>
  <c r="U860" i="1"/>
  <c r="Y860" i="1" s="1"/>
  <c r="Q860" i="1"/>
  <c r="H860" i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Y999" i="1" l="1"/>
  <c r="X999" i="1"/>
  <c r="Y998" i="1"/>
  <c r="X998" i="1"/>
  <c r="X997" i="1"/>
  <c r="Z997" i="1" s="1"/>
  <c r="X1001" i="1"/>
  <c r="Z1001" i="1" s="1"/>
  <c r="X996" i="1"/>
  <c r="X1004" i="1"/>
  <c r="Z1004" i="1" s="1"/>
  <c r="X995" i="1"/>
  <c r="R997" i="1"/>
  <c r="X1003" i="1"/>
  <c r="Z1003" i="1" s="1"/>
  <c r="X1002" i="1"/>
  <c r="Z1002" i="1" s="1"/>
  <c r="R1004" i="1"/>
  <c r="S1003" i="1"/>
  <c r="T1003" i="1" s="1"/>
  <c r="R1002" i="1"/>
  <c r="R1001" i="1"/>
  <c r="X1000" i="1"/>
  <c r="Z1000" i="1" s="1"/>
  <c r="S1000" i="1"/>
  <c r="T1000" i="1" s="1"/>
  <c r="S999" i="1"/>
  <c r="T999" i="1" s="1"/>
  <c r="Z999" i="1"/>
  <c r="S998" i="1"/>
  <c r="T998" i="1" s="1"/>
  <c r="Z998" i="1"/>
  <c r="S996" i="1"/>
  <c r="T996" i="1" s="1"/>
  <c r="Z996" i="1"/>
  <c r="Z995" i="1"/>
  <c r="R995" i="1"/>
  <c r="X994" i="1"/>
  <c r="Z994" i="1" s="1"/>
  <c r="S994" i="1"/>
  <c r="T994" i="1" s="1"/>
  <c r="R992" i="1"/>
  <c r="X990" i="1"/>
  <c r="Z990" i="1" s="1"/>
  <c r="R59" i="1"/>
  <c r="X993" i="1"/>
  <c r="Z993" i="1" s="1"/>
  <c r="S82" i="1"/>
  <c r="T82" i="1" s="1"/>
  <c r="X992" i="1"/>
  <c r="Z992" i="1" s="1"/>
  <c r="R993" i="1"/>
  <c r="X991" i="1"/>
  <c r="Z991" i="1" s="1"/>
  <c r="S991" i="1"/>
  <c r="T991" i="1" s="1"/>
  <c r="S990" i="1"/>
  <c r="T990" i="1" s="1"/>
  <c r="R83" i="1"/>
  <c r="Z47" i="1"/>
  <c r="AI47" i="1" s="1"/>
  <c r="Z41" i="1"/>
  <c r="AI41" i="1" s="1"/>
  <c r="R50" i="1"/>
  <c r="S787" i="1"/>
  <c r="T787" i="1" s="1"/>
  <c r="X920" i="1"/>
  <c r="Z920" i="1" s="1"/>
  <c r="X950" i="1"/>
  <c r="X839" i="1"/>
  <c r="Z839" i="1" s="1"/>
  <c r="R42" i="1"/>
  <c r="S93" i="1"/>
  <c r="T93" i="1" s="1"/>
  <c r="X975" i="1"/>
  <c r="Z975" i="1" s="1"/>
  <c r="Z885" i="1"/>
  <c r="R918" i="1"/>
  <c r="Z910" i="1"/>
  <c r="X865" i="1"/>
  <c r="S829" i="1"/>
  <c r="T829" i="1" s="1"/>
  <c r="Z805" i="1"/>
  <c r="R66" i="1"/>
  <c r="X611" i="1"/>
  <c r="Z611" i="1" s="1"/>
  <c r="R58" i="1"/>
  <c r="X989" i="1"/>
  <c r="Z989" i="1" s="1"/>
  <c r="R906" i="1"/>
  <c r="X988" i="1"/>
  <c r="Z988" i="1" s="1"/>
  <c r="Z856" i="1"/>
  <c r="Z787" i="1"/>
  <c r="X987" i="1"/>
  <c r="Z987" i="1" s="1"/>
  <c r="R123" i="1"/>
  <c r="S857" i="1"/>
  <c r="T857" i="1" s="1"/>
  <c r="Y797" i="1"/>
  <c r="S98" i="1"/>
  <c r="T98" i="1" s="1"/>
  <c r="R51" i="1"/>
  <c r="R988" i="1"/>
  <c r="R989" i="1"/>
  <c r="S987" i="1"/>
  <c r="T987" i="1" s="1"/>
  <c r="X962" i="1"/>
  <c r="Z962" i="1" s="1"/>
  <c r="Z961" i="1"/>
  <c r="R888" i="1"/>
  <c r="S885" i="1"/>
  <c r="T885" i="1" s="1"/>
  <c r="S841" i="1"/>
  <c r="T841" i="1" s="1"/>
  <c r="X146" i="1"/>
  <c r="Z146" i="1" s="1"/>
  <c r="AI146" i="1" s="1"/>
  <c r="Z69" i="1"/>
  <c r="AI69" i="1" s="1"/>
  <c r="Z946" i="1"/>
  <c r="Z925" i="1"/>
  <c r="Z919" i="1"/>
  <c r="Z838" i="1"/>
  <c r="Y448" i="1"/>
  <c r="S69" i="1"/>
  <c r="T69" i="1" s="1"/>
  <c r="Z108" i="1"/>
  <c r="AI108" i="1" s="1"/>
  <c r="S883" i="1"/>
  <c r="T883" i="1" s="1"/>
  <c r="Y777" i="1"/>
  <c r="R111" i="1"/>
  <c r="Z42" i="1"/>
  <c r="AI42" i="1" s="1"/>
  <c r="Z957" i="1"/>
  <c r="Z948" i="1"/>
  <c r="Y858" i="1"/>
  <c r="Y814" i="1"/>
  <c r="S90" i="1"/>
  <c r="T90" i="1" s="1"/>
  <c r="S957" i="1"/>
  <c r="T957" i="1" s="1"/>
  <c r="R954" i="1"/>
  <c r="S948" i="1"/>
  <c r="T948" i="1" s="1"/>
  <c r="R945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4" i="1"/>
  <c r="T974" i="1" s="1"/>
  <c r="Z825" i="1"/>
  <c r="X801" i="1"/>
  <c r="Z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5" i="1"/>
  <c r="Z930" i="1"/>
  <c r="S919" i="1"/>
  <c r="T919" i="1" s="1"/>
  <c r="R910" i="1"/>
  <c r="R907" i="1"/>
  <c r="Z886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6" i="1"/>
  <c r="T946" i="1" s="1"/>
  <c r="Y938" i="1"/>
  <c r="Y791" i="1"/>
  <c r="X618" i="1"/>
  <c r="Z618" i="1" s="1"/>
  <c r="Y617" i="1"/>
  <c r="X610" i="1"/>
  <c r="Z610" i="1" s="1"/>
  <c r="Y443" i="1"/>
  <c r="Y92" i="1"/>
  <c r="R54" i="1"/>
  <c r="S979" i="1"/>
  <c r="T979" i="1" s="1"/>
  <c r="Z956" i="1"/>
  <c r="R946" i="1"/>
  <c r="X915" i="1"/>
  <c r="Z915" i="1" s="1"/>
  <c r="Z899" i="1"/>
  <c r="Y876" i="1"/>
  <c r="S866" i="1"/>
  <c r="T866" i="1" s="1"/>
  <c r="S830" i="1"/>
  <c r="T830" i="1" s="1"/>
  <c r="Z827" i="1"/>
  <c r="S825" i="1"/>
  <c r="T825" i="1" s="1"/>
  <c r="Z804" i="1"/>
  <c r="S777" i="1"/>
  <c r="T777" i="1" s="1"/>
  <c r="X127" i="1"/>
  <c r="Z127" i="1" s="1"/>
  <c r="AI127" i="1" s="1"/>
  <c r="S110" i="1"/>
  <c r="T110" i="1" s="1"/>
  <c r="R101" i="1"/>
  <c r="Z88" i="1"/>
  <c r="AI88" i="1" s="1"/>
  <c r="Z980" i="1"/>
  <c r="R956" i="1"/>
  <c r="R905" i="1"/>
  <c r="X903" i="1"/>
  <c r="Z903" i="1" s="1"/>
  <c r="S899" i="1"/>
  <c r="T899" i="1" s="1"/>
  <c r="X894" i="1"/>
  <c r="Z894" i="1" s="1"/>
  <c r="Z875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0" i="1"/>
  <c r="R863" i="1"/>
  <c r="S816" i="1"/>
  <c r="T816" i="1" s="1"/>
  <c r="R106" i="1"/>
  <c r="S99" i="1"/>
  <c r="T99" i="1" s="1"/>
  <c r="S92" i="1"/>
  <c r="T92" i="1" s="1"/>
  <c r="R55" i="1"/>
  <c r="R46" i="1"/>
  <c r="Y964" i="1"/>
  <c r="Z448" i="1"/>
  <c r="AI448" i="1" s="1"/>
  <c r="Y88" i="1"/>
  <c r="Z937" i="1"/>
  <c r="S930" i="1"/>
  <c r="T930" i="1" s="1"/>
  <c r="R912" i="1"/>
  <c r="Z893" i="1"/>
  <c r="X137" i="1"/>
  <c r="Z137" i="1" s="1"/>
  <c r="AI137" i="1" s="1"/>
  <c r="X131" i="1"/>
  <c r="Z131" i="1" s="1"/>
  <c r="AI131" i="1" s="1"/>
  <c r="Y128" i="1"/>
  <c r="R112" i="1"/>
  <c r="R107" i="1"/>
  <c r="Z981" i="1"/>
  <c r="Z969" i="1"/>
  <c r="X966" i="1"/>
  <c r="Z966" i="1" s="1"/>
  <c r="Z965" i="1"/>
  <c r="S958" i="1"/>
  <c r="T958" i="1" s="1"/>
  <c r="Y951" i="1"/>
  <c r="S949" i="1"/>
  <c r="T949" i="1" s="1"/>
  <c r="Z944" i="1"/>
  <c r="S941" i="1"/>
  <c r="T941" i="1" s="1"/>
  <c r="S937" i="1"/>
  <c r="T937" i="1" s="1"/>
  <c r="R936" i="1"/>
  <c r="Z928" i="1"/>
  <c r="Z921" i="1"/>
  <c r="R908" i="1"/>
  <c r="S893" i="1"/>
  <c r="T893" i="1" s="1"/>
  <c r="X881" i="1"/>
  <c r="Z881" i="1" s="1"/>
  <c r="Y877" i="1"/>
  <c r="R875" i="1"/>
  <c r="Y986" i="1"/>
  <c r="Z864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1" i="1"/>
  <c r="T981" i="1" s="1"/>
  <c r="X978" i="1"/>
  <c r="Z978" i="1" s="1"/>
  <c r="S969" i="1"/>
  <c r="T969" i="1" s="1"/>
  <c r="R965" i="1"/>
  <c r="Y939" i="1"/>
  <c r="Y928" i="1"/>
  <c r="S917" i="1"/>
  <c r="T917" i="1" s="1"/>
  <c r="S913" i="1"/>
  <c r="T913" i="1" s="1"/>
  <c r="S909" i="1"/>
  <c r="T909" i="1" s="1"/>
  <c r="X902" i="1"/>
  <c r="Z902" i="1" s="1"/>
  <c r="Z901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4" i="1"/>
  <c r="Z974" i="1" s="1"/>
  <c r="Y967" i="1"/>
  <c r="Y929" i="1"/>
  <c r="X882" i="1"/>
  <c r="Z882" i="1" s="1"/>
  <c r="Y878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79" i="1"/>
  <c r="Z877" i="1"/>
  <c r="R873" i="1"/>
  <c r="Y864" i="1"/>
  <c r="Z855" i="1"/>
  <c r="Z777" i="1"/>
  <c r="S610" i="1"/>
  <c r="T610" i="1" s="1"/>
  <c r="S121" i="1"/>
  <c r="T121" i="1" s="1"/>
  <c r="Z89" i="1"/>
  <c r="AI89" i="1" s="1"/>
  <c r="Z72" i="1"/>
  <c r="AI72" i="1" s="1"/>
  <c r="R978" i="1"/>
  <c r="S955" i="1"/>
  <c r="T955" i="1" s="1"/>
  <c r="Z952" i="1"/>
  <c r="Z943" i="1"/>
  <c r="Y897" i="1"/>
  <c r="Z878" i="1"/>
  <c r="R855" i="1"/>
  <c r="R780" i="1"/>
  <c r="X136" i="1"/>
  <c r="Z136" i="1" s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2" i="1"/>
  <c r="Z883" i="1"/>
  <c r="Y820" i="1"/>
  <c r="Y817" i="1"/>
  <c r="X798" i="1"/>
  <c r="Z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7" i="1"/>
  <c r="R966" i="1"/>
  <c r="R953" i="1"/>
  <c r="Z938" i="1"/>
  <c r="Y912" i="1"/>
  <c r="X912" i="1"/>
  <c r="Z912" i="1" s="1"/>
  <c r="S856" i="1"/>
  <c r="T856" i="1" s="1"/>
  <c r="R856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6" i="1"/>
  <c r="T886" i="1" s="1"/>
  <c r="S861" i="1"/>
  <c r="T861" i="1" s="1"/>
  <c r="Y856" i="1"/>
  <c r="X854" i="1"/>
  <c r="Z854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7" i="1"/>
  <c r="X934" i="1"/>
  <c r="Z934" i="1" s="1"/>
  <c r="Z933" i="1"/>
  <c r="R930" i="1"/>
  <c r="S929" i="1"/>
  <c r="T929" i="1" s="1"/>
  <c r="S927" i="1"/>
  <c r="T927" i="1" s="1"/>
  <c r="R926" i="1"/>
  <c r="S925" i="1"/>
  <c r="T925" i="1" s="1"/>
  <c r="S914" i="1"/>
  <c r="T914" i="1" s="1"/>
  <c r="X905" i="1"/>
  <c r="Z905" i="1" s="1"/>
  <c r="Y904" i="1"/>
  <c r="Y883" i="1"/>
  <c r="X985" i="1"/>
  <c r="Z985" i="1" s="1"/>
  <c r="Y863" i="1"/>
  <c r="X863" i="1"/>
  <c r="Z863" i="1" s="1"/>
  <c r="S862" i="1"/>
  <c r="T862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X147" i="1"/>
  <c r="Z147" i="1" s="1"/>
  <c r="AI147" i="1" s="1"/>
  <c r="Y147" i="1"/>
  <c r="R142" i="1"/>
  <c r="S142" i="1"/>
  <c r="T142" i="1" s="1"/>
  <c r="R140" i="1"/>
  <c r="S140" i="1"/>
  <c r="T140" i="1" s="1"/>
  <c r="S982" i="1"/>
  <c r="T982" i="1" s="1"/>
  <c r="Z973" i="1"/>
  <c r="Z972" i="1"/>
  <c r="S971" i="1"/>
  <c r="T971" i="1" s="1"/>
  <c r="R970" i="1"/>
  <c r="S961" i="1"/>
  <c r="T961" i="1" s="1"/>
  <c r="S943" i="1"/>
  <c r="T943" i="1" s="1"/>
  <c r="X936" i="1"/>
  <c r="Z936" i="1" s="1"/>
  <c r="S933" i="1"/>
  <c r="T933" i="1" s="1"/>
  <c r="S922" i="1"/>
  <c r="T922" i="1" s="1"/>
  <c r="S921" i="1"/>
  <c r="T921" i="1" s="1"/>
  <c r="Y910" i="1"/>
  <c r="Y908" i="1"/>
  <c r="S901" i="1"/>
  <c r="T901" i="1" s="1"/>
  <c r="Y892" i="1"/>
  <c r="R890" i="1"/>
  <c r="Y887" i="1"/>
  <c r="Y884" i="1"/>
  <c r="S877" i="1"/>
  <c r="T877" i="1" s="1"/>
  <c r="R865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973" i="1"/>
  <c r="T973" i="1" s="1"/>
  <c r="R972" i="1"/>
  <c r="Y959" i="1"/>
  <c r="X958" i="1"/>
  <c r="Z958" i="1" s="1"/>
  <c r="Z949" i="1"/>
  <c r="X947" i="1"/>
  <c r="Z947" i="1" s="1"/>
  <c r="Y946" i="1"/>
  <c r="R944" i="1"/>
  <c r="X941" i="1"/>
  <c r="Z941" i="1" s="1"/>
  <c r="Y931" i="1"/>
  <c r="Y930" i="1"/>
  <c r="R928" i="1"/>
  <c r="Y923" i="1"/>
  <c r="Z922" i="1"/>
  <c r="Y911" i="1"/>
  <c r="S896" i="1"/>
  <c r="T896" i="1" s="1"/>
  <c r="S891" i="1"/>
  <c r="T891" i="1" s="1"/>
  <c r="X888" i="1"/>
  <c r="Z888" i="1" s="1"/>
  <c r="Y886" i="1"/>
  <c r="Y885" i="1"/>
  <c r="X873" i="1"/>
  <c r="Z873" i="1" s="1"/>
  <c r="X872" i="1"/>
  <c r="Z872" i="1" s="1"/>
  <c r="S864" i="1"/>
  <c r="T864" i="1" s="1"/>
  <c r="Y859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4" i="1"/>
  <c r="S963" i="1"/>
  <c r="T963" i="1" s="1"/>
  <c r="R962" i="1"/>
  <c r="Y956" i="1"/>
  <c r="X954" i="1"/>
  <c r="Z954" i="1" s="1"/>
  <c r="Y922" i="1"/>
  <c r="X918" i="1"/>
  <c r="Z918" i="1" s="1"/>
  <c r="X909" i="1"/>
  <c r="Z909" i="1" s="1"/>
  <c r="Y909" i="1"/>
  <c r="S880" i="1"/>
  <c r="T880" i="1" s="1"/>
  <c r="R876" i="1"/>
  <c r="R864" i="1"/>
  <c r="R833" i="1"/>
  <c r="X821" i="1"/>
  <c r="Z821" i="1" s="1"/>
  <c r="Y821" i="1"/>
  <c r="Z819" i="1"/>
  <c r="R126" i="1"/>
  <c r="S126" i="1"/>
  <c r="T126" i="1" s="1"/>
  <c r="Z126" i="1"/>
  <c r="AI126" i="1" s="1"/>
  <c r="Y983" i="1"/>
  <c r="X982" i="1"/>
  <c r="Z982" i="1" s="1"/>
  <c r="Y980" i="1"/>
  <c r="Z977" i="1"/>
  <c r="R964" i="1"/>
  <c r="Z953" i="1"/>
  <c r="Y944" i="1"/>
  <c r="S938" i="1"/>
  <c r="T938" i="1" s="1"/>
  <c r="S935" i="1"/>
  <c r="T935" i="1" s="1"/>
  <c r="X926" i="1"/>
  <c r="Z926" i="1" s="1"/>
  <c r="Y925" i="1"/>
  <c r="X924" i="1"/>
  <c r="Z924" i="1" s="1"/>
  <c r="Y901" i="1"/>
  <c r="R898" i="1"/>
  <c r="Y889" i="1"/>
  <c r="S881" i="1"/>
  <c r="T881" i="1" s="1"/>
  <c r="S878" i="1"/>
  <c r="T878" i="1" s="1"/>
  <c r="R878" i="1"/>
  <c r="Z876" i="1"/>
  <c r="S854" i="1"/>
  <c r="T854" i="1" s="1"/>
  <c r="R854" i="1"/>
  <c r="Y805" i="1"/>
  <c r="Y785" i="1"/>
  <c r="X784" i="1"/>
  <c r="Z784" i="1" s="1"/>
  <c r="Y784" i="1"/>
  <c r="R614" i="1"/>
  <c r="S614" i="1"/>
  <c r="T614" i="1" s="1"/>
  <c r="Y607" i="1"/>
  <c r="X970" i="1"/>
  <c r="Z970" i="1" s="1"/>
  <c r="Y943" i="1"/>
  <c r="S934" i="1"/>
  <c r="T934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29" i="1"/>
  <c r="Z917" i="1"/>
  <c r="Z866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S986" i="1"/>
  <c r="T986" i="1" s="1"/>
  <c r="Z986" i="1"/>
  <c r="Z950" i="1"/>
  <c r="R916" i="1"/>
  <c r="S916" i="1"/>
  <c r="T916" i="1" s="1"/>
  <c r="R915" i="1"/>
  <c r="R911" i="1"/>
  <c r="Z911" i="1"/>
  <c r="S911" i="1"/>
  <c r="T911" i="1" s="1"/>
  <c r="X900" i="1"/>
  <c r="Z900" i="1" s="1"/>
  <c r="Y900" i="1"/>
  <c r="X891" i="1"/>
  <c r="Z891" i="1" s="1"/>
  <c r="Y891" i="1"/>
  <c r="X862" i="1"/>
  <c r="Z862" i="1" s="1"/>
  <c r="X857" i="1"/>
  <c r="Z857" i="1" s="1"/>
  <c r="Y857" i="1"/>
  <c r="R832" i="1"/>
  <c r="R779" i="1"/>
  <c r="S779" i="1"/>
  <c r="T779" i="1" s="1"/>
  <c r="Y977" i="1"/>
  <c r="Y969" i="1"/>
  <c r="Y961" i="1"/>
  <c r="Y953" i="1"/>
  <c r="X913" i="1"/>
  <c r="Z913" i="1" s="1"/>
  <c r="Z889" i="1"/>
  <c r="R889" i="1"/>
  <c r="S889" i="1"/>
  <c r="T889" i="1" s="1"/>
  <c r="S884" i="1"/>
  <c r="T884" i="1" s="1"/>
  <c r="Z884" i="1"/>
  <c r="R884" i="1"/>
  <c r="X853" i="1"/>
  <c r="Z853" i="1" s="1"/>
  <c r="Y853" i="1"/>
  <c r="X835" i="1"/>
  <c r="Z835" i="1" s="1"/>
  <c r="Y816" i="1"/>
  <c r="X816" i="1"/>
  <c r="Z816" i="1" s="1"/>
  <c r="S812" i="1"/>
  <c r="T812" i="1" s="1"/>
  <c r="R812" i="1"/>
  <c r="S984" i="1"/>
  <c r="T984" i="1" s="1"/>
  <c r="Z979" i="1"/>
  <c r="S976" i="1"/>
  <c r="T976" i="1" s="1"/>
  <c r="Z971" i="1"/>
  <c r="S968" i="1"/>
  <c r="T968" i="1" s="1"/>
  <c r="Z963" i="1"/>
  <c r="S960" i="1"/>
  <c r="T960" i="1" s="1"/>
  <c r="Z955" i="1"/>
  <c r="R952" i="1"/>
  <c r="X942" i="1"/>
  <c r="Z942" i="1" s="1"/>
  <c r="S940" i="1"/>
  <c r="T940" i="1" s="1"/>
  <c r="R934" i="1"/>
  <c r="R924" i="1"/>
  <c r="S924" i="1"/>
  <c r="T924" i="1" s="1"/>
  <c r="R923" i="1"/>
  <c r="Z923" i="1"/>
  <c r="Y917" i="1"/>
  <c r="X916" i="1"/>
  <c r="Z916" i="1" s="1"/>
  <c r="Z897" i="1"/>
  <c r="R897" i="1"/>
  <c r="S882" i="1"/>
  <c r="T882" i="1" s="1"/>
  <c r="R882" i="1"/>
  <c r="R823" i="1"/>
  <c r="S823" i="1"/>
  <c r="T823" i="1" s="1"/>
  <c r="R822" i="1"/>
  <c r="Z822" i="1"/>
  <c r="R814" i="1"/>
  <c r="Z814" i="1"/>
  <c r="S814" i="1"/>
  <c r="T814" i="1" s="1"/>
  <c r="Z984" i="1"/>
  <c r="Y979" i="1"/>
  <c r="Z976" i="1"/>
  <c r="Y971" i="1"/>
  <c r="Z968" i="1"/>
  <c r="Y963" i="1"/>
  <c r="Z960" i="1"/>
  <c r="Y955" i="1"/>
  <c r="Y949" i="1"/>
  <c r="R940" i="1"/>
  <c r="R902" i="1"/>
  <c r="S902" i="1"/>
  <c r="T902" i="1" s="1"/>
  <c r="S874" i="1"/>
  <c r="T874" i="1" s="1"/>
  <c r="R874" i="1"/>
  <c r="X831" i="1"/>
  <c r="Z831" i="1" s="1"/>
  <c r="Y831" i="1"/>
  <c r="S802" i="1"/>
  <c r="T802" i="1" s="1"/>
  <c r="R802" i="1"/>
  <c r="Y793" i="1"/>
  <c r="X793" i="1"/>
  <c r="Z793" i="1" s="1"/>
  <c r="Y984" i="1"/>
  <c r="Y976" i="1"/>
  <c r="Y968" i="1"/>
  <c r="Y960" i="1"/>
  <c r="Y952" i="1"/>
  <c r="S951" i="1"/>
  <c r="T951" i="1" s="1"/>
  <c r="Y945" i="1"/>
  <c r="R932" i="1"/>
  <c r="S932" i="1"/>
  <c r="T932" i="1" s="1"/>
  <c r="R931" i="1"/>
  <c r="Z931" i="1"/>
  <c r="Y914" i="1"/>
  <c r="X914" i="1"/>
  <c r="Z914" i="1" s="1"/>
  <c r="R824" i="1"/>
  <c r="S824" i="1"/>
  <c r="T824" i="1" s="1"/>
  <c r="X811" i="1"/>
  <c r="Z811" i="1" s="1"/>
  <c r="Y811" i="1"/>
  <c r="S983" i="1"/>
  <c r="T983" i="1" s="1"/>
  <c r="Y981" i="1"/>
  <c r="S975" i="1"/>
  <c r="T975" i="1" s="1"/>
  <c r="Y973" i="1"/>
  <c r="S967" i="1"/>
  <c r="T967" i="1" s="1"/>
  <c r="Y965" i="1"/>
  <c r="S959" i="1"/>
  <c r="T959" i="1" s="1"/>
  <c r="Y957" i="1"/>
  <c r="Z951" i="1"/>
  <c r="Y948" i="1"/>
  <c r="X940" i="1"/>
  <c r="Z940" i="1" s="1"/>
  <c r="R939" i="1"/>
  <c r="Z939" i="1"/>
  <c r="X927" i="1"/>
  <c r="Z927" i="1" s="1"/>
  <c r="Y927" i="1"/>
  <c r="Y896" i="1"/>
  <c r="X896" i="1"/>
  <c r="Z896" i="1" s="1"/>
  <c r="S892" i="1"/>
  <c r="T892" i="1" s="1"/>
  <c r="Z892" i="1"/>
  <c r="R892" i="1"/>
  <c r="Y866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3" i="1"/>
  <c r="Z967" i="1"/>
  <c r="Z959" i="1"/>
  <c r="S950" i="1"/>
  <c r="T950" i="1" s="1"/>
  <c r="Y933" i="1"/>
  <c r="X932" i="1"/>
  <c r="Z932" i="1" s="1"/>
  <c r="Y921" i="1"/>
  <c r="R920" i="1"/>
  <c r="S915" i="1"/>
  <c r="T915" i="1" s="1"/>
  <c r="R894" i="1"/>
  <c r="S894" i="1"/>
  <c r="T894" i="1" s="1"/>
  <c r="Y819" i="1"/>
  <c r="Z817" i="1"/>
  <c r="R817" i="1"/>
  <c r="Y795" i="1"/>
  <c r="X795" i="1"/>
  <c r="Z795" i="1" s="1"/>
  <c r="R947" i="1"/>
  <c r="R942" i="1"/>
  <c r="X935" i="1"/>
  <c r="Z935" i="1" s="1"/>
  <c r="Y935" i="1"/>
  <c r="X907" i="1"/>
  <c r="Z907" i="1" s="1"/>
  <c r="Y907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08" i="1"/>
  <c r="S904" i="1"/>
  <c r="T904" i="1" s="1"/>
  <c r="X898" i="1"/>
  <c r="Z898" i="1" s="1"/>
  <c r="Y893" i="1"/>
  <c r="X874" i="1"/>
  <c r="Z874" i="1" s="1"/>
  <c r="S872" i="1"/>
  <c r="T872" i="1" s="1"/>
  <c r="Z865" i="1"/>
  <c r="X861" i="1"/>
  <c r="Z861" i="1" s="1"/>
  <c r="R859" i="1"/>
  <c r="Z859" i="1"/>
  <c r="S858" i="1"/>
  <c r="T858" i="1" s="1"/>
  <c r="Y855" i="1"/>
  <c r="S853" i="1"/>
  <c r="T853" i="1" s="1"/>
  <c r="Y813" i="1"/>
  <c r="R807" i="1"/>
  <c r="Z807" i="1"/>
  <c r="X802" i="1"/>
  <c r="Z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4" i="1"/>
  <c r="R900" i="1"/>
  <c r="R887" i="1"/>
  <c r="Z887" i="1"/>
  <c r="Z858" i="1"/>
  <c r="R837" i="1"/>
  <c r="R826" i="1"/>
  <c r="R806" i="1"/>
  <c r="Y619" i="1"/>
  <c r="X619" i="1"/>
  <c r="Z619" i="1" s="1"/>
  <c r="R985" i="1"/>
  <c r="X789" i="1"/>
  <c r="Z789" i="1" s="1"/>
  <c r="Y789" i="1"/>
  <c r="R445" i="1"/>
  <c r="S445" i="1"/>
  <c r="T445" i="1" s="1"/>
  <c r="R903" i="1"/>
  <c r="R895" i="1"/>
  <c r="Z895" i="1"/>
  <c r="R815" i="1"/>
  <c r="Z815" i="1"/>
  <c r="Y919" i="1"/>
  <c r="Y899" i="1"/>
  <c r="Y895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06" i="1"/>
  <c r="Z906" i="1" s="1"/>
  <c r="X890" i="1"/>
  <c r="Z890" i="1" s="1"/>
  <c r="X880" i="1"/>
  <c r="Z880" i="1" s="1"/>
  <c r="R879" i="1"/>
  <c r="Z879" i="1"/>
  <c r="Y875" i="1"/>
  <c r="S859" i="1"/>
  <c r="T859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1" i="1"/>
  <c r="S871" i="1"/>
  <c r="T871" i="1" s="1"/>
  <c r="X871" i="1"/>
  <c r="Z871" i="1" s="1"/>
  <c r="R870" i="1"/>
  <c r="S870" i="1"/>
  <c r="T870" i="1" s="1"/>
  <c r="X870" i="1"/>
  <c r="Z870" i="1" s="1"/>
  <c r="R869" i="1"/>
  <c r="R868" i="1"/>
  <c r="S869" i="1"/>
  <c r="T869" i="1" s="1"/>
  <c r="X869" i="1"/>
  <c r="Z869" i="1" s="1"/>
  <c r="X868" i="1"/>
  <c r="Z868" i="1" s="1"/>
  <c r="R867" i="1"/>
  <c r="S867" i="1"/>
  <c r="T867" i="1" s="1"/>
  <c r="X867" i="1"/>
  <c r="Z867" i="1" s="1"/>
  <c r="R860" i="1"/>
  <c r="S860" i="1"/>
  <c r="T860" i="1" s="1"/>
  <c r="X860" i="1"/>
  <c r="Z860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W834" i="1" l="1"/>
  <c r="V834" i="1"/>
  <c r="U834" i="1"/>
  <c r="Y834" i="1" s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5" i="1" l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T115" i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<sst xmlns="http://schemas.openxmlformats.org/spreadsheetml/2006/main" count="30958" uniqueCount="5293">
  <si>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</si>
  <si>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</si>
  <si>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</si>
  <si>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</si>
  <si>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</si>
  <si>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</si>
  <si>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</si>
  <si>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</si>
  <si>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</si>
  <si>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</si>
  <si>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</si>
  <si>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</si>
  <si>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</si>
  <si>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</si>
  <si>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</si>
  <si>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</si>
  <si>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</si>
  <si>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</si>
  <si>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</si>
  <si>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</si>
  <si>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</si>
  <si>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</si>
  <si>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</si>
  <si>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</si>
  <si>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</si>
  <si>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</si>
  <si>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</si>
  <si>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</si>
  <si>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</si>
  <si>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</si>
  <si>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</si>
  <si>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</si>
  <si>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</si>
  <si>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</si>
  <si>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</si>
  <si>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</si>
  <si>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</si>
  <si>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</si>
  <si>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</si>
  <si>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</si>
  <si>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</si>
  <si>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</si>
  <si>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</si>
  <si>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</si>
  <si>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</si>
  <si>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</si>
  <si>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</si>
  <si>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</si>
  <si>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</si>
  <si>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</si>
  <si>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</si>
  <si>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</si>
  <si>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</si>
  <si>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</si>
  <si>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</si>
  <si>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</si>
  <si>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</si>
  <si>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</si>
  <si>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</si>
  <si>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</si>
  <si>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</si>
  <si>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</si>
  <si>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</si>
  <si>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</si>
  <si>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</si>
  <si>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</si>
  <si>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</si>
  <si>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</si>
  <si>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</si>
  <si>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</si>
  <si>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</si>
  <si>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</si>
  <si>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</si>
  <si>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</si>
  <si>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</si>
  <si>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</si>
  <si>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</si>
  <si>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</si>
  <si>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</si>
  <si>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</si>
  <si>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</si>
  <si>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</si>
  <si>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</si>
  <si>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</si>
  <si>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</si>
  <si>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</si>
  <si>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</si>
  <si>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</si>
  <si>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</si>
  <si>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</si>
  <si>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</si>
  <si>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</si>
  <si>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</si>
  <si>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</si>
  <si>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</si>
  <si>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</si>
  <si>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</si>
  <si>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</si>
  <si>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</si>
  <si>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</si>
  <si>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</si>
  <si>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</si>
  <si>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</si>
  <si>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</si>
  <si>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</si>
  <si>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</si>
  <si>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</si>
  <si>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</si>
  <si>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</si>
  <si>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</si>
  <si>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</si>
  <si>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</si>
  <si>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</si>
  <si>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</si>
  <si>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</si>
  <si>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</si>
  <si>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</si>
  <si>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</si>
  <si>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</si>
  <si>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</si>
  <si>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</si>
  <si>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</si>
  <si>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</si>
  <si>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</si>
  <si>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</si>
  <si>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</si>
  <si>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</si>
  <si>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</si>
  <si>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</si>
  <si>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</si>
  <si>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</si>
  <si>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</si>
  <si>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</si>
  <si>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</si>
  <si>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</si>
  <si>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</si>
  <si>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</si>
  <si>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</si>
  <si>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</si>
  <si>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</si>
  <si>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</si>
  <si>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</si>
  <si>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</si>
  <si>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</si>
  <si>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</si>
  <si>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</si>
  <si>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</si>
  <si>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</si>
  <si>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</si>
  <si>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</si>
  <si>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</si>
  <si>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</si>
  <si>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</si>
  <si>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</si>
  <si>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</si>
  <si>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</si>
  <si>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</si>
  <si>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</si>
  <si>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</si>
  <si>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</si>
  <si>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</si>
  <si>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</si>
  <si>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</si>
  <si>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</si>
  <si>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</si>
  <si>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</si>
  <si>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</si>
  <si>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</si>
  <si>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</si>
  <si>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</si>
  <si>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</si>
  <si>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</si>
  <si>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</si>
  <si>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</si>
  <si>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</si>
  <si>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</si>
  <si>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</si>
  <si>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</si>
  <si>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</si>
  <si>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</si>
  <si>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</si>
  <si>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</si>
  <si>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</si>
  <si>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</si>
  <si>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</si>
  <si>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</si>
  <si>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</si>
  <si>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</si>
  <si>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</si>
  <si>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</si>
  <si>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</si>
  <si>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</si>
  <si>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</si>
  <si>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</si>
  <si>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</si>
  <si>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</si>
  <si>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</si>
  <si>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</si>
  <si>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</si>
  <si>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</si>
  <si>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</si>
  <si>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</si>
  <si>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</si>
  <si>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</si>
  <si>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</si>
  <si>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</si>
  <si>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</si>
  <si>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</si>
  <si>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</si>
  <si>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</si>
  <si>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</si>
  <si>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</si>
  <si>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</si>
  <si>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</si>
  <si>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</si>
  <si>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</si>
  <si>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</si>
  <si>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</si>
  <si>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</si>
  <si>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</si>
  <si>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</si>
  <si>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</si>
  <si>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</si>
  <si>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</si>
  <si>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</si>
  <si>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</si>
  <si>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</si>
  <si>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</si>
  <si>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</si>
  <si>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</si>
  <si>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</si>
  <si>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</si>
  <si>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</si>
  <si>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</si>
  <si>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</si>
  <si>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</si>
  <si>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</si>
  <si>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</si>
  <si>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</si>
  <si>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</si>
  <si>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</si>
  <si>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</si>
  <si>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</si>
  <si>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</si>
  <si>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</si>
  <si>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</si>
  <si>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</si>
  <si>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</si>
  <si>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</si>
  <si>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</si>
  <si>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</si>
  <si>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</si>
  <si>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</si>
  <si>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</si>
  <si>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</si>
  <si>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</si>
  <si>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</si>
  <si>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</si>
  <si>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</si>
  <si>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</si>
  <si>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</si>
  <si>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</si>
  <si>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</si>
  <si>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</si>
  <si>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</si>
  <si>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</si>
  <si>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</si>
  <si>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</si>
  <si>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</si>
  <si>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</si>
  <si>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</si>
  <si>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</si>
  <si>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</si>
  <si>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</si>
  <si>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</si>
  <si>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</si>
  <si>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</si>
  <si>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</si>
  <si>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</si>
  <si>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</si>
  <si>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</si>
  <si>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</si>
  <si>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</si>
  <si>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</si>
  <si>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</si>
  <si>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</si>
  <si>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</si>
  <si>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</si>
  <si>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</si>
  <si>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</si>
  <si>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</si>
  <si>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</si>
  <si>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</si>
  <si>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</si>
  <si>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</si>
  <si>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</si>
  <si>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</si>
  <si>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</si>
  <si>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</si>
  <si>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</si>
  <si>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</si>
  <si>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</si>
  <si>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</si>
  <si>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</si>
  <si>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</si>
  <si>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</si>
  <si>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</si>
  <si>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</si>
  <si>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</si>
  <si>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</si>
  <si>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</si>
  <si>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</si>
  <si>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</si>
  <si>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</si>
  <si>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</si>
  <si>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</si>
  <si>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</si>
  <si>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</si>
  <si>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</si>
  <si>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</si>
  <si>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</si>
  <si>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</si>
  <si>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</si>
  <si>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</si>
  <si>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</si>
  <si>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</si>
  <si>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</si>
  <si>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</si>
  <si>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</si>
  <si>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</si>
  <si>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</si>
  <si>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</si>
  <si>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</si>
  <si>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</si>
  <si>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</si>
  <si>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</si>
  <si>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</si>
  <si>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</si>
  <si>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</si>
  <si>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</si>
  <si>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</si>
  <si>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</si>
  <si>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</si>
  <si>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</si>
  <si>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</si>
  <si>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</si>
  <si>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</si>
  <si>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</si>
  <si>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</si>
  <si>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</si>
  <si>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</si>
  <si>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</si>
  <si>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</si>
  <si>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</si>
  <si>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</si>
  <si>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</si>
  <si>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</si>
  <si>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</si>
  <si>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</si>
  <si>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</si>
  <si>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</si>
  <si>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</si>
  <si>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</si>
  <si>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</si>
  <si>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</si>
  <si>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</si>
  <si>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</si>
  <si>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</si>
  <si>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</si>
  <si>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</si>
  <si>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</si>
  <si>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</si>
  <si>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</si>
  <si>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</si>
  <si>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</si>
  <si>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</si>
  <si>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</si>
  <si>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</si>
  <si>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</si>
  <si>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</si>
  <si>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</si>
  <si>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</si>
  <si>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</si>
  <si>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</si>
  <si>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</si>
  <si>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</si>
  <si>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</si>
  <si>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</si>
  <si>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</si>
  <si>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</si>
  <si>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</si>
  <si>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</si>
  <si>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</si>
  <si>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</si>
  <si>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</si>
  <si>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</si>
  <si>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</si>
  <si>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</si>
  <si>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</si>
  <si>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</si>
  <si>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</si>
  <si>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</si>
  <si>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</si>
  <si>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</si>
  <si>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</si>
  <si>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</si>
  <si>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</si>
  <si>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</si>
  <si>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</si>
  <si>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</si>
  <si>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</si>
  <si>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</si>
  <si>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</si>
  <si>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</si>
  <si>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</si>
  <si>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</si>
  <si>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</si>
  <si>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</si>
  <si>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</si>
  <si>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</si>
  <si>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</si>
  <si>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</si>
  <si>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</si>
  <si>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</si>
  <si>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</si>
  <si>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</si>
  <si>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</si>
  <si>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</si>
  <si>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</si>
  <si>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</si>
  <si>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</si>
  <si>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</si>
  <si>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</si>
  <si>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</si>
  <si>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</si>
  <si>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</si>
  <si>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</si>
  <si>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</si>
  <si>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</si>
  <si>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</si>
  <si>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</si>
  <si>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</si>
  <si>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</si>
  <si>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</si>
  <si>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</si>
  <si>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</si>
  <si>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</si>
  <si>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</si>
  <si>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</si>
  <si>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</si>
  <si>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</si>
  <si>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</si>
  <si>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</si>
  <si>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</si>
  <si>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</si>
  <si>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</si>
  <si>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</si>
  <si>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</si>
  <si>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</si>
  <si>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</si>
  <si>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</si>
  <si>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</si>
  <si>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</si>
  <si>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</si>
  <si>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</si>
  <si>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</si>
  <si>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</si>
  <si>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</si>
  <si>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</si>
  <si>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</si>
  <si>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</si>
  <si>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</si>
  <si>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</si>
  <si>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</si>
  <si>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</si>
  <si>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</si>
  <si>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</si>
  <si>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</si>
  <si>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</si>
  <si>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</si>
  <si>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</si>
  <si>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</si>
  <si>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</si>
  <si>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</si>
  <si>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</si>
  <si>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</si>
  <si>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</si>
  <si>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</si>
  <si>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</si>
  <si>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</si>
  <si>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</si>
  <si>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</si>
  <si>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</si>
  <si>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</si>
  <si>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</si>
  <si>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</si>
  <si>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</si>
  <si>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</si>
  <si>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</si>
  <si>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</si>
  <si>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</si>
  <si>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</si>
  <si>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</si>
  <si>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</si>
  <si>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</si>
  <si>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</si>
  <si>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</si>
  <si>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</si>
  <si>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</si>
  <si>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</si>
  <si>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</si>
  <si>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</si>
  <si>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</si>
  <si>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</si>
  <si>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</si>
  <si>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</si>
  <si>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</si>
  <si>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</si>
  <si>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</si>
  <si>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</si>
  <si>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</si>
  <si>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</si>
  <si>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</si>
  <si>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</si>
  <si>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</si>
  <si>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</si>
  <si>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</si>
  <si>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</si>
  <si>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</si>
  <si>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</si>
  <si>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</si>
  <si>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</si>
  <si>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</si>
  <si>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</si>
  <si>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</si>
  <si>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</si>
  <si>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</si>
  <si>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</si>
  <si>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</si>
  <si>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</si>
  <si>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</si>
  <si>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</si>
  <si>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</si>
  <si>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</si>
  <si>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</si>
  <si>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</si>
  <si>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</si>
  <si>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</si>
  <si>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</si>
  <si>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</si>
  <si>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</si>
  <si>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</si>
  <si>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</si>
  <si>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</si>
  <si>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</si>
  <si>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</si>
  <si>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</si>
  <si>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</si>
  <si>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</si>
  <si>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</si>
  <si>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</si>
  <si>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</si>
  <si>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</si>
  <si>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</si>
  <si>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</si>
  <si>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</si>
  <si>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</si>
  <si>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</si>
  <si>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</si>
  <si>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</si>
  <si>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</si>
  <si>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</si>
  <si>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</si>
  <si>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</si>
  <si>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</si>
  <si>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</si>
  <si>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</si>
  <si>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</si>
  <si>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</si>
  <si>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</si>
  <si>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</si>
  <si>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</si>
  <si>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</si>
  <si>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</si>
  <si>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</si>
  <si>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</si>
  <si>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</si>
  <si>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</si>
  <si>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</si>
  <si>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</si>
  <si>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</si>
  <si>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</si>
  <si>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</si>
  <si>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</si>
  <si>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</si>
  <si>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</si>
  <si>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</si>
  <si>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</si>
  <si>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</si>
  <si>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</si>
  <si>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</si>
  <si>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</si>
  <si>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</si>
  <si>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</si>
  <si>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</si>
  <si>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</si>
  <si>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</si>
  <si>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</si>
  <si>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</si>
  <si>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</si>
  <si>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</si>
  <si>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</si>
  <si>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</si>
  <si>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</si>
  <si>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</si>
  <si>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</si>
  <si>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</si>
  <si>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</si>
  <si>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</si>
  <si>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</si>
  <si>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</si>
  <si>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</si>
  <si>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</si>
  <si>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</si>
  <si>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</si>
  <si>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</si>
  <si>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</si>
  <si>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</si>
  <si>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</si>
  <si>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</si>
  <si>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</si>
  <si>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</si>
  <si>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</si>
  <si>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</si>
  <si>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</si>
  <si>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</si>
  <si>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</si>
  <si>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</si>
  <si>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</si>
  <si>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</si>
  <si>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</si>
  <si>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</si>
  <si>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</si>
  <si>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</si>
  <si>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</si>
  <si>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</si>
  <si>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</si>
  <si>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</si>
  <si>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</si>
  <si>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</si>
  <si>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</si>
  <si>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</si>
  <si>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</si>
  <si>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</si>
  <si>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</si>
  <si>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</si>
  <si>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</si>
  <si>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</si>
  <si>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</si>
  <si>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</si>
  <si>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</si>
  <si>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</si>
  <si>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</si>
  <si>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</si>
  <si>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</si>
  <si>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</si>
  <si>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</si>
  <si>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</si>
  <si>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</si>
  <si>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</si>
  <si>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</si>
  <si>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</si>
  <si>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</si>
  <si>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</si>
  <si>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</si>
  <si>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</si>
  <si>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</si>
  <si>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</si>
  <si>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</si>
  <si>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</si>
  <si>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</si>
  <si>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</si>
  <si>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</si>
  <si>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</si>
  <si>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</si>
  <si>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</si>
  <si>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</si>
  <si>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</si>
  <si>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</si>
  <si>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</si>
  <si>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</si>
  <si>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</si>
  <si>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</si>
  <si>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</si>
  <si>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</si>
  <si>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</si>
  <si>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</si>
  <si>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</si>
  <si>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</si>
  <si>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</si>
  <si>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</si>
  <si>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</si>
  <si>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</si>
  <si>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</si>
  <si>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</si>
  <si>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</si>
  <si>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</si>
  <si>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</si>
  <si>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</si>
  <si>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</si>
  <si>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</si>
  <si>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</si>
  <si>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</si>
  <si>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</si>
  <si>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</si>
  <si>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</si>
  <si>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</si>
  <si>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</si>
  <si>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</si>
  <si>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</si>
  <si>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</si>
  <si>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</si>
  <si>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</si>
  <si>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</si>
  <si>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</si>
  <si>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</si>
  <si>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</si>
  <si>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</si>
  <si>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</si>
  <si>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</si>
  <si>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</si>
  <si>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</si>
  <si>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</si>
  <si>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</si>
  <si>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</si>
  <si>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</si>
  <si>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</si>
  <si>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</si>
  <si>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</si>
  <si>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</si>
  <si>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</si>
  <si>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</si>
  <si>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</si>
  <si>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</si>
  <si>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</si>
  <si>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</si>
  <si>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</si>
  <si>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</si>
  <si>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</si>
  <si>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</si>
  <si>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</si>
  <si>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</si>
  <si>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</si>
  <si>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</si>
  <si>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</si>
  <si>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</si>
  <si>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</si>
  <si>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</si>
  <si>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</si>
  <si>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</si>
  <si>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</si>
  <si>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</si>
  <si>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</si>
  <si>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</si>
  <si>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</si>
  <si>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</si>
  <si>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</si>
  <si>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</si>
  <si>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</si>
  <si>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</si>
  <si>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</si>
  <si>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</si>
  <si>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</si>
  <si>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</si>
  <si>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</si>
  <si>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</si>
  <si>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</si>
  <si>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</si>
  <si>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</si>
  <si>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</si>
  <si>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</si>
  <si>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</si>
  <si>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</si>
  <si>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</si>
  <si>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</si>
  <si>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</si>
  <si>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</si>
  <si>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</si>
  <si>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</si>
  <si>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</si>
  <si>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</si>
  <si>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</si>
  <si>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</si>
  <si>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</si>
  <si>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</si>
  <si>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</si>
  <si>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</si>
  <si>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</si>
  <si>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</si>
  <si>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</si>
  <si>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</si>
  <si>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</si>
  <si>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</si>
  <si>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</si>
  <si>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</si>
  <si>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</si>
  <si>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</si>
  <si>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</si>
  <si>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</si>
  <si>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</si>
  <si>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</si>
  <si>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</si>
  <si>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</si>
  <si>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</si>
  <si>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</si>
  <si>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</si>
  <si>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</si>
  <si>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</si>
  <si>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</si>
  <si>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</si>
  <si>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</si>
  <si>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</si>
  <si>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</si>
  <si>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</si>
  <si>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</si>
  <si>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</si>
  <si>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</si>
  <si>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</si>
  <si>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</si>
  <si>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</si>
  <si>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</si>
  <si>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</si>
  <si>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</si>
  <si>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</si>
  <si>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</si>
  <si>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</si>
  <si>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</si>
  <si>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</si>
  <si>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</si>
  <si>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</si>
  <si>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</si>
  <si>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</si>
  <si>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</si>
  <si>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</si>
  <si>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</si>
  <si>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</si>
  <si>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</si>
  <si>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</si>
  <si>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</si>
  <si>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</si>
  <si>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</si>
  <si>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</si>
  <si>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</si>
  <si>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</si>
  <si>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</si>
  <si>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</si>
  <si>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</si>
  <si>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</si>
  <si>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</si>
  <si>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</si>
  <si>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</si>
  <si>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</si>
  <si>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</si>
  <si>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</si>
  <si>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</si>
  <si>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</si>
  <si>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</si>
  <si>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</si>
  <si>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</si>
  <si>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</si>
  <si>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</si>
  <si>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</si>
  <si>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</si>
  <si>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</si>
  <si>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</si>
  <si>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</si>
  <si>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</si>
  <si>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</si>
  <si>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</si>
  <si>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</si>
  <si>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</si>
  <si>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</si>
  <si>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</si>
  <si>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</si>
  <si>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</si>
  <si>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</si>
  <si>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</si>
  <si>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</si>
  <si>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</si>
  <si>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</si>
  <si>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</si>
  <si>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</si>
  <si>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</si>
  <si>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</si>
  <si>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</si>
  <si>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</si>
  <si>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</si>
  <si>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</si>
  <si>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</si>
  <si>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</si>
  <si>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</si>
  <si>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</si>
  <si>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</si>
  <si>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</si>
  <si>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</si>
  <si>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</si>
  <si>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</si>
  <si>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</si>
  <si>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</si>
  <si>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</si>
  <si>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</si>
  <si>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</si>
  <si>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</si>
  <si>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</si>
  <si>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</si>
  <si>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</si>
  <si>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</si>
  <si>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</si>
  <si>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</si>
  <si>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</si>
  <si>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</si>
  <si>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</si>
  <si>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</si>
  <si>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</si>
  <si>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</si>
  <si>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</si>
  <si>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</si>
  <si>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</si>
  <si>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</si>
  <si>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</si>
  <si>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</si>
  <si>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</si>
  <si>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</si>
  <si>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</si>
  <si>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</si>
  <si>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</si>
  <si>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</si>
  <si>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</si>
  <si>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</si>
  <si>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</si>
  <si>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</si>
  <si>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</si>
  <si>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</si>
  <si>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</si>
  <si>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</si>
  <si>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</si>
  <si>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</si>
  <si>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</si>
  <si>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</si>
  <si>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</si>
  <si>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</si>
  <si>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</si>
  <si>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</si>
  <si>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</si>
  <si>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</si>
  <si>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</si>
  <si>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</si>
  <si>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</si>
  <si>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</si>
  <si>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</si>
  <si>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</si>
  <si>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</si>
  <si>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</si>
  <si>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</si>
  <si>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</si>
  <si>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</si>
  <si>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</si>
  <si>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</si>
  <si>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</si>
  <si>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</si>
  <si>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</si>
  <si>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</si>
  <si>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</si>
  <si>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</si>
  <si>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</si>
  <si>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</si>
  <si>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</si>
  <si>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</si>
  <si>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</si>
  <si>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</si>
  <si>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</si>
  <si>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</si>
  <si>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</si>
  <si>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</si>
  <si>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</si>
  <si>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</si>
  <si>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</si>
  <si>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</si>
  <si>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</si>
  <si>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</si>
  <si>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</si>
  <si>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</si>
  <si>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</si>
  <si>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</si>
  <si>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</si>
  <si>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</si>
  <si>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</si>
  <si>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</si>
  <si>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</si>
  <si>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</si>
  <si>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</si>
  <si>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</si>
  <si>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</si>
  <si>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</si>
  <si>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</si>
  <si>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</si>
  <si>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</si>
  <si>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</si>
  <si>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</si>
  <si>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</si>
  <si>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</si>
  <si>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</si>
  <si>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</si>
  <si>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</si>
  <si>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</si>
  <si>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</si>
  <si>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</si>
  <si>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</si>
  <si>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</si>
  <si>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</si>
  <si>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</si>
  <si>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</si>
  <si>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</si>
  <si>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</si>
  <si>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</si>
  <si>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</si>
  <si>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</si>
  <si>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</si>
  <si>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</si>
  <si>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</si>
  <si>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</si>
  <si>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</si>
  <si>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</si>
  <si>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</si>
  <si>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</si>
  <si>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</si>
  <si>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</si>
  <si>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</si>
  <si>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</si>
  <si>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</si>
  <si>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</si>
  <si>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</si>
  <si>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</si>
  <si>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</si>
  <si>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</si>
  <si>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</si>
  <si>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</si>
  <si>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</si>
  <si>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</si>
  <si>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</si>
  <si>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</si>
  <si>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</si>
  <si>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</si>
  <si>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</si>
  <si>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</si>
  <si>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</si>
  <si>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</si>
  <si>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</si>
  <si>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</si>
  <si>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</si>
  <si>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</si>
  <si>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</si>
  <si>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</si>
  <si>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</si>
  <si>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</si>
  <si>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</si>
  <si>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</si>
  <si>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</si>
  <si>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</si>
  <si>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</si>
  <si>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</si>
  <si>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</si>
  <si>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</si>
  <si>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</si>
  <si>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</si>
  <si>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</si>
  <si>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</si>
  <si>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</si>
  <si>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</si>
  <si>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</si>
  <si>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</si>
  <si>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</si>
  <si>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</si>
  <si>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</si>
  <si>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</si>
  <si>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</si>
  <si>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</si>
  <si>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</si>
  <si>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</si>
  <si>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</si>
  <si>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</si>
  <si>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</si>
  <si>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</si>
  <si>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</si>
  <si>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</si>
  <si>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</si>
  <si>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</si>
  <si>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</si>
  <si>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</si>
  <si>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</si>
  <si>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</si>
  <si>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</si>
  <si>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</si>
  <si>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</si>
  <si>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</si>
  <si>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</si>
  <si>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</si>
  <si>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</si>
  <si>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</si>
  <si>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</si>
  <si>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</si>
  <si>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</si>
  <si>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</si>
  <si>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</si>
  <si>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</si>
  <si>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</si>
  <si>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</si>
  <si>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</si>
  <si>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</si>
  <si>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</si>
  <si>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</si>
  <si>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</si>
  <si>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</si>
  <si>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</si>
  <si>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</si>
  <si>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</si>
  <si>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</si>
  <si>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</si>
  <si>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</si>
  <si>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</si>
  <si>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</si>
  <si>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</si>
  <si>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</si>
  <si>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</si>
  <si>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</si>
  <si>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</si>
  <si>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</si>
  <si>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</si>
  <si>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</si>
  <si>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</si>
  <si>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</si>
  <si>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</si>
  <si>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</si>
  <si>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</si>
  <si>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</si>
  <si>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</si>
  <si>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</si>
  <si>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</si>
  <si>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</si>
  <si>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</si>
  <si>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</si>
  <si>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</si>
  <si>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</si>
  <si>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</si>
  <si>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</si>
  <si>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</si>
  <si>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</si>
  <si>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</si>
  <si>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</si>
  <si>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</si>
  <si>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</si>
  <si>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</si>
  <si>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</si>
  <si>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</si>
  <si>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</si>
  <si>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</si>
  <si>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</si>
  <si>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</si>
  <si>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</si>
  <si>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</si>
  <si>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</si>
  <si>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</si>
  <si>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</si>
  <si>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</si>
  <si>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</si>
  <si>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</si>
  <si>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</si>
  <si>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</si>
  <si>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</si>
  <si>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</si>
  <si>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</si>
  <si>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</si>
  <si>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</si>
  <si>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</si>
  <si>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</si>
  <si>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</si>
  <si>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</si>
  <si>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</si>
  <si>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</si>
  <si>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</si>
  <si>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</si>
  <si>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</si>
  <si>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</si>
  <si>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</si>
  <si>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</si>
  <si>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</si>
  <si>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</si>
  <si>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</si>
  <si>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</si>
  <si>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</si>
  <si>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</si>
  <si>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</si>
  <si>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</si>
  <si>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</si>
  <si>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</si>
  <si>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</si>
  <si>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</si>
  <si>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</si>
  <si>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</si>
  <si>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</si>
  <si>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</si>
  <si>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</si>
  <si>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</si>
  <si>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</si>
  <si>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</si>
  <si>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</si>
  <si>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</si>
  <si>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</si>
  <si>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</si>
  <si>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</si>
  <si>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</si>
  <si>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</si>
  <si>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</si>
  <si>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</si>
  <si>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</si>
  <si>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</si>
  <si>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</si>
  <si>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</si>
  <si>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</si>
  <si>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</si>
  <si>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</si>
  <si>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</si>
  <si>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</si>
  <si>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</si>
  <si>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</si>
  <si>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</si>
  <si>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</si>
  <si>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</si>
  <si>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</si>
  <si>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</si>
  <si>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</si>
  <si>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</si>
  <si>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</si>
  <si>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</si>
  <si>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</si>
  <si>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</si>
  <si>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</si>
  <si>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</si>
  <si>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</si>
  <si>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</si>
  <si>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</si>
  <si>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</si>
  <si>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</si>
  <si>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</si>
  <si>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</si>
  <si>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</si>
  <si>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</si>
  <si>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</si>
  <si>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</si>
  <si>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</si>
  <si>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</si>
  <si>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</si>
  <si>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</si>
  <si>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</si>
  <si>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</si>
  <si>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</si>
  <si>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</si>
  <si>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</si>
  <si>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</si>
  <si>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</si>
  <si>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</si>
  <si>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</si>
  <si>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</si>
  <si>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</si>
  <si>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</si>
  <si>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</si>
  <si>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</si>
  <si>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</si>
  <si>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</si>
  <si>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</si>
  <si>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</si>
  <si>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</si>
  <si>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</si>
  <si>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</si>
  <si>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</si>
  <si>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</si>
  <si>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</si>
  <si>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</si>
  <si>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</si>
  <si>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</si>
  <si>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</si>
  <si>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</si>
  <si>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</si>
  <si>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</si>
  <si>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</si>
  <si>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</si>
  <si>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</si>
  <si>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</si>
  <si>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</si>
  <si>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</si>
  <si>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</si>
  <si>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</si>
  <si>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</si>
  <si>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</si>
  <si>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</si>
  <si>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</si>
  <si>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</si>
  <si>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</si>
  <si>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</si>
  <si>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</si>
  <si>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</si>
  <si>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</si>
  <si>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</si>
  <si>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</si>
  <si>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</si>
  <si>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</si>
  <si>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</si>
  <si>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</si>
  <si>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</si>
  <si>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</si>
  <si>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</si>
  <si>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</si>
  <si>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</si>
  <si>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</si>
  <si>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</si>
  <si>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</si>
  <si>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</si>
  <si>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</si>
  <si>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</si>
  <si>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</si>
  <si>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</si>
  <si>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</si>
  <si>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</si>
  <si>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</si>
  <si>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</si>
  <si>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</si>
  <si>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</si>
  <si>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</si>
  <si>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</si>
  <si>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</si>
  <si>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</si>
  <si>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</si>
  <si>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</si>
  <si>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</si>
  <si>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</si>
  <si>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</si>
  <si>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</si>
  <si>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</si>
  <si>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</si>
  <si>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</si>
  <si>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</si>
  <si>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</si>
  <si>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</si>
  <si>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</si>
  <si>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</si>
  <si>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</si>
  <si>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</si>
  <si>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</si>
  <si>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</si>
  <si>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</si>
  <si>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</si>
  <si>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</si>
  <si>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</si>
  <si>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</si>
  <si>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</si>
  <si>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</si>
  <si>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</si>
  <si>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</si>
  <si>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</si>
  <si>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</si>
  <si>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</si>
  <si>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</si>
  <si>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</si>
  <si>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</si>
  <si>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</si>
  <si>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</si>
  <si>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</si>
  <si>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</si>
  <si>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</si>
  <si>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</si>
  <si>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</si>
  <si>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</si>
  <si>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</si>
  <si>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</si>
  <si>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</si>
  <si>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</si>
  <si>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</si>
  <si>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</si>
  <si>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</si>
  <si>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</si>
  <si>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</si>
  <si>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</si>
  <si>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</si>
  <si>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</si>
  <si>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</si>
  <si>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</si>
  <si>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</si>
  <si>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</si>
  <si>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</si>
  <si>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</si>
  <si>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</si>
  <si>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</si>
  <si>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</si>
  <si>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</si>
  <si>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</si>
  <si>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</si>
  <si>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</si>
  <si>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</si>
  <si>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</si>
  <si>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</si>
  <si>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</si>
  <si>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</si>
  <si>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</si>
  <si>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</si>
  <si>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</si>
  <si>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</si>
  <si>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</si>
  <si>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</si>
  <si>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</si>
  <si>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</si>
  <si>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</si>
  <si>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</si>
  <si>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</si>
  <si>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</si>
  <si>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</si>
  <si>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</si>
  <si>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</si>
  <si>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</si>
  <si>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</si>
  <si>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</si>
  <si>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</si>
  <si>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</si>
  <si>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</si>
  <si>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</si>
  <si>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</si>
  <si>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</si>
  <si>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</si>
  <si>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</si>
  <si>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</si>
  <si>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</si>
  <si>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</si>
  <si>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</si>
  <si>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</si>
  <si>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</si>
  <si>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</si>
  <si>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</si>
  <si>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</si>
  <si>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</si>
  <si>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</si>
  <si>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</si>
  <si>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</si>
  <si>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</si>
  <si>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</si>
  <si>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</si>
  <si>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</si>
  <si>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</si>
  <si>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</si>
  <si>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</si>
  <si>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</si>
  <si>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</si>
  <si>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</si>
  <si>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</si>
  <si>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</si>
  <si>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</si>
  <si>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</si>
  <si>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</si>
  <si>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</si>
  <si>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</si>
  <si>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</si>
  <si>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</si>
  <si>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</si>
  <si>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</si>
  <si>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</si>
  <si>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</si>
  <si>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</si>
  <si>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</si>
  <si>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</si>
  <si>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</si>
  <si>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</si>
  <si>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</si>
  <si>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</si>
  <si>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</si>
  <si>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</si>
  <si>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</si>
  <si>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</si>
  <si>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</si>
  <si>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</si>
  <si>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</si>
  <si>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</si>
  <si>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</si>
  <si>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</si>
  <si>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</si>
  <si>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</si>
  <si>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</si>
  <si>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</si>
  <si>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</si>
  <si>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</si>
  <si>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</si>
  <si>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</si>
  <si>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</si>
  <si>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</si>
  <si>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</si>
  <si>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</si>
  <si>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</si>
  <si>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</si>
  <si>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</si>
  <si>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</si>
  <si>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</si>
  <si>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</si>
  <si>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</si>
  <si>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</si>
  <si>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</si>
  <si>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</si>
  <si>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</si>
  <si>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</si>
  <si>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</si>
  <si>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</si>
  <si>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</si>
  <si>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</si>
  <si>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</si>
  <si>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</si>
  <si>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</si>
  <si>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</si>
  <si>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</si>
  <si>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</si>
  <si>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</si>
  <si>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</si>
  <si>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</si>
  <si>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</si>
  <si>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</si>
  <si>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</si>
  <si>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</si>
  <si>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</si>
  <si>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</si>
  <si>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</si>
  <si>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</si>
  <si>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</si>
  <si>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</si>
  <si>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</si>
  <si>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</si>
  <si>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</si>
  <si>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</si>
  <si>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</si>
  <si>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</si>
  <si>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</si>
  <si>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</si>
  <si>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</si>
  <si>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</si>
  <si>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</si>
  <si>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</si>
  <si>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</si>
  <si>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</si>
  <si>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</si>
  <si>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</si>
  <si>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</si>
  <si>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</si>
  <si>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</si>
  <si>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</si>
  <si>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</si>
  <si>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</si>
  <si>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</si>
  <si>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</si>
  <si>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</si>
  <si>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</si>
  <si>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</si>
  <si>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</si>
  <si>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</si>
  <si>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</si>
  <si>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</si>
  <si>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</si>
  <si>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</si>
  <si>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</si>
  <si>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</si>
  <si>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</si>
  <si>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</si>
  <si>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</si>
  <si>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</si>
  <si>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</si>
  <si>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</si>
  <si>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</si>
  <si>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</si>
  <si>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</si>
  <si>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</si>
  <si>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</si>
  <si>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</si>
  <si>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</si>
  <si>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</si>
  <si>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</si>
  <si>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</si>
  <si>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</si>
  <si>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</si>
  <si>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</si>
  <si>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</si>
  <si>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</si>
  <si>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</si>
  <si>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</si>
  <si>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</si>
  <si>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</si>
  <si>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</si>
  <si>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</si>
  <si>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</si>
  <si>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</si>
  <si>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</si>
  <si>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</si>
  <si>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</si>
  <si>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</si>
  <si>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</si>
  <si>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</si>
  <si>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</si>
  <si>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</si>
  <si>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</si>
  <si>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</si>
  <si>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</si>
  <si>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</si>
  <si>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</si>
  <si>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</si>
  <si>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</si>
  <si>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</si>
  <si>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</si>
  <si>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</si>
  <si>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</si>
  <si>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</si>
  <si>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</si>
  <si>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</si>
  <si>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</si>
  <si>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</si>
  <si>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</si>
  <si>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</si>
  <si>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</si>
  <si>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</si>
  <si>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</si>
  <si>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</si>
  <si>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</si>
  <si>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</si>
  <si>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</si>
  <si>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</si>
  <si>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</si>
  <si>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</si>
  <si>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</si>
  <si>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</si>
  <si>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</si>
  <si>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</si>
  <si>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</si>
  <si>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</si>
  <si>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</si>
  <si>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</si>
  <si>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</si>
  <si>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</si>
  <si>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</si>
  <si>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</si>
  <si>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</si>
  <si>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</si>
  <si>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</si>
  <si>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</si>
  <si>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</si>
  <si>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</si>
  <si>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</si>
  <si>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</si>
  <si>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</si>
  <si>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</si>
  <si>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</si>
  <si>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</si>
  <si>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</si>
  <si>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</si>
  <si>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</si>
  <si>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</si>
  <si>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</si>
  <si>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</si>
  <si>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</si>
  <si>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</si>
  <si>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</si>
  <si>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</si>
  <si>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</si>
  <si>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</si>
  <si>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</si>
  <si>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</si>
  <si>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</si>
  <si>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</si>
  <si>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</si>
  <si>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</si>
  <si>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</si>
  <si>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</si>
  <si>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</si>
  <si>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</si>
  <si>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</si>
  <si>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</si>
  <si>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</si>
  <si>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</si>
  <si>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</si>
  <si>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</si>
  <si>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</si>
  <si>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</si>
  <si>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</si>
  <si>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</si>
  <si>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</si>
  <si>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</si>
  <si>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</si>
  <si>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</si>
  <si>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</si>
  <si>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</si>
  <si>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</si>
  <si>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</si>
  <si>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</si>
  <si>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</si>
  <si>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</si>
  <si>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</si>
  <si>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</si>
  <si>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</si>
  <si>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</si>
  <si>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</si>
  <si>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</si>
  <si>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</si>
  <si>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</si>
  <si>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</si>
  <si>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</si>
  <si>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</si>
  <si>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</si>
  <si>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</si>
  <si>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</si>
  <si>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</si>
  <si>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</si>
  <si>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</si>
  <si>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</si>
  <si>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</si>
  <si>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</si>
  <si>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</si>
  <si>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</si>
  <si>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</si>
  <si>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</si>
  <si>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</si>
  <si>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</si>
  <si>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</si>
  <si>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</si>
  <si>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</si>
  <si>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</si>
  <si>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</si>
  <si>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</si>
  <si>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</si>
  <si>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</si>
  <si>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</si>
  <si>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</si>
  <si>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</si>
  <si>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</si>
  <si>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</si>
  <si>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</si>
  <si>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</si>
  <si>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</si>
  <si>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</si>
  <si>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</si>
  <si>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</si>
  <si>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</si>
  <si>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</si>
  <si>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</si>
  <si>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</si>
  <si>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</si>
  <si>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</si>
  <si>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</si>
  <si>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</si>
  <si>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</si>
  <si>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</si>
  <si>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</si>
  <si>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</si>
  <si>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</si>
  <si>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</si>
  <si>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</si>
  <si>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</si>
  <si>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</si>
  <si>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</si>
  <si>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</si>
  <si>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</si>
  <si>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</si>
  <si>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</si>
  <si>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</si>
  <si>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</si>
  <si>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</si>
  <si>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</si>
  <si>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</si>
  <si>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</si>
  <si>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</si>
  <si>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</si>
  <si>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</si>
  <si>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</si>
  <si>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</si>
  <si>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</si>
  <si>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</si>
  <si>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</si>
  <si>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</si>
  <si>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</si>
  <si>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</si>
  <si>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</si>
  <si>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</si>
  <si>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</si>
  <si>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</si>
  <si>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</si>
  <si>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</si>
  <si>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</si>
  <si>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</si>
  <si>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</si>
  <si>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</si>
  <si>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</si>
  <si>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</si>
  <si>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</si>
  <si>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</si>
  <si>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</si>
  <si>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</si>
  <si>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</si>
  <si>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</si>
  <si>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</si>
  <si>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</si>
  <si>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</si>
  <si>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</si>
  <si>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</si>
  <si>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</si>
  <si>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</si>
  <si>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</si>
  <si>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</si>
  <si>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</si>
  <si>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</si>
  <si>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</si>
  <si>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</si>
  <si>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</si>
  <si>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</si>
  <si>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</si>
  <si>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</si>
  <si>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</si>
  <si>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</si>
  <si>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</si>
  <si>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</si>
  <si>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</si>
  <si>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</si>
  <si>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</si>
  <si>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</si>
  <si>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</si>
  <si>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</si>
  <si>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</si>
  <si>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</si>
  <si>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</si>
  <si>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</si>
  <si>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</si>
  <si>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</si>
  <si>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</si>
  <si>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</si>
  <si>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</si>
  <si>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</si>
  <si>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</si>
  <si>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</si>
  <si>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</si>
  <si>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</si>
  <si>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</si>
  <si>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</si>
  <si>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</si>
  <si>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</si>
  <si>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</si>
  <si>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</si>
  <si>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</si>
  <si>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</si>
  <si>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</si>
  <si>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</si>
  <si>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</si>
  <si>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</si>
  <si>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</si>
  <si>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</si>
  <si>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</si>
  <si>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</si>
  <si>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</si>
  <si>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</si>
  <si>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</si>
  <si>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</si>
  <si>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</si>
  <si>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</si>
  <si>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</si>
  <si>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</si>
  <si>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</si>
  <si>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</si>
  <si>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</si>
  <si>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</si>
  <si>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</si>
  <si>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</si>
  <si>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</si>
  <si>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</si>
  <si>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</si>
  <si>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</si>
  <si>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</si>
  <si>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</si>
  <si>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</si>
  <si>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</si>
  <si>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</si>
  <si>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</si>
  <si>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</si>
  <si>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</si>
  <si>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</si>
  <si>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</si>
  <si>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</si>
  <si>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</si>
  <si>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</si>
  <si>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</si>
  <si>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</si>
  <si>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</si>
  <si>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</si>
  <si>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</si>
  <si>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</si>
  <si>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</si>
  <si>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</si>
  <si>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</si>
  <si>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</si>
  <si>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</si>
  <si>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</si>
  <si>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</si>
  <si>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</si>
  <si>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</si>
  <si>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</si>
  <si>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</si>
  <si>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</si>
  <si>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</si>
  <si>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</si>
  <si>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</si>
  <si>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</si>
  <si>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</si>
  <si>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</si>
  <si>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</si>
  <si>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</si>
  <si>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</si>
  <si>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</si>
  <si>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</si>
  <si>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</si>
  <si>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</si>
  <si>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</si>
  <si>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</si>
  <si>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</si>
  <si>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</si>
  <si>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</si>
  <si>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</si>
  <si>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</si>
  <si>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</si>
  <si>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</si>
  <si>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</si>
  <si>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</si>
  <si>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</si>
  <si>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</si>
  <si>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</si>
  <si>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</si>
  <si>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</si>
  <si>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</si>
  <si>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</si>
  <si>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</si>
  <si>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</si>
  <si>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</si>
  <si>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</si>
  <si>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</si>
  <si>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</si>
  <si>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</si>
  <si>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</si>
  <si>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</si>
  <si>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</si>
  <si>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</si>
  <si>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</si>
  <si>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</si>
  <si>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</si>
  <si>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</si>
  <si>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</si>
  <si>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</si>
  <si>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</si>
  <si>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</si>
  <si>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</si>
  <si>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</si>
  <si>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</si>
  <si>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</si>
  <si>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</si>
  <si>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</si>
  <si>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</si>
  <si>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</si>
  <si>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</si>
  <si>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</si>
  <si>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</si>
  <si>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</si>
  <si>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</si>
  <si>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</si>
  <si>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</si>
  <si>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</si>
  <si>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</si>
  <si>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</si>
  <si>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</si>
  <si>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</si>
  <si>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</si>
  <si>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</si>
  <si>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</si>
  <si>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</si>
  <si>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</si>
  <si>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</si>
  <si>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</si>
  <si>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</si>
  <si>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</si>
  <si>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</si>
  <si>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</si>
  <si>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</si>
  <si>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</si>
  <si>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</si>
  <si>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</si>
  <si>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</si>
  <si>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</si>
  <si>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</si>
  <si>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</si>
  <si>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</si>
  <si>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</si>
  <si>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</si>
  <si>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</si>
  <si>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</si>
  <si>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</si>
  <si>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</si>
  <si>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</si>
  <si>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</si>
  <si>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</si>
  <si>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</si>
  <si>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</si>
  <si>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</si>
  <si>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</si>
  <si>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</si>
  <si>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</si>
  <si>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</si>
  <si>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</si>
  <si>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</si>
  <si>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</si>
  <si>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</si>
  <si>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</si>
  <si>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</si>
  <si>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</si>
  <si>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</si>
  <si>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</si>
  <si>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</si>
  <si>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</si>
  <si>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</si>
  <si>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</si>
  <si>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</si>
  <si>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</si>
  <si>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</si>
  <si>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</si>
  <si>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</si>
  <si>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</si>
  <si>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</si>
  <si>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</si>
  <si>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</si>
  <si>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</si>
  <si>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</si>
  <si>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</si>
  <si>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</si>
  <si>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</si>
  <si>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</si>
  <si>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</si>
  <si>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</si>
  <si>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</si>
  <si>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</si>
  <si>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</si>
  <si>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</si>
  <si>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</si>
  <si>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</si>
  <si>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</si>
  <si>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</si>
  <si>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</si>
  <si>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</si>
  <si>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</si>
  <si>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</si>
  <si>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</si>
  <si>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</si>
  <si>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</si>
  <si>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</si>
  <si>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</si>
  <si>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</si>
  <si>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</si>
  <si>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</si>
  <si>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</si>
  <si>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</si>
  <si>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</si>
  <si>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</si>
  <si>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</si>
  <si>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</si>
  <si>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</si>
  <si>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</si>
  <si>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</si>
  <si>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</si>
  <si>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</si>
  <si>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</si>
  <si>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</si>
  <si>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</si>
  <si>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</si>
  <si>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</si>
  <si>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</si>
  <si>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</si>
  <si>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</si>
  <si>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</si>
  <si>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</si>
  <si>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</si>
  <si>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</si>
  <si>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</si>
  <si>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</si>
  <si>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</si>
  <si>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</si>
  <si>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</si>
  <si>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</si>
  <si>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</si>
  <si>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</si>
  <si>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</si>
  <si>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</si>
  <si>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</si>
  <si>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</si>
  <si>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</si>
  <si>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</si>
  <si>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</si>
  <si>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</si>
  <si>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</si>
  <si>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</si>
  <si>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</si>
  <si>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</si>
  <si>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</si>
  <si>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</si>
  <si>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</si>
  <si>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</si>
  <si>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</si>
  <si>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</si>
  <si>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</si>
  <si>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</si>
  <si>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</si>
  <si>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</si>
  <si>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</si>
  <si>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</si>
  <si>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</si>
  <si>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</si>
  <si>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</si>
  <si>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</si>
  <si>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</si>
  <si>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</si>
  <si>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</si>
  <si>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</si>
  <si>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</si>
  <si>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</si>
  <si>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</si>
  <si>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</si>
  <si>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</si>
  <si>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</si>
  <si>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</si>
  <si>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</si>
  <si>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</si>
  <si>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</si>
  <si>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</si>
  <si>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</si>
  <si>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</si>
  <si>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</si>
  <si>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</si>
  <si>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</si>
  <si>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</si>
  <si>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</si>
  <si>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</si>
  <si>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</si>
  <si>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</si>
  <si>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</si>
  <si>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</si>
  <si>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</si>
  <si>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</si>
  <si>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</si>
  <si>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</si>
  <si>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</si>
  <si>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</si>
  <si>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</si>
  <si>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</si>
  <si>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</si>
  <si>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</si>
  <si>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</si>
  <si>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</si>
  <si>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</si>
  <si>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</si>
  <si>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</si>
  <si>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</si>
  <si>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</si>
  <si>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</si>
  <si>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</si>
  <si>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</si>
  <si>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</si>
  <si>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</si>
  <si>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</si>
  <si>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</si>
  <si>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</si>
  <si>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</si>
  <si>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</si>
  <si>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</si>
  <si>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</si>
  <si>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</si>
  <si>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</si>
  <si>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</si>
  <si>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</si>
  <si>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</si>
  <si>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</si>
  <si>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</si>
  <si>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</si>
  <si>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</si>
  <si>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</si>
  <si>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</si>
  <si>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</si>
  <si>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</si>
  <si>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</si>
  <si>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</si>
  <si>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</si>
  <si>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</si>
  <si>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</si>
  <si>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</si>
  <si>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</si>
  <si>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</si>
  <si>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</si>
  <si>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</si>
  <si>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</si>
  <si>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</si>
  <si>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</si>
  <si>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</si>
  <si>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</si>
  <si>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</si>
  <si>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</si>
  <si>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</si>
  <si>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</si>
  <si>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</si>
  <si>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</si>
  <si>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</si>
  <si>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</si>
  <si>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</si>
  <si>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</si>
  <si>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</si>
  <si>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</si>
  <si>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</si>
  <si>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</si>
  <si>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</si>
  <si>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</si>
  <si>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</si>
  <si>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</si>
  <si>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</si>
  <si>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</si>
  <si>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</si>
  <si>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</si>
  <si>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</si>
  <si>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</si>
  <si>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</si>
  <si>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</si>
  <si>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</si>
  <si>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</si>
  <si>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</si>
  <si>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</si>
  <si>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</si>
  <si>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</si>
  <si>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</si>
  <si>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</si>
  <si>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</si>
  <si>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</si>
  <si>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</si>
  <si>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</si>
  <si>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</si>
  <si>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</si>
  <si>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</si>
  <si>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</si>
  <si>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</si>
  <si>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</si>
  <si>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</si>
  <si>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</si>
  <si>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</si>
  <si>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</si>
  <si>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</si>
  <si>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</si>
  <si>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</si>
  <si>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</si>
  <si>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</si>
  <si>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</si>
  <si>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</si>
  <si>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</si>
  <si>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</si>
  <si>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</si>
  <si>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</si>
  <si>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</si>
  <si>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</si>
  <si>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</si>
  <si>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</si>
  <si>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</si>
  <si>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</si>
  <si>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</si>
  <si>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</si>
  <si>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</si>
  <si>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</si>
  <si>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</si>
  <si>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</si>
  <si>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</si>
  <si>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</si>
  <si>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</si>
  <si>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</si>
  <si>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</si>
  <si>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</si>
  <si>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</si>
  <si>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</si>
  <si>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</si>
  <si>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</si>
  <si>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</si>
  <si>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</si>
  <si>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</si>
  <si>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</si>
  <si>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</si>
  <si>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</si>
  <si>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</si>
  <si>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</si>
  <si>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</si>
  <si>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</si>
  <si>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</si>
  <si>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</si>
  <si>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</si>
  <si>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</si>
  <si>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</si>
  <si>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</si>
  <si>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</si>
  <si>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</si>
  <si>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</si>
  <si>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</si>
  <si>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</si>
  <si>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</si>
  <si>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</si>
  <si>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</si>
  <si>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</si>
  <si>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</si>
  <si>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</si>
  <si>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</si>
  <si>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</si>
  <si>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</si>
  <si>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</si>
  <si>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</si>
  <si>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</si>
  <si>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</si>
  <si>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</si>
  <si>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</si>
  <si>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</si>
  <si>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</si>
  <si>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</si>
  <si>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</si>
  <si>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</si>
  <si>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</si>
  <si>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</si>
  <si>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</si>
  <si>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</si>
  <si>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</si>
  <si>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</si>
  <si>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</si>
  <si>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</si>
  <si>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</si>
  <si>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</si>
  <si>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</si>
  <si>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</si>
  <si>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</si>
  <si>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</si>
  <si>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</si>
  <si>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</si>
  <si>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</si>
  <si>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</si>
  <si>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</si>
  <si>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</si>
  <si>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</si>
  <si>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</si>
  <si>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</si>
  <si>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</si>
  <si>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</si>
  <si>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</si>
  <si>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</si>
  <si>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</si>
  <si>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</si>
  <si>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</si>
  <si>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</si>
  <si>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</si>
  <si>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</si>
  <si>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</si>
  <si>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</si>
  <si>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</si>
  <si>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</si>
  <si>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</si>
  <si>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</si>
  <si>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</si>
  <si>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</si>
  <si>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</si>
  <si>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</si>
  <si>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</si>
  <si>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</si>
  <si>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</si>
  <si>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</si>
  <si>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</si>
  <si>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</si>
  <si>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</si>
  <si>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</si>
  <si>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</si>
  <si>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</si>
  <si>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</si>
  <si>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</si>
  <si>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</si>
  <si>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</si>
  <si>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</si>
  <si>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</si>
  <si>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</si>
  <si>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</si>
  <si>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</si>
  <si>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</si>
  <si>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</si>
  <si>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</si>
  <si>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</si>
  <si>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</si>
  <si>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</si>
  <si>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</si>
  <si>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</si>
  <si>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</si>
  <si>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</si>
  <si>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</si>
  <si>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</si>
  <si>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</si>
  <si>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</si>
  <si>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</si>
  <si>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</si>
  <si>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</si>
  <si>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</si>
  <si>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</si>
  <si>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</si>
  <si>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</si>
  <si>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</si>
  <si>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</si>
  <si>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</si>
  <si>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</si>
  <si>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</si>
  <si>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</si>
  <si>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</si>
  <si>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</si>
  <si>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</si>
  <si>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</si>
  <si>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</si>
  <si>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</si>
  <si>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</si>
  <si>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</si>
  <si>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</si>
  <si>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</si>
  <si>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</si>
  <si>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</si>
  <si>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</si>
  <si>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</si>
  <si>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</si>
  <si>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</si>
  <si>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</si>
  <si>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</si>
  <si>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</si>
  <si>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</si>
  <si>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</si>
  <si>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</si>
  <si>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</si>
  <si>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</si>
  <si>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</si>
  <si>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</si>
  <si>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</si>
  <si>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</si>
  <si>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</si>
  <si>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</si>
  <si>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</si>
  <si>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</si>
  <si>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</si>
  <si>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</si>
  <si>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</si>
  <si>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</si>
  <si>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</si>
  <si>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</si>
  <si>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</si>
  <si>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</si>
  <si>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</si>
  <si>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</si>
  <si>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</si>
  <si>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</si>
  <si>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</si>
  <si>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</si>
  <si>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</si>
  <si>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</si>
  <si>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</si>
  <si>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</si>
  <si>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</si>
  <si>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</si>
  <si>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</si>
  <si>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</si>
  <si>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</si>
  <si>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</si>
  <si>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</si>
  <si>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</si>
  <si>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</si>
  <si>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</si>
  <si>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</si>
  <si>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</si>
  <si>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</si>
  <si>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</si>
  <si>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</si>
  <si>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</si>
  <si>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</si>
  <si>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</si>
  <si>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</si>
  <si>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</si>
  <si>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</si>
  <si>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</si>
  <si>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</si>
  <si>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</si>
  <si>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</si>
  <si>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</si>
  <si>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</si>
  <si>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</si>
  <si>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</si>
  <si>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</si>
  <si>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</si>
  <si>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</si>
  <si>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</si>
  <si>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</si>
  <si>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</si>
  <si>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</si>
  <si>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</si>
  <si>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</si>
  <si>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</si>
  <si>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</si>
  <si>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</si>
  <si>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</si>
  <si>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</si>
  <si>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</si>
  <si>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</si>
  <si>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</si>
  <si>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</si>
  <si>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</si>
  <si>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</si>
  <si>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</si>
  <si>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</si>
  <si>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</si>
  <si>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</si>
  <si>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</si>
  <si>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</si>
  <si>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</si>
  <si>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</si>
  <si>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</si>
  <si>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</si>
  <si>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</si>
  <si>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</si>
  <si>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</si>
  <si>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</si>
  <si>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</si>
  <si>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</si>
  <si>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</si>
  <si>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</si>
  <si>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</si>
  <si>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</si>
  <si>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</si>
  <si>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</si>
  <si>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</si>
  <si>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</si>
  <si>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</si>
  <si>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</si>
  <si>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</si>
  <si>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</si>
  <si>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</si>
  <si>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</si>
  <si>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</si>
  <si>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</si>
  <si>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</si>
  <si>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</si>
  <si>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</si>
  <si>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</si>
  <si>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</si>
  <si>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</si>
  <si>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</si>
  <si>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</si>
  <si>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</si>
  <si>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</si>
  <si>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</si>
  <si>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</si>
  <si>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</si>
  <si>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</si>
  <si>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</si>
  <si>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</si>
  <si>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</si>
  <si>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</si>
  <si>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</si>
  <si>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</si>
  <si>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</si>
  <si>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</si>
  <si>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</si>
  <si>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</si>
  <si>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</si>
  <si>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</si>
  <si>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</si>
  <si>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</si>
  <si>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</si>
  <si>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</si>
  <si>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</si>
  <si>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</si>
  <si>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</si>
  <si>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</si>
  <si>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</si>
  <si>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</si>
  <si>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</si>
  <si>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</si>
  <si>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</si>
  <si>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</si>
  <si>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</si>
  <si>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</si>
  <si>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</si>
  <si>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</si>
  <si>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</si>
  <si>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</si>
  <si>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</si>
  <si>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</si>
  <si>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</si>
  <si>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</si>
  <si>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</si>
  <si>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</si>
  <si>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</si>
  <si>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</si>
  <si>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</si>
  <si>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</si>
  <si>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</si>
  <si>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</si>
  <si>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</si>
  <si>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</si>
  <si>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</si>
  <si>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</si>
  <si>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</si>
  <si>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</si>
  <si>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</si>
  <si>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</si>
  <si>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</si>
  <si>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</si>
  <si>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</si>
  <si>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</si>
  <si>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</si>
  <si>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</si>
  <si>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</si>
  <si>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</si>
  <si>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</si>
  <si>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</si>
  <si>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</si>
  <si>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</si>
  <si>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</si>
  <si>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</si>
  <si>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</si>
  <si>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</si>
  <si>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</si>
  <si>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</si>
  <si>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</si>
  <si>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</si>
  <si>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</si>
  <si>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</si>
  <si>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</si>
  <si>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</si>
  <si>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</si>
  <si>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</si>
  <si>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</si>
  <si>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</si>
  <si>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</si>
  <si>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</si>
  <si>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</si>
  <si>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</si>
  <si>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</si>
  <si>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</si>
  <si>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</si>
  <si>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</si>
  <si>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</si>
  <si>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</si>
  <si>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</si>
  <si>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</si>
  <si>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</si>
  <si>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</si>
  <si>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</si>
  <si>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</si>
  <si>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</si>
  <si>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</si>
  <si>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</si>
  <si>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</si>
  <si>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</si>
  <si>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</si>
  <si>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</si>
  <si>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</si>
  <si>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</si>
  <si>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</si>
  <si>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</si>
  <si>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</si>
  <si>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</si>
  <si>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</si>
  <si>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</si>
  <si>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</si>
  <si>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</si>
  <si>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</si>
  <si>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</si>
  <si>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</si>
  <si>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</si>
  <si>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</si>
  <si>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</si>
  <si>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</si>
  <si>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</si>
  <si>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</si>
  <si>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</si>
  <si>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</si>
  <si>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</si>
  <si>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</si>
  <si>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</si>
  <si>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</si>
  <si>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</si>
  <si>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</si>
  <si>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</si>
  <si>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</si>
  <si>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</si>
  <si>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</si>
  <si>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</si>
  <si>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</si>
  <si>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</si>
  <si>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</si>
  <si>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</si>
  <si>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</si>
  <si>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</si>
  <si>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</si>
  <si>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</si>
  <si>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</si>
  <si>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</si>
  <si>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</si>
  <si>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</si>
  <si>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</si>
  <si>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</si>
  <si>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</si>
  <si>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</si>
  <si>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</si>
  <si>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</si>
  <si>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</si>
  <si>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</si>
  <si>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</si>
  <si>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</si>
  <si>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</si>
  <si>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</si>
  <si>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</si>
  <si>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</si>
  <si>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</si>
  <si>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</si>
  <si>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</si>
  <si>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</si>
  <si>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</si>
  <si>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</si>
  <si>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</si>
  <si>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</si>
  <si>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</si>
  <si>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</si>
  <si>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</si>
  <si>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</si>
  <si>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</si>
  <si>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</si>
  <si>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</si>
  <si>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</si>
  <si>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</si>
  <si>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</si>
  <si>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</si>
  <si>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</si>
  <si>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</si>
  <si>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</si>
  <si>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</si>
  <si>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</si>
  <si>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</si>
  <si>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</si>
  <si>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</si>
  <si>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</si>
  <si>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</si>
  <si>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</si>
  <si>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</si>
  <si>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</si>
  <si>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</si>
  <si>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</si>
  <si>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</si>
  <si>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</si>
  <si>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</si>
  <si>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</si>
  <si>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</si>
  <si>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</si>
  <si>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</si>
  <si>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</si>
  <si>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</si>
  <si>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</si>
  <si>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</si>
  <si>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</si>
  <si>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</si>
  <si>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</si>
  <si>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</si>
  <si>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</si>
  <si>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</si>
  <si>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</si>
  <si>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</si>
  <si>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</si>
  <si>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</si>
  <si>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</si>
  <si>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</si>
  <si>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</si>
  <si>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</si>
  <si>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</si>
  <si>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</si>
  <si>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</si>
  <si>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</si>
  <si>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</si>
  <si>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</si>
  <si>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</si>
  <si>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</si>
  <si>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</si>
  <si>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</si>
  <si>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</si>
  <si>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</si>
  <si>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</si>
  <si>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</si>
  <si>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</si>
  <si>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</si>
  <si>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</si>
  <si>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</si>
  <si>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</si>
  <si>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</si>
  <si>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</si>
  <si>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</si>
  <si>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</si>
  <si>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</si>
  <si>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</si>
  <si>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</si>
  <si>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</si>
  <si>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</si>
  <si>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</si>
  <si>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</si>
  <si>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</si>
  <si>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</si>
  <si>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</si>
  <si>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</si>
  <si>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</si>
  <si>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</si>
  <si>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</si>
  <si>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</si>
  <si>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</si>
  <si>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</si>
  <si>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</si>
  <si>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</si>
  <si>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</si>
  <si>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</si>
  <si>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</si>
  <si>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</si>
  <si>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</si>
  <si>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</si>
  <si>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</si>
  <si>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</si>
  <si>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</si>
  <si>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</si>
  <si>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</si>
  <si>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</si>
  <si>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</si>
  <si>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</si>
  <si>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</si>
  <si>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</si>
  <si>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</si>
  <si>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</si>
  <si>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</si>
  <si>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</si>
  <si>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</si>
  <si>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</si>
  <si>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</si>
  <si>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</si>
  <si>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</si>
  <si>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</si>
  <si>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</si>
  <si>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</si>
  <si>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</si>
  <si>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</si>
  <si>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</si>
  <si>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</si>
  <si>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</si>
  <si>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</si>
  <si>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</si>
  <si>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</si>
  <si>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</si>
  <si>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</si>
  <si>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</si>
  <si>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</si>
  <si>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</si>
  <si>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</si>
  <si>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</si>
  <si>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</si>
  <si>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</si>
  <si>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</si>
  <si>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</si>
  <si>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</si>
  <si>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</si>
  <si>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</si>
  <si>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</si>
  <si>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</si>
  <si>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</si>
  <si>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</si>
  <si>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</si>
  <si>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</si>
  <si>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</si>
  <si>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</si>
  <si>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</si>
  <si>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</si>
  <si>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</si>
  <si>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</si>
  <si>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</si>
  <si>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</si>
  <si>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</si>
  <si>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</si>
  <si>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</si>
  <si>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</si>
  <si>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</si>
  <si>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</si>
  <si>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</si>
  <si>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</si>
  <si>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</si>
  <si>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</si>
  <si>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</si>
  <si>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</si>
  <si>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</si>
  <si>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</si>
  <si>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</si>
  <si>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</si>
  <si>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</si>
  <si>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</si>
  <si>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</si>
  <si>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</si>
  <si>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</si>
  <si>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</si>
  <si>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</si>
  <si>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</si>
  <si>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</si>
  <si>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</si>
  <si>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</si>
  <si>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</si>
  <si>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</si>
  <si>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</si>
  <si>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</si>
  <si>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</si>
  <si>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</si>
  <si>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</si>
  <si>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</si>
  <si>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</si>
  <si>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</si>
  <si>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</si>
  <si>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</si>
  <si>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</si>
  <si>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</si>
  <si>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</si>
  <si>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</si>
  <si>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</si>
  <si>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</si>
  <si>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</si>
  <si>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</si>
  <si>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</si>
  <si>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</si>
  <si>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</si>
  <si>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</si>
  <si>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</si>
  <si>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</si>
  <si>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</si>
  <si>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</si>
  <si>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</si>
  <si>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</si>
  <si>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</si>
  <si>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</si>
  <si>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</si>
  <si>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</si>
  <si>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</si>
  <si>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</si>
  <si>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</si>
  <si>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</si>
  <si>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</si>
  <si>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</si>
  <si>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</si>
  <si>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</si>
  <si>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</si>
  <si>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</si>
  <si>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</si>
  <si>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</si>
  <si>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</si>
  <si>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</si>
  <si>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</si>
  <si>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</si>
  <si>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</si>
  <si>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</si>
  <si>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</si>
  <si>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</si>
  <si>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</si>
  <si>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</si>
  <si>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</si>
  <si>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</si>
  <si>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</si>
  <si>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</si>
  <si>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</si>
  <si>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</si>
  <si>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</si>
  <si>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</si>
  <si>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</si>
  <si>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</si>
  <si>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</si>
  <si>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</si>
  <si>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</si>
  <si>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</si>
  <si>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</si>
  <si>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</si>
  <si>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</si>
  <si>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</si>
  <si>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</si>
  <si>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</si>
  <si>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</si>
  <si>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</si>
  <si>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</si>
  <si>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</si>
  <si>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</si>
  <si>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</si>
  <si>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</si>
  <si>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</si>
  <si>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</si>
  <si>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</si>
  <si>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</si>
  <si>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</si>
  <si>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</si>
  <si>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</si>
  <si>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</si>
  <si>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</si>
  <si>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</si>
  <si>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</si>
  <si>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</si>
  <si>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</si>
  <si>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</si>
  <si>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</si>
  <si>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</si>
  <si>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</si>
  <si>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</si>
  <si>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</si>
  <si>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</si>
  <si>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</si>
  <si>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</si>
  <si>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</si>
  <si>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</si>
  <si>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</si>
  <si>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</si>
  <si>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</si>
  <si>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</si>
  <si>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</si>
  <si>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</si>
  <si>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</si>
  <si>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</si>
  <si>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</si>
  <si>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</si>
  <si>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</si>
  <si>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</si>
  <si>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</si>
  <si>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</si>
  <si>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</si>
  <si>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</si>
  <si>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</si>
  <si>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</si>
  <si>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</si>
  <si>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</si>
  <si>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</si>
  <si>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</si>
  <si>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</si>
  <si>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</si>
  <si>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</si>
  <si>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</si>
  <si>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</si>
  <si>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</si>
  <si>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</si>
  <si>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</si>
  <si>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</si>
  <si>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</si>
  <si>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</si>
  <si>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</si>
  <si>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</si>
  <si>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</si>
  <si>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</si>
  <si>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</si>
  <si>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</si>
  <si>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</si>
  <si>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</si>
  <si>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</si>
  <si>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</si>
  <si>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</si>
  <si>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</si>
  <si>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</si>
  <si>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</si>
  <si>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</si>
  <si>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</si>
  <si>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</si>
  <si>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</si>
  <si>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</si>
  <si>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</si>
  <si>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</si>
  <si>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</si>
  <si>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</si>
  <si>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</si>
  <si>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</si>
  <si>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</si>
  <si>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</si>
  <si>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</si>
  <si>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</si>
  <si>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</si>
  <si>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</si>
  <si>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</si>
  <si>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</si>
  <si>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</si>
  <si>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</si>
  <si>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</si>
  <si>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</si>
  <si>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</si>
  <si>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</si>
  <si>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</si>
  <si>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</si>
  <si>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</si>
  <si>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</si>
  <si>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</si>
  <si>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</si>
  <si>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</si>
  <si>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</si>
  <si>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</si>
  <si>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</si>
  <si>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</si>
  <si>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</si>
  <si>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</si>
  <si>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</si>
  <si>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</si>
  <si>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</si>
  <si>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</si>
  <si>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</si>
  <si>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</si>
  <si>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</si>
  <si>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</si>
  <si>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</si>
  <si>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</si>
  <si>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</si>
  <si>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</si>
  <si>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</si>
  <si>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</si>
  <si>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</si>
  <si>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</si>
  <si>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</si>
  <si>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</si>
  <si>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</si>
  <si>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</si>
  <si>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</si>
  <si>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</si>
  <si>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</si>
  <si>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</si>
  <si>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</si>
  <si>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</si>
  <si>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</si>
  <si>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</si>
  <si>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</si>
  <si>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</si>
  <si>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</si>
  <si>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</si>
  <si>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</si>
  <si>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</si>
  <si>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</si>
  <si>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</si>
  <si>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</si>
  <si>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</si>
  <si>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</si>
  <si>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</si>
  <si>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</si>
  <si>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</si>
  <si>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</si>
  <si>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</si>
  <si>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</si>
  <si>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</si>
  <si>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</si>
  <si>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</si>
  <si>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</si>
  <si>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</si>
  <si>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</si>
  <si>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</si>
  <si>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</si>
  <si>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</si>
  <si>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</si>
  <si>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</si>
  <si>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</si>
  <si>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</si>
  <si>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</si>
  <si>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</si>
  <si>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</si>
  <si>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</si>
  <si>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</si>
  <si>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</si>
  <si>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</si>
  <si>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</si>
  <si>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</si>
  <si>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</si>
  <si>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</si>
  <si>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</si>
  <si>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</si>
  <si>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</si>
  <si>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</si>
  <si>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</si>
  <si>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</si>
  <si>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</si>
  <si>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</si>
  <si>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</si>
  <si>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</si>
  <si>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</si>
  <si>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</si>
  <si>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</si>
  <si>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</si>
  <si>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</si>
  <si>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</si>
  <si>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</si>
  <si>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</si>
  <si>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</si>
  <si>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</si>
  <si>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</si>
  <si>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</si>
  <si>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</si>
  <si>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</si>
  <si>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</si>
  <si>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</si>
  <si>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</si>
  <si>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</si>
  <si>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</si>
  <si>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</si>
  <si>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</si>
  <si>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</si>
  <si>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</si>
  <si>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</si>
  <si>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</si>
  <si>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</si>
  <si>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</si>
  <si>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</si>
  <si>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</si>
  <si>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</si>
  <si>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</si>
  <si>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</si>
  <si>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</si>
  <si>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</si>
  <si>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</si>
  <si>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</si>
  <si>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</si>
  <si>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</si>
  <si>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</si>
  <si>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</si>
  <si>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</si>
  <si>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</si>
  <si>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</si>
  <si>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</si>
  <si>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</si>
  <si>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</si>
  <si>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</si>
  <si>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</si>
  <si>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</si>
  <si>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</si>
  <si>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</si>
  <si>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</si>
  <si>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</si>
  <si>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</si>
  <si>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</si>
  <si>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</si>
  <si>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</si>
  <si>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</si>
  <si>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</si>
  <si>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</si>
  <si>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</si>
  <si>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</si>
  <si>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</si>
  <si>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</si>
  <si>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</si>
  <si>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</si>
  <si>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</si>
  <si>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</si>
  <si>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</si>
  <si>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</si>
  <si>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</si>
  <si>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</si>
  <si>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</si>
  <si>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</si>
  <si>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</si>
  <si>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</si>
  <si>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</si>
  <si>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</si>
  <si>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</si>
  <si>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</si>
  <si>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</si>
  <si>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</si>
  <si>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</si>
  <si>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</si>
  <si>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</si>
  <si>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</si>
  <si>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</si>
  <si>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</si>
  <si>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</si>
  <si>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</si>
  <si>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</si>
  <si>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</si>
  <si>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</si>
  <si>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</si>
  <si>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</si>
  <si>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</si>
  <si>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</si>
  <si>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</si>
  <si>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</si>
  <si>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</si>
  <si>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</si>
  <si>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</si>
  <si>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</si>
  <si>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</si>
  <si>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</si>
  <si>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</si>
  <si>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</si>
  <si>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</si>
  <si>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</si>
  <si>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</si>
  <si>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</si>
  <si>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</si>
  <si>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</si>
  <si>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</si>
  <si>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</si>
  <si>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</si>
  <si>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</si>
  <si>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</si>
  <si>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</si>
  <si>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</si>
  <si>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</si>
  <si>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</si>
  <si>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</si>
  <si>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</si>
  <si>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</si>
  <si>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</si>
  <si>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</si>
  <si>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</si>
  <si>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</si>
  <si>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</si>
  <si>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</si>
  <si>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</si>
  <si>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</si>
  <si>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</si>
  <si>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</si>
  <si>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</si>
  <si>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</si>
  <si>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</si>
  <si>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</si>
  <si>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</si>
  <si>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</si>
  <si>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</si>
  <si>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</si>
  <si>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</si>
  <si>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</si>
  <si>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</si>
  <si>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</si>
  <si>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</si>
  <si>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</si>
  <si>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</si>
  <si>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</si>
  <si>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</si>
  <si>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</si>
  <si>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</si>
  <si>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</si>
  <si>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</si>
  <si>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</si>
  <si>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</si>
  <si>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</si>
  <si>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</si>
  <si>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</si>
  <si>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</si>
  <si>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</si>
  <si>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</si>
  <si>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</si>
  <si>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</si>
  <si>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</si>
  <si>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</si>
  <si>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</si>
  <si>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</si>
  <si>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</si>
  <si>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</si>
  <si>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</si>
  <si>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</si>
  <si>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</si>
  <si>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</si>
  <si>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</si>
  <si>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</si>
  <si>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</si>
  <si>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</si>
  <si>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</si>
  <si>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</si>
  <si>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</si>
  <si>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</si>
  <si>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</si>
  <si>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</si>
  <si>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</si>
  <si>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</si>
  <si>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</si>
  <si>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</si>
  <si>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</si>
  <si>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</si>
  <si>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</si>
  <si>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</si>
  <si>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</si>
  <si>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</si>
  <si>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</si>
  <si>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</si>
  <si>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</si>
  <si>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</si>
  <si>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</si>
  <si>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</si>
  <si>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</si>
  <si>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</si>
  <si>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</si>
  <si>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</si>
  <si>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</si>
  <si>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</si>
  <si>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</si>
  <si>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</si>
  <si>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</si>
  <si>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</si>
  <si>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</si>
  <si>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</si>
  <si>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</si>
  <si>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</si>
  <si>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</si>
  <si>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</si>
  <si>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</si>
  <si>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</si>
  <si>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</si>
  <si>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</si>
  <si>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</si>
  <si>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</si>
  <si>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</si>
  <si>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</si>
  <si>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</si>
  <si>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</si>
  <si>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</si>
  <si>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</si>
  <si>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</si>
  <si>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</si>
  <si>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</si>
  <si>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</si>
  <si>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</si>
  <si>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</si>
  <si>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</si>
  <si>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</si>
  <si>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</si>
  <si>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</si>
  <si>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</si>
  <si>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</si>
  <si>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</si>
  <si>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</si>
  <si>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</si>
  <si>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</si>
  <si>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</si>
  <si>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</si>
  <si>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</si>
  <si>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</si>
  <si>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</si>
  <si>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</si>
  <si>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</si>
  <si>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</si>
  <si>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</si>
  <si>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</si>
  <si>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</si>
  <si>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</si>
  <si>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</si>
  <si>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</si>
  <si>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</si>
  <si>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</si>
  <si>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</si>
  <si>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</si>
  <si>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</si>
  <si>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</si>
  <si>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</si>
  <si>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</si>
  <si>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</si>
  <si>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</si>
  <si>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</si>
  <si>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</si>
  <si>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</si>
  <si>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</si>
  <si>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</si>
  <si>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</si>
  <si>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</si>
  <si>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</si>
  <si>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</si>
  <si>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</si>
  <si>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</si>
  <si>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</si>
  <si>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</si>
  <si>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</si>
  <si>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</si>
  <si>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</si>
  <si>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</si>
  <si>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</si>
  <si>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</si>
  <si>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</si>
  <si>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</si>
  <si>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</si>
  <si>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</si>
  <si>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</si>
  <si>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</si>
  <si>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</si>
  <si>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</si>
  <si>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</si>
  <si>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</si>
  <si>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</si>
  <si>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</si>
  <si>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</si>
  <si>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</si>
  <si>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</si>
  <si>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</si>
  <si>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</si>
  <si>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</si>
  <si>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</si>
  <si>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</si>
  <si>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</si>
  <si>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</si>
  <si>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</si>
  <si>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</si>
  <si>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</si>
  <si>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</si>
  <si>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</si>
  <si>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</si>
  <si>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</si>
  <si>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</si>
  <si>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</si>
  <si>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</si>
  <si>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</si>
  <si>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</si>
  <si>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</si>
  <si>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</si>
  <si>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</si>
  <si>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</si>
  <si>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</si>
  <si>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</si>
  <si>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</si>
  <si>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</si>
  <si>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</si>
  <si>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</si>
  <si>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</si>
  <si>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</si>
  <si>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</si>
  <si>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</si>
  <si>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</si>
  <si>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</si>
  <si>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</si>
  <si>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</si>
  <si>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</si>
  <si>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</si>
  <si>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</si>
  <si>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</si>
  <si>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</si>
  <si>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</si>
  <si>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</si>
  <si>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</si>
  <si>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</si>
  <si>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</si>
  <si>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</si>
  <si>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</si>
  <si>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</si>
  <si>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</si>
  <si>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</si>
  <si>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</si>
  <si>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</si>
  <si>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</si>
  <si>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</si>
  <si>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</si>
  <si>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</si>
  <si>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</si>
  <si>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</si>
  <si>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</si>
  <si>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</si>
  <si>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</si>
  <si>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</si>
  <si>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</si>
  <si>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</si>
  <si>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</si>
  <si>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</si>
  <si>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</si>
  <si>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</si>
  <si>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</si>
  <si>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</si>
  <si>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</si>
  <si>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</si>
  <si>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</si>
  <si>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</si>
  <si>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</si>
  <si>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</si>
  <si>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</si>
  <si>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</si>
  <si>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</si>
  <si>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</si>
  <si>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</si>
  <si>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</si>
  <si>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</si>
  <si>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</si>
  <si>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</si>
  <si>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</si>
  <si>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</si>
  <si>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</si>
  <si>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</si>
  <si>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</si>
  <si>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</si>
  <si>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</si>
  <si>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</si>
  <si>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</si>
  <si>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</si>
  <si>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</si>
  <si>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</si>
  <si>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</si>
  <si>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</si>
  <si>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</si>
  <si>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</si>
  <si>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</si>
  <si>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</si>
  <si>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</si>
  <si>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</si>
  <si>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</si>
  <si>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</si>
  <si>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</si>
  <si>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</si>
  <si>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</si>
  <si>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</si>
  <si>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</si>
  <si>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</si>
  <si>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</si>
  <si>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</si>
  <si>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</si>
  <si>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</si>
  <si>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</si>
  <si>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</si>
  <si>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</si>
  <si>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</si>
  <si>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</si>
  <si>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</si>
  <si>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</si>
  <si>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</si>
  <si>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</si>
  <si>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</si>
  <si>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</si>
  <si>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</si>
  <si>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</si>
  <si>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</si>
  <si>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</si>
  <si>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</si>
  <si>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</si>
  <si>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</si>
  <si>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</si>
  <si>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</si>
  <si>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</si>
  <si>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</si>
  <si>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</si>
  <si>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</si>
  <si>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</si>
  <si>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</si>
  <si>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</si>
  <si>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</si>
  <si>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</si>
  <si>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</si>
  <si>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</si>
  <si>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</si>
  <si>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</si>
  <si>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</si>
  <si>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</si>
  <si>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</si>
  <si>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</si>
  <si>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</si>
  <si>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</si>
  <si>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</si>
  <si>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</si>
  <si>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</si>
  <si>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</si>
  <si>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</si>
  <si>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</si>
  <si>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</si>
  <si>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</si>
  <si>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</si>
  <si>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</si>
  <si>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</si>
  <si>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</si>
  <si>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</si>
  <si>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</si>
  <si>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</si>
  <si>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</si>
  <si>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</si>
  <si>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</si>
  <si>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</si>
  <si>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</si>
  <si>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</si>
  <si>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</si>
  <si>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</si>
  <si>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</si>
  <si>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</si>
  <si>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</si>
  <si>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</si>
  <si>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</si>
  <si>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</si>
  <si>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</si>
  <si>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</si>
  <si>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</si>
  <si>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</si>
  <si>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</si>
  <si>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</si>
  <si>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</si>
  <si>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</si>
  <si>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</si>
  <si>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</si>
  <si>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</si>
  <si>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</si>
  <si>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</si>
  <si>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</si>
  <si>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</si>
  <si>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</si>
  <si>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</si>
  <si>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</si>
  <si>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</si>
  <si>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</si>
  <si>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</si>
  <si>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</si>
  <si>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</si>
  <si>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</si>
  <si>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</si>
  <si>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</si>
  <si>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</si>
  <si>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</si>
  <si>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</si>
  <si>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</si>
  <si>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</si>
  <si>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</si>
  <si>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</si>
  <si>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</si>
  <si>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</si>
  <si>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</si>
  <si>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</si>
  <si>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</si>
  <si>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</si>
  <si>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</si>
  <si>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</si>
  <si>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</si>
  <si>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</si>
  <si>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</si>
  <si>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</si>
  <si>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</si>
  <si>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</si>
  <si>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</si>
  <si>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</si>
  <si>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</si>
  <si>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</si>
  <si>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</si>
  <si>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</si>
  <si>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</si>
  <si>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</si>
  <si>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</si>
  <si>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</si>
  <si>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</si>
  <si>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</si>
  <si>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</si>
  <si>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</si>
  <si>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</si>
  <si>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</si>
  <si>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</si>
  <si>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</si>
  <si>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</si>
  <si>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</si>
  <si>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</si>
  <si>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</si>
  <si>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</si>
  <si>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</si>
  <si>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</si>
  <si>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</si>
  <si>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</si>
  <si>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</si>
  <si>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</si>
  <si>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</si>
  <si>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</si>
  <si>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</si>
  <si>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</si>
  <si>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</si>
  <si>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</si>
  <si>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</si>
  <si>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</si>
  <si>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</si>
  <si>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</si>
  <si>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</si>
  <si>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</si>
  <si>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</si>
  <si>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</si>
  <si>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</si>
  <si>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</si>
  <si>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</si>
  <si>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</si>
  <si>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</si>
  <si>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</si>
  <si>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</si>
  <si>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</si>
  <si>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</si>
  <si>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</si>
  <si>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</si>
  <si>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</si>
  <si>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</si>
  <si>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</si>
  <si>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</si>
  <si>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</si>
  <si>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</si>
  <si>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</si>
  <si>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</si>
  <si>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</si>
  <si>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</si>
  <si>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</si>
  <si>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</si>
  <si>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</si>
  <si>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</si>
  <si>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</si>
  <si>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</si>
  <si>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</si>
  <si>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</si>
  <si>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</si>
  <si>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</si>
  <si>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</si>
  <si>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</si>
  <si>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</si>
  <si>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</si>
  <si>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</si>
  <si>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</si>
  <si>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</si>
  <si>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</si>
  <si>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</si>
  <si>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</si>
  <si>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</si>
  <si>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</si>
  <si>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</si>
  <si>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</si>
  <si>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</si>
  <si>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</si>
  <si>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</si>
  <si>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</si>
  <si>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</si>
  <si>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</si>
  <si>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</si>
  <si>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</si>
  <si>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</si>
  <si>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</si>
  <si>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</si>
  <si>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</si>
  <si>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</si>
  <si>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</si>
  <si>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</si>
  <si>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</si>
  <si>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</si>
  <si>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</si>
  <si>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</si>
  <si>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</si>
  <si>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</si>
  <si>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</si>
  <si>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</si>
  <si>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</si>
  <si>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</si>
  <si>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</si>
  <si>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</si>
  <si>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</si>
  <si>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</si>
  <si>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</si>
  <si>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</si>
  <si>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</si>
  <si>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</si>
  <si>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</si>
  <si>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</si>
  <si>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</si>
  <si>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</si>
  <si>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</si>
  <si>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</si>
  <si>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</si>
  <si>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</si>
  <si>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</si>
  <si>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</si>
  <si>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</si>
  <si>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</si>
  <si>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</si>
  <si>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</si>
  <si>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</si>
  <si>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</si>
  <si>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</si>
  <si>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</si>
  <si>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</si>
  <si>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</si>
  <si>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</si>
  <si>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</si>
  <si>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</si>
  <si>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</si>
  <si>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</si>
  <si>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</si>
  <si>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</si>
  <si>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</si>
  <si>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</si>
  <si>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</si>
  <si>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</si>
  <si>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</si>
  <si>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</si>
  <si>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</si>
  <si>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</si>
  <si>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</si>
  <si>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</si>
  <si>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</si>
  <si>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</si>
  <si>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</si>
  <si>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</si>
  <si>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</si>
  <si>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</si>
  <si>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</si>
  <si>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</si>
  <si>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</si>
  <si>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</si>
  <si>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</si>
  <si>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</si>
  <si>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</si>
  <si>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</si>
  <si>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</si>
  <si>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</si>
  <si>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</si>
  <si>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</si>
  <si>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</si>
  <si>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</si>
  <si>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</si>
  <si>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</si>
  <si>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</si>
  <si>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</si>
  <si>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</si>
  <si>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</si>
  <si>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</si>
  <si>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</si>
  <si>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</si>
  <si>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</si>
  <si>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</si>
  <si>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</si>
  <si>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</si>
  <si>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</si>
  <si>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</si>
  <si>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</si>
  <si>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</si>
  <si>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</si>
  <si>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</si>
  <si>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</si>
  <si>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</si>
  <si>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</si>
  <si>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</si>
  <si>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</si>
  <si>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</si>
  <si>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</si>
  <si>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</si>
  <si>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</si>
  <si>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</si>
  <si>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</si>
  <si>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</si>
  <si>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</si>
  <si>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</si>
  <si>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</si>
  <si>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</si>
  <si>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</si>
  <si>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</si>
  <si>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</si>
  <si>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</si>
  <si>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</si>
  <si>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</si>
  <si>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</si>
  <si>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</si>
  <si>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</si>
  <si>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</si>
  <si>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</si>
  <si>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</si>
  <si>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</si>
  <si>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</si>
  <si>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</si>
  <si>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</si>
  <si>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</si>
  <si>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</si>
  <si>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</si>
  <si>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</si>
  <si>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</si>
  <si>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</si>
  <si>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</si>
  <si>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</si>
  <si>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</si>
  <si>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</si>
  <si>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</si>
  <si>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</si>
  <si>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</si>
  <si>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</si>
  <si>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</si>
  <si>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</si>
  <si>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</si>
  <si>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</si>
  <si>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</si>
  <si>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</si>
  <si>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</si>
  <si>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</si>
  <si>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</si>
  <si>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</si>
  <si>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</si>
  <si>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</si>
  <si>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</si>
  <si>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</si>
  <si>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</si>
  <si>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</si>
  <si>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</si>
  <si>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</si>
  <si>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</si>
  <si>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</si>
  <si>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</si>
  <si>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</si>
  <si>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</si>
  <si>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</si>
  <si>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</si>
  <si>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</si>
  <si>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</si>
  <si>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</si>
  <si>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</si>
  <si>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</si>
  <si>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</si>
  <si>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</si>
  <si>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</si>
  <si>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</si>
  <si>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</si>
  <si>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</si>
  <si>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</si>
  <si>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</si>
  <si>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</si>
  <si>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</si>
  <si>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</si>
  <si>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</si>
  <si>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</si>
  <si>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</si>
  <si>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</si>
  <si>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</si>
  <si>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</si>
  <si>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</si>
  <si>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</si>
  <si>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</si>
  <si>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</si>
  <si>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</si>
  <si>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</si>
  <si>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</si>
  <si>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</si>
  <si>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</si>
  <si>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</si>
  <si>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</si>
  <si>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</si>
  <si>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</si>
  <si>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</si>
  <si>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</si>
  <si>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</si>
  <si>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</si>
  <si>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</si>
  <si>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</si>
  <si>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</si>
  <si>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</si>
  <si>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</si>
  <si>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</si>
  <si>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</si>
  <si>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</si>
  <si>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</si>
  <si>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</si>
  <si>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</si>
  <si>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</si>
  <si>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</si>
  <si>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</si>
  <si>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</si>
  <si>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</si>
  <si>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</si>
  <si>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</si>
  <si>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</si>
  <si>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</si>
  <si>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</si>
  <si>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</si>
  <si>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</si>
  <si>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</si>
  <si>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</si>
  <si>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</si>
  <si>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</si>
  <si>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</si>
  <si>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</si>
  <si>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</si>
  <si>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</si>
  <si>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</si>
  <si>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</si>
  <si>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</si>
  <si>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</si>
  <si>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</si>
  <si>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</si>
  <si>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</si>
  <si>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</si>
  <si>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</si>
  <si>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</si>
  <si>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</si>
  <si>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</si>
  <si>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</si>
  <si>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</si>
  <si>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</si>
  <si>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</si>
  <si>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</si>
  <si>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</si>
  <si>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</si>
  <si>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</si>
  <si>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</si>
  <si>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</si>
  <si>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</si>
  <si>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</si>
  <si>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</si>
  <si>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</si>
  <si>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</si>
  <si>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</si>
  <si>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</si>
  <si>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</si>
  <si>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</si>
  <si>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</si>
  <si>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</si>
  <si>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</si>
  <si>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</si>
  <si>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</si>
  <si>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</si>
  <si>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</si>
  <si>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</si>
  <si>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</si>
  <si>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</si>
  <si>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</si>
  <si>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</si>
  <si>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</si>
  <si>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</si>
  <si>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</si>
  <si>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</si>
  <si>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</si>
  <si>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</si>
  <si>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</si>
  <si>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</si>
  <si>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</si>
  <si>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</si>
  <si>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</si>
  <si>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</si>
  <si>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</si>
  <si>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</si>
  <si>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</si>
  <si>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</si>
  <si>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</si>
  <si>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</si>
  <si>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</si>
  <si>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</si>
  <si>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</si>
  <si>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</si>
  <si>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</si>
  <si>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</si>
  <si>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</si>
  <si>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</si>
  <si>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</si>
  <si>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</si>
  <si>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</si>
  <si>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</si>
  <si>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</si>
  <si>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</si>
  <si>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</si>
  <si>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</si>
  <si>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</si>
  <si>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</si>
  <si>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</si>
  <si>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</si>
  <si>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</si>
  <si>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</si>
  <si>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</si>
  <si>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</si>
  <si>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</si>
  <si>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</si>
  <si>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</si>
  <si>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</si>
  <si>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</si>
  <si>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</si>
  <si>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</si>
  <si>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</si>
  <si>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</si>
  <si>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</si>
  <si>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</si>
  <si>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</si>
  <si>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</si>
  <si>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</si>
  <si>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</si>
  <si>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</si>
  <si>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</si>
  <si>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</si>
  <si>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</si>
  <si>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</si>
  <si>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</si>
  <si>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</si>
  <si>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</si>
  <si>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</si>
  <si>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</si>
  <si>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</si>
  <si>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</si>
  <si>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</si>
  <si>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</si>
  <si>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</si>
  <si>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</si>
  <si>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</si>
  <si>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</si>
  <si>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</si>
  <si>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</si>
  <si>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</si>
  <si>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</si>
  <si>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</si>
  <si>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</si>
  <si>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</si>
  <si>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</si>
  <si>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</si>
  <si>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</si>
  <si>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</si>
  <si>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</si>
  <si>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</si>
  <si>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</si>
  <si>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</si>
  <si>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</si>
  <si>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</si>
  <si>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</si>
  <si>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</si>
  <si>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</si>
  <si>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</si>
  <si>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</si>
  <si>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</si>
  <si>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</si>
  <si>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</si>
  <si>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</si>
  <si>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</si>
  <si>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</si>
  <si>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</si>
  <si>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</si>
  <si>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</si>
  <si>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</si>
  <si>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</si>
  <si>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</si>
  <si>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</si>
  <si>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</si>
  <si>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</si>
  <si>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</si>
  <si>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</si>
  <si>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</si>
  <si>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</si>
  <si>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</si>
  <si>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</si>
  <si>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</si>
  <si>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</si>
  <si>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</si>
  <si>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</si>
  <si>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</si>
  <si>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</si>
  <si>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</si>
  <si>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</si>
  <si>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</si>
  <si>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</si>
  <si>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</si>
  <si>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</si>
  <si>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</si>
  <si>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</si>
  <si>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</si>
  <si>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</si>
  <si>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</si>
  <si>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</si>
  <si>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</si>
  <si>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</si>
  <si>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</si>
  <si>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</si>
  <si>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</si>
  <si>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</si>
  <si>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</si>
  <si>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</si>
  <si>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</si>
  <si>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</si>
  <si>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</si>
  <si>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</si>
  <si>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</si>
  <si>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</si>
  <si>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</si>
  <si>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</si>
  <si>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</si>
  <si>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</si>
  <si>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</si>
  <si>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</si>
  <si>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</si>
  <si>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</si>
  <si>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</si>
  <si>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</si>
  <si>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</si>
  <si>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</si>
  <si>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</si>
  <si>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</si>
  <si>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</si>
  <si>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</si>
  <si>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</si>
  <si>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</si>
  <si>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</si>
  <si>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</si>
  <si>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</si>
  <si>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</si>
  <si>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</si>
  <si>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</si>
  <si>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</si>
  <si>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</si>
  <si>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</si>
  <si>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</si>
  <si>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</si>
  <si>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</si>
  <si>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</si>
  <si>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</si>
  <si>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</si>
  <si>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</si>
  <si>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</si>
  <si>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</si>
  <si>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</si>
  <si>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</si>
  <si>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</si>
  <si>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</si>
  <si>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</si>
  <si>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</si>
  <si>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</si>
  <si>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</si>
  <si>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</si>
  <si>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</si>
  <si>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</si>
  <si>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</si>
  <si>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</si>
  <si>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</si>
  <si>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</si>
  <si>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</si>
  <si>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</si>
  <si>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</si>
  <si>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</si>
  <si>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</si>
  <si>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</si>
  <si>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</si>
  <si>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</si>
  <si>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</si>
  <si>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</si>
  <si>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</si>
  <si>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</si>
  <si>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</si>
  <si>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</si>
  <si>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</si>
  <si>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</si>
  <si>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</si>
  <si>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</si>
  <si>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</si>
  <si>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</si>
  <si>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</si>
  <si>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</si>
  <si>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</si>
  <si>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</si>
  <si>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</si>
  <si>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</si>
  <si>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</si>
  <si>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</si>
  <si>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</si>
  <si>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</si>
  <si>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</si>
  <si>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</si>
  <si>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</si>
  <si>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</si>
  <si>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</si>
  <si>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</si>
  <si>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</si>
  <si>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</si>
  <si>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</si>
  <si>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</si>
  <si>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</si>
  <si>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</si>
  <si>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</si>
  <si>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</si>
  <si>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</si>
  <si>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</si>
  <si>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</si>
  <si>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</si>
  <si>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</si>
  <si>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</si>
  <si>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</si>
  <si>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</si>
  <si>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</si>
  <si>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</si>
  <si>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</si>
  <si>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</si>
  <si>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</si>
  <si>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</si>
  <si>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</si>
  <si>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</si>
  <si>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</si>
  <si>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</si>
  <si>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</si>
  <si>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</si>
  <si>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</si>
  <si>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</si>
  <si>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</si>
  <si>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</si>
  <si>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</si>
  <si>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</si>
  <si>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</si>
  <si>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</si>
  <si>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</si>
  <si>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</si>
  <si>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</si>
  <si>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</si>
  <si>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</si>
  <si>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</si>
  <si>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</si>
  <si>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</si>
  <si>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</si>
  <si>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</si>
  <si>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</si>
  <si>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</si>
  <si>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</si>
  <si>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</si>
  <si>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</si>
  <si>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</si>
  <si>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</si>
  <si>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</si>
  <si>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</si>
  <si>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</si>
  <si>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</si>
  <si>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</si>
  <si>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</si>
  <si>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</si>
  <si>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</si>
  <si>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</si>
  <si>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</si>
  <si>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</si>
  <si>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</si>
  <si>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</si>
  <si>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</si>
  <si>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</si>
  <si>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</si>
  <si>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</si>
  <si>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</si>
  <si>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</si>
  <si>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</si>
  <si>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</si>
  <si>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</si>
  <si>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</si>
  <si>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</si>
  <si>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</si>
  <si>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</si>
  <si>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</si>
  <si>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</si>
  <si>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</si>
  <si>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</si>
  <si>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</si>
  <si>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</si>
  <si>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</si>
  <si>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</si>
  <si>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</si>
  <si>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</si>
  <si>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</si>
  <si>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</si>
  <si>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</si>
  <si>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</si>
  <si>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</si>
  <si>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</si>
  <si>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</si>
  <si>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</si>
  <si>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</si>
  <si>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</si>
  <si>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</si>
  <si>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</si>
  <si>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</si>
  <si>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</si>
  <si>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</si>
  <si>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</si>
  <si>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</si>
  <si>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</si>
  <si>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</si>
  <si>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</si>
  <si>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</si>
  <si>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</si>
  <si>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</si>
  <si>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</si>
  <si>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</si>
  <si>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</si>
  <si>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</si>
  <si>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</si>
  <si>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</si>
  <si>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</si>
  <si>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</si>
  <si>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</si>
  <si>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</si>
  <si>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</si>
  <si>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</si>
  <si>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</si>
  <si>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</si>
  <si>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</si>
  <si>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</si>
  <si>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</si>
  <si>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</si>
  <si>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</si>
  <si>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</si>
  <si>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</si>
  <si>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</si>
  <si>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</si>
  <si>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</si>
  <si>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</si>
  <si>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</si>
  <si>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</si>
  <si>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</si>
  <si>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</si>
  <si>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</si>
  <si>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</si>
  <si>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</si>
  <si>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</si>
  <si>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</si>
  <si>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</si>
  <si>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</si>
  <si>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</si>
  <si>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</si>
  <si>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</si>
  <si>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</si>
  <si>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</si>
  <si>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</si>
  <si>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</si>
  <si>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</si>
  <si>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</si>
  <si>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</si>
  <si>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</si>
  <si>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</si>
  <si>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</si>
  <si>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</si>
  <si>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</si>
  <si>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</si>
  <si>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</si>
  <si>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</si>
  <si>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</si>
  <si>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</si>
  <si>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</si>
  <si>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</si>
  <si>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</si>
  <si>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</si>
  <si>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</si>
  <si>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</si>
  <si>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</si>
  <si>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</si>
  <si>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</si>
  <si>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</si>
  <si>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</si>
  <si>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</si>
  <si>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</si>
  <si>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</si>
  <si>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</si>
  <si>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</si>
  <si>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</si>
  <si>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</si>
  <si>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</si>
  <si>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</si>
  <si>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</si>
  <si>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</si>
  <si>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</si>
  <si>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</si>
  <si>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</si>
  <si>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</si>
  <si>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</si>
  <si>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</si>
  <si>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</si>
  <si>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</si>
  <si>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</si>
  <si>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</si>
  <si>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</si>
  <si>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</si>
  <si>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</si>
  <si>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</si>
  <si>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</si>
  <si>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</si>
  <si>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</si>
  <si>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</si>
  <si>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</si>
  <si>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</si>
  <si>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</si>
  <si>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</si>
  <si>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</si>
  <si>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</si>
  <si>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</si>
  <si>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</si>
  <si>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</si>
  <si>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</si>
  <si>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</si>
  <si>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</si>
  <si>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</si>
  <si>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</si>
  <si>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</si>
  <si>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</si>
  <si>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</si>
  <si>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</si>
  <si>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</si>
  <si>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</si>
  <si>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</si>
  <si>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</si>
  <si>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</si>
  <si>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</si>
  <si>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</si>
  <si>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</si>
  <si>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</si>
  <si>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</si>
  <si>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</si>
  <si>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</si>
  <si>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</si>
  <si>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</si>
  <si>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</si>
  <si>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</si>
  <si>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</si>
  <si>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</si>
  <si>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</si>
  <si>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</si>
  <si>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</si>
  <si>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</si>
  <si>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</si>
  <si>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</si>
  <si>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</si>
  <si>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</si>
  <si>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</si>
  <si>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</si>
  <si>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</si>
  <si>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</si>
  <si>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</si>
  <si>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</si>
  <si>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</si>
  <si>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</si>
  <si>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</si>
  <si>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</si>
  <si>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</si>
  <si>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</si>
  <si>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</si>
  <si>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</si>
  <si>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</si>
  <si>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</si>
  <si>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</si>
  <si>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</si>
  <si>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</si>
  <si>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</si>
  <si>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</si>
  <si>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</si>
  <si>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</si>
  <si>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</si>
  <si>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</si>
  <si>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</si>
  <si>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</si>
  <si>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</si>
  <si>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</si>
  <si>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</si>
  <si>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</si>
  <si>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</si>
  <si>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</si>
  <si>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</si>
  <si>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</si>
  <si>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</si>
  <si>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</si>
  <si>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</si>
  <si>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</si>
  <si>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</si>
  <si>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</si>
  <si>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</si>
  <si>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</si>
  <si>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</si>
  <si>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</si>
  <si>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</si>
  <si>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</si>
  <si>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</si>
  <si>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</si>
  <si>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</si>
  <si>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</si>
  <si>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</si>
  <si>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</si>
  <si>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</si>
  <si>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</si>
  <si>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</si>
  <si>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</si>
  <si>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</si>
  <si>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</si>
  <si>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</si>
  <si>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</si>
  <si>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</si>
  <si>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</si>
  <si>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</si>
  <si>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</si>
  <si>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</si>
  <si>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</si>
  <si>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</si>
  <si>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</si>
  <si>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</si>
  <si>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</si>
  <si>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</si>
  <si>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</si>
  <si>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</si>
  <si>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</si>
  <si>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</si>
  <si>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</si>
  <si>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</si>
  <si>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</si>
  <si>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</si>
  <si>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</si>
  <si>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</si>
  <si>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</si>
  <si>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</si>
  <si>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</si>
  <si>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</si>
  <si>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</si>
  <si>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</si>
  <si>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</si>
  <si>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</si>
  <si>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</si>
  <si>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</si>
  <si>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</si>
  <si>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</si>
  <si>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</si>
  <si>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</si>
  <si>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</si>
  <si>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</si>
  <si>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</si>
  <si>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</si>
  <si>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</si>
  <si>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</si>
  <si>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</si>
  <si>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</si>
  <si>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</si>
  <si>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</si>
  <si>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</si>
  <si>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</si>
  <si>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</si>
  <si>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</si>
  <si>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</si>
  <si>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</si>
  <si>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</si>
  <si>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</si>
  <si>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</si>
  <si>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</si>
  <si>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</si>
  <si>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</si>
  <si>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</si>
  <si>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</si>
  <si>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</si>
  <si>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</si>
  <si>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</si>
  <si>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</si>
  <si>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</si>
  <si>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</si>
  <si>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</si>
  <si>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</si>
  <si>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</si>
  <si>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</si>
  <si>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</si>
  <si>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</si>
  <si>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</si>
  <si>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</si>
  <si>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</si>
  <si>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</si>
  <si>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</si>
  <si>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</si>
  <si>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</si>
  <si>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</si>
  <si>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</si>
  <si>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</si>
  <si>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</si>
  <si>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</si>
  <si>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</si>
  <si>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</si>
  <si>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</si>
  <si>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</si>
  <si>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</si>
  <si>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</si>
  <si>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</si>
  <si>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</si>
  <si>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</si>
  <si>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</si>
  <si>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</si>
  <si>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</si>
  <si>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</si>
  <si>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</si>
  <si>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</si>
  <si>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</si>
  <si>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</si>
  <si>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</si>
  <si>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</si>
  <si>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</si>
  <si>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</si>
  <si>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</si>
  <si>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</si>
  <si>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</si>
  <si>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</si>
  <si>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</si>
  <si>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</si>
  <si>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</si>
  <si>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</si>
  <si>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</si>
  <si>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</si>
  <si>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</si>
  <si>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</si>
  <si>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</si>
  <si>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</si>
  <si>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</si>
  <si>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</si>
  <si>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</si>
  <si>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</si>
  <si>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</si>
  <si>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</si>
  <si>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</si>
  <si>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</si>
  <si>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</si>
  <si>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</si>
  <si>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</si>
  <si>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</si>
  <si>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</si>
  <si>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</si>
  <si>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</si>
  <si>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</si>
  <si>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</si>
  <si>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</si>
  <si>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</si>
  <si>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</si>
  <si>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</si>
  <si>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</si>
  <si>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</si>
  <si>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</si>
  <si>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</si>
  <si>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</si>
  <si>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</si>
  <si>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</si>
  <si>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</si>
  <si>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</si>
  <si>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</si>
  <si>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</si>
  <si>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</si>
  <si>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</si>
  <si>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</si>
  <si>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</si>
  <si>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</si>
  <si>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</si>
  <si>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</si>
  <si>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</si>
  <si>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</si>
  <si>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</si>
  <si>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</si>
  <si>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</si>
  <si>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</si>
  <si>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</si>
  <si>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</si>
  <si>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</si>
  <si>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</si>
  <si>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</si>
  <si>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</si>
  <si>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</si>
  <si>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</si>
  <si>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</si>
  <si>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</si>
  <si>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</si>
  <si>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</si>
  <si>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</si>
  <si>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</si>
  <si>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</si>
  <si>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</si>
  <si>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</si>
  <si>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</si>
  <si>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</si>
  <si>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</si>
  <si>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</si>
  <si>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</si>
  <si>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</si>
  <si>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</si>
  <si>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</si>
  <si>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</si>
  <si>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</si>
  <si>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</si>
  <si>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</si>
  <si>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</si>
  <si>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</si>
  <si>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</si>
  <si>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</si>
  <si>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</si>
  <si>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</si>
  <si>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</si>
  <si>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</si>
  <si>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</si>
  <si>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</si>
  <si>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</si>
  <si>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</si>
  <si>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</si>
  <si>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</si>
  <si>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</si>
  <si>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</si>
  <si>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</si>
  <si>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</si>
  <si>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</si>
  <si>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</si>
  <si>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</si>
  <si>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</si>
  <si>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</si>
  <si>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</si>
  <si>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</si>
  <si>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</si>
  <si>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</si>
  <si>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</si>
  <si>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</si>
  <si>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</si>
  <si>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</si>
  <si>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</si>
  <si>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</si>
  <si>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</si>
  <si>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</si>
  <si>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</si>
  <si>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</si>
  <si>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</si>
  <si>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</si>
  <si>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</si>
  <si>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</si>
  <si>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</si>
  <si>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</si>
  <si>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</si>
  <si>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</si>
  <si>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</si>
  <si>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</si>
  <si>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</si>
  <si>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</si>
  <si>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</si>
  <si>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</si>
  <si>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</si>
  <si>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</si>
  <si>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</si>
  <si>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</si>
  <si>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</si>
  <si>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</si>
  <si>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</si>
  <si>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</si>
  <si>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</si>
  <si>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</si>
  <si>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</si>
  <si>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</si>
  <si>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</si>
  <si>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</si>
  <si>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</si>
  <si>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</si>
  <si>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</si>
  <si>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</si>
  <si>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</si>
  <si>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</si>
  <si>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</si>
  <si>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</si>
  <si>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</si>
  <si>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</si>
  <si>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</si>
  <si>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</si>
  <si>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</si>
  <si>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</si>
  <si>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</si>
  <si>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</si>
  <si>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</si>
  <si>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</si>
  <si>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</si>
  <si>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</si>
  <si>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</si>
  <si>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</si>
  <si>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</si>
  <si>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</si>
  <si>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</si>
  <si>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</si>
  <si>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</si>
  <si>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</si>
  <si>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</si>
  <si>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</si>
  <si>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</si>
  <si>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</si>
  <si>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</si>
  <si>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</si>
  <si>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</si>
  <si>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</si>
  <si>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</si>
  <si>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</si>
  <si>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</si>
  <si>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</si>
  <si>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</si>
  <si>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</si>
  <si>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</si>
  <si>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</si>
  <si>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</si>
  <si>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</si>
  <si>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</si>
  <si>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</si>
  <si>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</si>
  <si>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</si>
  <si>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</si>
  <si>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</si>
  <si>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</si>
  <si>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</si>
  <si>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</si>
  <si>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</si>
  <si>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</si>
  <si>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</si>
  <si>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</si>
  <si>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</si>
  <si>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</si>
  <si>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</si>
  <si>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</si>
  <si>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</si>
  <si>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</si>
  <si>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</si>
  <si>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</si>
  <si>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</si>
  <si>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</si>
  <si>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</si>
  <si>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</si>
  <si>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</si>
  <si>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</si>
  <si>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</si>
  <si>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</si>
  <si>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</si>
  <si>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</si>
  <si>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</si>
  <si>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</si>
  <si>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</si>
  <si>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</si>
  <si>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</si>
  <si>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</si>
  <si>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</si>
  <si>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</si>
  <si>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</si>
  <si>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</si>
  <si>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</si>
  <si>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</si>
  <si>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</si>
  <si>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</si>
  <si>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</si>
  <si>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</si>
  <si>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</si>
  <si>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</si>
  <si>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</si>
  <si>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</si>
  <si>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</si>
  <si>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</si>
  <si>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</si>
  <si>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</si>
  <si>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</si>
  <si>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</si>
  <si>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</si>
  <si>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</si>
  <si>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</si>
  <si>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</si>
  <si>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</si>
  <si>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</si>
  <si>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</si>
  <si>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</si>
  <si>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</si>
  <si>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</si>
  <si>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</si>
  <si>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</si>
  <si>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</si>
  <si>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</si>
  <si>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</si>
  <si>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</si>
  <si>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</si>
  <si>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</si>
  <si>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</si>
  <si>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</si>
  <si>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</si>
  <si>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</si>
  <si>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</si>
  <si>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</si>
  <si>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</si>
  <si>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</si>
  <si>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10 ROLOS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</si>
  <si>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</si>
  <si>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</si>
  <si>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</si>
  <si>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</si>
  <si>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</si>
  <si>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</si>
  <si>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</si>
  <si>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</si>
  <si>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</si>
  <si>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</si>
  <si>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</si>
  <si>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</si>
  <si>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</si>
  <si>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</si>
  <si>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</si>
  <si>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</si>
  <si>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</si>
  <si>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</si>
  <si>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</si>
  <si>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</si>
  <si>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</si>
  <si>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</si>
  <si>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</si>
  <si>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</si>
  <si>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</si>
  <si>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</si>
  <si>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</si>
  <si>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</si>
  <si>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</si>
  <si>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</si>
  <si>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</si>
  <si>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</si>
  <si>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</si>
  <si>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</si>
  <si>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</si>
  <si>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</si>
  <si>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</si>
  <si>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</si>
  <si>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</si>
  <si>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</si>
  <si>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</si>
  <si>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</si>
  <si>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</si>
  <si>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</si>
  <si>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</si>
  <si>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</si>
  <si>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</si>
  <si>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</si>
  <si>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</si>
  <si>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</si>
  <si>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</si>
  <si>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</si>
  <si>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</si>
  <si>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</si>
  <si>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</si>
  <si>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</si>
  <si>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</si>
  <si>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</si>
  <si>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</si>
  <si>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</si>
  <si>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</si>
  <si>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</si>
  <si>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</si>
  <si>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</si>
  <si>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</si>
  <si>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</si>
  <si>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</si>
  <si>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</si>
  <si>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</si>
  <si>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</si>
  <si>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</si>
  <si>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</si>
  <si>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</si>
  <si>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</si>
  <si>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</si>
  <si>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</si>
  <si>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</si>
  <si>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</si>
  <si>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</si>
  <si>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</si>
  <si>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</si>
  <si>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</si>
  <si>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</si>
  <si>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</si>
  <si>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</si>
  <si>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</si>
  <si>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</si>
  <si>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</si>
  <si>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</si>
  <si>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</si>
  <si>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</si>
  <si>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</si>
  <si>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</si>
  <si>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</si>
  <si>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</si>
  <si>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</si>
  <si>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</si>
  <si>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</si>
  <si>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</si>
  <si>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</si>
  <si>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</si>
  <si>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</si>
  <si>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</si>
  <si>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</si>
  <si>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</si>
  <si>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</si>
  <si>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</si>
  <si>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</si>
  <si>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</si>
  <si>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</si>
  <si>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</si>
  <si>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</si>
  <si>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</si>
  <si>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</si>
  <si>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</si>
  <si>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</si>
  <si>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</si>
  <si>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</si>
  <si>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</si>
  <si>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</si>
  <si>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</si>
  <si>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</si>
  <si>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</si>
  <si>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</si>
  <si>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</si>
  <si>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</si>
  <si>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</si>
  <si>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</si>
  <si>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</si>
  <si>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</si>
  <si>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</si>
  <si>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</si>
  <si>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</si>
  <si>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</si>
  <si>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</si>
  <si>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</si>
  <si>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</si>
  <si>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</si>
  <si>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</si>
  <si>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</si>
  <si>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</si>
  <si>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</si>
  <si>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</si>
  <si>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</si>
  <si>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</si>
  <si>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</si>
  <si>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</si>
  <si>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</si>
  <si>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</si>
  <si>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</si>
  <si>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</si>
  <si>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</si>
  <si>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</si>
  <si>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</si>
  <si>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</si>
  <si>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</si>
  <si>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</si>
  <si>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</si>
  <si>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</si>
  <si>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</si>
  <si>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</si>
  <si>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</si>
  <si>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</si>
  <si>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</si>
  <si>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</si>
  <si>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</si>
  <si>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</si>
  <si>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</si>
  <si>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</si>
  <si>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</si>
  <si>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</si>
  <si>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</si>
  <si>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</si>
  <si>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</si>
  <si>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</si>
  <si>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</si>
  <si>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</si>
  <si>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</si>
  <si>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</si>
  <si>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</si>
  <si>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</si>
  <si>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</si>
  <si>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</si>
  <si>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</si>
  <si>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</si>
  <si>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</si>
  <si>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</si>
  <si>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</si>
  <si>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</si>
  <si>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</si>
  <si>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</si>
  <si>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</si>
  <si>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</si>
  <si>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</si>
  <si>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</si>
  <si>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</si>
  <si>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</si>
  <si>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T-073754-1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</si>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</sst>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4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9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7.9078999999999979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10.046400000000002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34.033299999999997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17.277200000000001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63.565199999999997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16.941300000000002</c:v>
                </c:pt>
                <c:pt idx="1">
                  <c:v>0</c:v>
                </c:pt>
                <c:pt idx="2">
                  <c:v>3.3136999999999999</c:v>
                </c:pt>
                <c:pt idx="3">
                  <c:v>12.960799999999999</c:v>
                </c:pt>
                <c:pt idx="4">
                  <c:v>11.9184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77.304200000000009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7.8437999999999972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6.5799999999999415E-2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19.787699999999994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004" totalsRowShown="0" headerRowDxfId="138" tableBorderDxfId="137">
  <autoFilter ref="A1:AW1004" xr:uid="{00000000-000C-0000-FFFF-FFFF00000000}">
    <filterColumn colId="13">
      <filters>
        <filter val="MECALD"/>
      </filters>
    </filterColumn>
  </autoFilter>
  <tableColumns count="49">
    <tableColumn id="1" xr3:uid="{00000000-0010-0000-0000-000001000000}" name="DESENHO_x000a_MDE" dataDxfId="136"/>
    <tableColumn id="43" xr3:uid="{56981E1B-CD3E-434D-AB02-C5F83A6F3E43}" name="DESENHO_x000a_CLIENTE" dataDxfId="135"/>
    <tableColumn id="2" xr3:uid="{00000000-0010-0000-0000-000002000000}" name="QTE" dataDxfId="134"/>
    <tableColumn id="3" xr3:uid="{00000000-0010-0000-0000-000003000000}" name="DESCRIÇÃO" dataDxfId="133"/>
    <tableColumn id="41" xr3:uid="{00000000-0010-0000-0000-000029000000}" name="COD.MDE" dataDxfId="132"/>
    <tableColumn id="40" xr3:uid="{00000000-0010-0000-0000-000028000000}" name="REMESSA" dataDxfId="131"/>
    <tableColumn id="4" xr3:uid="{00000000-0010-0000-0000-000004000000}" name="PESO UNI" dataDxfId="130"/>
    <tableColumn id="5" xr3:uid="{00000000-0010-0000-0000-000005000000}" name="PESO TOTAL" dataDxfId="129"/>
    <tableColumn id="6" xr3:uid="{00000000-0010-0000-0000-000006000000}" name="Revisão" dataDxfId="128"/>
    <tableColumn id="7" xr3:uid="{00000000-0010-0000-0000-000007000000}" name="TAG" dataDxfId="127"/>
    <tableColumn id="38" xr3:uid="{00000000-0010-0000-0000-000026000000}" name="PRODUTO" dataDxfId="126"/>
    <tableColumn id="8" xr3:uid="{00000000-0010-0000-0000-000008000000}" name="PEDIDO" dataDxfId="125"/>
    <tableColumn id="9" xr3:uid="{00000000-0010-0000-0000-000009000000}" name="Engenharia" dataDxfId="124"/>
    <tableColumn id="10" xr3:uid="{00000000-0010-0000-0000-00000A000000}" name="FORNECEDOR" dataDxfId="123"/>
    <tableColumn id="11" xr3:uid="{00000000-0010-0000-0000-00000B000000}" name="QTDE/ Fabricação" dataDxfId="122"/>
    <tableColumn id="12" xr3:uid="{00000000-0010-0000-0000-00000C000000}" name="DATA/Fabricação" dataDxfId="121"/>
    <tableColumn id="13" xr3:uid="{00000000-0010-0000-0000-00000D000000}" name="SALDO PENDENTE/Fabricação" dataDxfId="120"/>
    <tableColumn id="14" xr3:uid="{00000000-0010-0000-0000-00000E000000}" name="EVOLUÇÃO PRETO / Fabricação_x000a_(kg)" dataDxfId="119"/>
    <tableColumn id="15" xr3:uid="{00000000-0010-0000-0000-00000F000000}" name="PRONTO ACABADO kg" dataDxfId="118">
      <calculatedColumnFormula>IFERROR(H2*AG2,"")</calculatedColumnFormula>
    </tableColumn>
    <tableColumn id="16" xr3:uid="{00000000-0010-0000-0000-000010000000}" name="Pendencia  / Fabricação_x000a_EM KG" dataDxfId="117"/>
    <tableColumn id="17" xr3:uid="{00000000-0010-0000-0000-000011000000}" name="QIANTIDADE EXPEDIDA" dataDxfId="116"/>
    <tableColumn id="18" xr3:uid="{00000000-0010-0000-0000-000012000000}" name="ROMANEIO " dataDxfId="115"/>
    <tableColumn id="19" xr3:uid="{00000000-0010-0000-0000-000013000000}" name="DATA EXPEDIÇÃO" dataDxfId="114"/>
    <tableColumn id="20" xr3:uid="{00000000-0010-0000-0000-000014000000}" name="Peso Expedido" dataDxfId="113"/>
    <tableColumn id="21" xr3:uid="{00000000-0010-0000-0000-000015000000}" name="QUANTIDADE PENDENTE/Expedição" dataDxfId="112"/>
    <tableColumn id="22" xr3:uid="{00000000-0010-0000-0000-000016000000}" name="PESO PENDENTE/Expedição" dataDxfId="111"/>
    <tableColumn id="23" xr3:uid="{00000000-0010-0000-0000-000017000000}" name="MATÉRIA PRIMA" dataDxfId="110"/>
    <tableColumn id="24" xr3:uid="{00000000-0010-0000-0000-000018000000}" name="RELATORIO" dataDxfId="109"/>
    <tableColumn id="25" xr3:uid="{00000000-0010-0000-0000-000019000000}" name="PREPARAÇÃO " dataDxfId="108"/>
    <tableColumn id="26" xr3:uid="{00000000-0010-0000-0000-00001A000000}" name="CALDEIRARIA" dataDxfId="107"/>
    <tableColumn id="27" xr3:uid="{00000000-0010-0000-0000-00001B000000}" name="SOLDA" dataDxfId="106"/>
    <tableColumn id="28" xr3:uid="{00000000-0010-0000-0000-00001C000000}" name="ACABAMENTO" dataDxfId="105"/>
    <tableColumn id="29" xr3:uid="{00000000-0010-0000-0000-00001D000000}" name="PRONTO ACABADO" dataDxfId="104"/>
    <tableColumn id="30" xr3:uid="{00000000-0010-0000-0000-00001E000000}" name="EXPEDIÇÃO " dataDxfId="103"/>
    <tableColumn id="31" xr3:uid="{00000000-0010-0000-0000-00001F000000}" name="FINALIZADO " dataDxfId="102"/>
    <tableColumn id="32" xr3:uid="{00000000-0010-0000-0000-000020000000}" name="Coluna1" dataDxfId="101"/>
    <tableColumn id="33" xr3:uid="{00000000-0010-0000-0000-000021000000}" name="Coluna2" dataDxfId="100"/>
    <tableColumn id="34" xr3:uid="{00000000-0010-0000-0000-000022000000}" name="Coluna3" dataDxfId="99"/>
    <tableColumn id="35" xr3:uid="{00000000-0010-0000-0000-000023000000}" name="Coluna4" dataDxfId="98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7"/>
    <tableColumn id="42" xr3:uid="{44772FB5-94B9-4683-9D51-42A525419432}" name="Colunas7" dataDxfId="96"/>
    <tableColumn id="44" xr3:uid="{7DBCA215-A831-41EC-8668-4217050D7CEF}" name="Coluna5" dataDxfId="95"/>
    <tableColumn id="52" xr3:uid="{0F1E3E30-ACD2-41A7-9FEB-CFC4141C720F}" name="PRONTO NO PRETO" dataDxfId="94"/>
    <tableColumn id="53" xr3:uid="{7B42991E-C57D-449B-9CA4-FF51ED3B7EE1}" name="PRONTO ACABADO3" dataDxfId="93"/>
    <tableColumn id="54" xr3:uid="{B185D57F-2904-41B4-A913-414AD30553DC}" name="PESO EXPEDIDO2" dataDxfId="92"/>
    <tableColumn id="55" xr3:uid="{216FC5C0-1E81-4ACF-B1FE-D38AAA1F26E6}" name="PRONTO ACABADO2" dataDxfId="91"/>
    <tableColumn id="57" xr3:uid="{58807113-78D0-4422-B88A-8E66792B9681}" name="Coluna7" dataDxfId="90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3" totalsRowShown="0" headerRowDxfId="89" headerRowBorderDxfId="88" tableBorderDxfId="87" totalsRowBorderDxfId="86">
  <autoFilter ref="A1:F23" xr:uid="{9E04BDB3-7991-400D-A075-6EF4E207F167}"/>
  <tableColumns count="6">
    <tableColumn id="1" xr3:uid="{0986BF72-EBA9-4CAA-A22C-20021A2F0193}" name="PEDIDO" dataDxfId="85"/>
    <tableColumn id="2" xr3:uid="{1E29E510-3230-4D4A-9101-BF1603DA1959}" name="EQUIPAMENTO" dataDxfId="84"/>
    <tableColumn id="3" xr3:uid="{27EA8246-98FE-4DF0-AB4F-2563340E3A33}" name="DATA PREVISTA " dataDxfId="83"/>
    <tableColumn id="4" xr3:uid="{178705E0-20E1-4EA8-BD6A-04EDA09B960F}" name="DATA REPROGRAMADA" dataDxfId="82"/>
    <tableColumn id="5" xr3:uid="{D69E8AE6-FCF7-4D70-8443-DFF41092DBA5}" name="Observação" dataDxfId="81"/>
    <tableColumn id="6" xr3:uid="{7ED96CF2-6F65-4A02-A0B9-FFDE23E894EB}" name="CLIENTE" dataDxfId="8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9">
  <autoFilter ref="D3:R395" xr:uid="{D635AFD0-01A4-4F4C-B4BB-2C0A84AFA373}"/>
  <tableColumns count="15">
    <tableColumn id="1" xr3:uid="{71019319-E348-41C4-90A8-BD800AFA385A}" name="TAG" dataDxfId="78"/>
    <tableColumn id="2" xr3:uid="{6205B1F5-4B96-401E-A8F0-D0B582A87E91}" name="PEDIDO" dataDxfId="77">
      <calculatedColumnFormula>VLOOKUP(Tabela2[[#This Row],[TAG]],MICRO!J:L,3,0)</calculatedColumnFormula>
    </tableColumn>
    <tableColumn id="3" xr3:uid="{EBC41BBB-459B-4DB5-8152-2C7C2C7ADFAA}" name="FORNECEDOR" dataDxfId="76" dataCellStyle="Normal 2"/>
    <tableColumn id="4" xr3:uid="{EE719B42-3B82-4AC6-AB4D-66A5AF76AAFC}" name="RECEBIDO ENGENHARIA (kg)" dataDxfId="75">
      <calculatedColumnFormula>SUMIF(MICRO!AP:AP,O:O,MICRO!H:H)</calculatedColumnFormula>
    </tableColumn>
    <tableColumn id="5" xr3:uid="{F8EF71F0-2467-40E6-8596-0C50AE8B2E56}" name="EM AVANÇO NO PRETO (kg)" dataDxfId="74">
      <calculatedColumnFormula>SUMIF(MICRO!AP:AP,O:O,MICRO!R:R)</calculatedColumnFormula>
    </tableColumn>
    <tableColumn id="6" xr3:uid="{70FA8036-1726-409E-865E-BBD68DD0CF2B}" name="Pendencia  / Fabricação_x000a_EM KG _x000a_(Kg)" dataDxfId="73">
      <calculatedColumnFormula>SUMIF(MICRO!AP:AP,O:O,MICRO!T:T)</calculatedColumnFormula>
    </tableColumn>
    <tableColumn id="7" xr3:uid="{2EDBF5C8-B6A0-4234-9B37-F4D245CBE335}" name="EVOLUÇÃO %" dataDxfId="72">
      <calculatedColumnFormula>IF(G4 = 0,0,H4/G4)</calculatedColumnFormula>
    </tableColumn>
    <tableColumn id="8" xr3:uid="{981D372E-5C81-43AA-82CF-C526D0CD7BC5}" name="PESO EXPEDIDO" dataDxfId="71">
      <calculatedColumnFormula>SUMIF(MICRO!AP:AP,O:O,MICRO!X:X)</calculatedColumnFormula>
    </tableColumn>
    <tableColumn id="9" xr3:uid="{9581E1B5-4976-4A66-B050-5EDFF64499FF}" name="% EXPEDIDO" dataDxfId="70">
      <calculatedColumnFormula>IF(G4&lt;&gt;0,SUM(K4/G4*1),"0%")</calculatedColumnFormula>
    </tableColumn>
    <tableColumn id="10" xr3:uid="{5A0DEF47-FBD5-46D6-A019-DB5E3CF46E5B}" name="PESO PENDENTE4" dataDxfId="69">
      <calculatedColumnFormula>G4-K4</calculatedColumnFormula>
    </tableColumn>
    <tableColumn id="11" xr3:uid="{AD13F8E0-0652-4176-B922-E74BEC175E7A}" name="Coluna1" dataDxfId="68">
      <calculatedColumnFormula>E4&amp;F4</calculatedColumnFormula>
    </tableColumn>
    <tableColumn id="12" xr3:uid="{9AB5E2D8-1AD6-4B63-A9ED-66372E94A48F}" name="Coluna2" dataDxfId="67">
      <calculatedColumnFormula>D4&amp;E4&amp;F4</calculatedColumnFormula>
    </tableColumn>
    <tableColumn id="13" xr3:uid="{ED15B1A8-5672-4E4D-9246-3BC797332C64}" name="PRONTO NO PRETO" dataDxfId="66">
      <calculatedColumnFormula>SUMIF(MICRO!AP:AP,O4,MICRO!AS:AS)</calculatedColumnFormula>
    </tableColumn>
    <tableColumn id="14" xr3:uid="{986427E9-0E8F-46D1-987F-01DBA908B397}" name="PRONTO ACABADO" dataDxfId="65">
      <calculatedColumnFormula>SUMIF(MICRO!AP:AP,O4,MICRO!AT:AT)</calculatedColumnFormula>
    </tableColumn>
    <tableColumn id="15" xr3:uid="{4361E9F4-014E-4677-9D4A-8DBAE707BA31}" name="PESO EXPEDIDO2" dataDxfId="64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tabSelected="1" workbookViewId="0">
      <selection activeCell="H6" sqref="H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35" t="s">
        <v>326</v>
      </c>
      <c r="B1" s="237" t="s">
        <v>891</v>
      </c>
      <c r="C1" s="238"/>
      <c r="D1" s="238"/>
      <c r="E1" s="238"/>
      <c r="F1" s="238"/>
      <c r="G1" s="239"/>
      <c r="H1" s="232" t="s">
        <v>331</v>
      </c>
      <c r="I1" s="233"/>
      <c r="J1" s="233"/>
      <c r="K1" s="234"/>
    </row>
    <row r="2" spans="1:11" x14ac:dyDescent="0.25">
      <c r="A2" s="23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5119</v>
      </c>
      <c r="J2" s="181" t="s">
        <v>5292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9"/>
      <c r="B5" s="230"/>
      <c r="C5" s="230"/>
      <c r="D5" s="230"/>
      <c r="E5" s="230"/>
      <c r="F5" s="230"/>
      <c r="G5" s="230"/>
      <c r="H5" s="230"/>
      <c r="I5" s="230"/>
      <c r="J5" s="230"/>
      <c r="K5" s="231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004"/>
  <sheetViews>
    <sheetView showGridLines="0" topLeftCell="D1" zoomScale="77" zoomScaleNormal="77" workbookViewId="0">
      <pane ySplit="1" topLeftCell="A996" activePane="bottomLeft" state="frozen"/>
      <selection activeCell="B52" sqref="B52:D52"/>
      <selection pane="bottomLeft" activeCell="H996" sqref="H996:H1003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16.740000000000002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0.9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4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 t="shared" si="15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7"/>
        <v>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4"/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 t="shared" si="15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7"/>
        <v>0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ref="Y81:Y114" si="27">U81-C81</f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ref="AI81:AI114" si="28">IF(Z81&lt;=0,"ok","")</f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7"/>
        <v>0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7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 t="shared" si="28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7"/>
        <v>0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7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 t="shared" si="28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7"/>
        <v>0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470.01600000000008</v>
      </c>
      <c r="S92" s="18">
        <f t="shared" si="25"/>
        <v>0</v>
      </c>
      <c r="T92" s="19">
        <f t="shared" si="26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7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si="28"/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0</v>
      </c>
      <c r="AV92" s="37">
        <f t="shared" si="18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78.336000000000013</v>
      </c>
      <c r="S93" s="18">
        <f t="shared" si="25"/>
        <v>0</v>
      </c>
      <c r="T93" s="19">
        <f t="shared" si="26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7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8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0</v>
      </c>
      <c r="AV93" s="37">
        <f t="shared" si="18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7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8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7"/>
        <v>0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42.21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34.020000000000003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7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8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7"/>
        <v>0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0.9900000000000001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1.08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11.514999999999999</v>
      </c>
      <c r="S104" s="18">
        <f t="shared" si="25"/>
        <v>0</v>
      </c>
      <c r="T104" s="19">
        <f t="shared" si="26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7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8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0</v>
      </c>
      <c r="AV104" s="37">
        <f t="shared" si="30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7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8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9"/>
        <v>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3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ref="AI115:AI154" si="33">IF(Z115&lt;=0,"ok","")</f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9"/>
        <v>0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0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0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0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0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0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34"/>
        <v>0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34"/>
        <v>0</v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0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0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0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0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0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37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 t="shared" ref="AI130:AI152" si="39">IF(Z130&lt;=0,"ok","")</f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29"/>
        <v>0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39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9"/>
        <v>0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39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9"/>
        <v>0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0</v>
      </c>
      <c r="S135" s="18">
        <f t="shared" si="35"/>
        <v>0</v>
      </c>
      <c r="T135" s="19">
        <f t="shared" si="36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37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39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0</v>
      </c>
      <c r="AV135" s="37">
        <f t="shared" si="30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0</v>
      </c>
      <c r="S136" s="18">
        <f t="shared" si="35"/>
        <v>0</v>
      </c>
      <c r="T136" s="19">
        <f t="shared" si="36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37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39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0</v>
      </c>
      <c r="AV136" s="37">
        <f t="shared" si="30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0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0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0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0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34"/>
        <v>0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34"/>
        <v>0</v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0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0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0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0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34"/>
        <v>0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si="34"/>
        <v>0</v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0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271.44</v>
      </c>
      <c r="S152" s="18">
        <f t="shared" si="35"/>
        <v>0</v>
      </c>
      <c r="T152" s="19">
        <f t="shared" si="36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37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39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0</v>
      </c>
      <c r="AV152" s="37">
        <f t="shared" si="30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44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44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44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44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8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45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46"/>
        <v>0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8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45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46"/>
        <v>0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8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45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46"/>
        <v>0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8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45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46"/>
        <v>0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8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45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46"/>
        <v>0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8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45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46"/>
        <v>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71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9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72"/>
        <v>0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71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9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72"/>
        <v>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9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9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0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9.1199999999999992</v>
      </c>
      <c r="S442" s="18">
        <f t="shared" ref="S442:S451" si="96">IFERROR(H442*AG442,"")</f>
        <v>0</v>
      </c>
      <c r="T442" s="19">
        <f t="shared" ref="T442:T451" si="97"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ref="Y442:Y451" si="98"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ref="AI442:AI451" si="99"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194.93999999999997</v>
      </c>
      <c r="S444" s="18">
        <f t="shared" si="96"/>
        <v>0</v>
      </c>
      <c r="T444" s="19">
        <f t="shared" si="97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98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 t="shared" si="9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0</v>
      </c>
      <c r="AV444" s="37">
        <f t="shared" si="94"/>
        <v>0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36.479999999999997</v>
      </c>
      <c r="S445" s="18">
        <f t="shared" si="96"/>
        <v>0</v>
      </c>
      <c r="T445" s="19">
        <f t="shared" si="97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98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9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0</v>
      </c>
      <c r="AV445" s="37">
        <f t="shared" si="94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158.83999999999997</v>
      </c>
      <c r="S446" s="18">
        <f t="shared" si="96"/>
        <v>0</v>
      </c>
      <c r="T446" s="19">
        <f t="shared" si="97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98"/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 t="shared" si="9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0</v>
      </c>
      <c r="AV446" s="37">
        <f t="shared" si="94"/>
        <v>0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24.604999999999997</v>
      </c>
      <c r="S447" s="18">
        <f t="shared" si="96"/>
        <v>0</v>
      </c>
      <c r="T447" s="19">
        <f t="shared" si="97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98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 t="shared" si="9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0</v>
      </c>
      <c r="AV447" s="37">
        <f t="shared" si="94"/>
        <v>0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2.4699999999999998</v>
      </c>
      <c r="S448" s="18">
        <f t="shared" si="96"/>
        <v>0</v>
      </c>
      <c r="T448" s="19">
        <f t="shared" si="97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98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9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0</v>
      </c>
      <c r="AV448" s="37">
        <f t="shared" si="94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700.82925</v>
      </c>
      <c r="S604" s="18">
        <f t="shared" ref="S604:S624" si="117">IFERROR(H604*AG604,"")</f>
        <v>0</v>
      </c>
      <c r="T604" s="19">
        <f>IFERROR(S604-H604,"")</f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>U604-C604</f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</v>
      </c>
      <c r="AV604" s="37">
        <f t="shared" si="116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 t="s">
        <v>38</v>
      </c>
      <c r="O605" s="200"/>
      <c r="P605" s="201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0</v>
      </c>
      <c r="S606" s="18">
        <f t="shared" si="117"/>
        <v>0</v>
      </c>
      <c r="T606" s="19">
        <f t="shared" ref="T606:T624" si="122">IFERROR(S606-H606,"")</f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ref="Y606:Y624" si="123">U606-C606</f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0</v>
      </c>
      <c r="S607" s="18">
        <f t="shared" si="117"/>
        <v>0</v>
      </c>
      <c r="T607" s="19">
        <f t="shared" si="122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23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0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0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0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0</v>
      </c>
      <c r="S611" s="18">
        <f t="shared" si="117"/>
        <v>0</v>
      </c>
      <c r="T611" s="19">
        <f t="shared" si="122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0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0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0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0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0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0</v>
      </c>
      <c r="S617" s="18">
        <f t="shared" si="117"/>
        <v>0</v>
      </c>
      <c r="T617" s="19">
        <f t="shared" si="122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23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0</v>
      </c>
      <c r="S618" s="18">
        <f t="shared" si="117"/>
        <v>0</v>
      </c>
      <c r="T618" s="19">
        <f t="shared" si="122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23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0</v>
      </c>
      <c r="S619" s="18">
        <f t="shared" si="117"/>
        <v>0</v>
      </c>
      <c r="T619" s="19">
        <f t="shared" si="122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0</v>
      </c>
      <c r="S620" s="18">
        <f t="shared" si="117"/>
        <v>0</v>
      </c>
      <c r="T620" s="19">
        <f t="shared" si="122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</v>
      </c>
      <c r="S622" s="18">
        <f t="shared" si="117"/>
        <v>0</v>
      </c>
      <c r="T622" s="19">
        <f t="shared" si="122"/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501.125</v>
      </c>
      <c r="S623" s="18">
        <f t="shared" si="117"/>
        <v>0</v>
      </c>
      <c r="T623" s="19">
        <f t="shared" si="122"/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6.08</v>
      </c>
      <c r="S762" s="18">
        <f t="shared" ref="S762" si="141">IFERROR(H762*AG762,"")</f>
        <v>0</v>
      </c>
      <c r="T762" s="19">
        <f t="shared" ref="T762" si="142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19.575000000000003</v>
      </c>
      <c r="S765" s="18">
        <f t="shared" ref="S765:S769" si="145">IFERROR(H765*AG765,"")</f>
        <v>0</v>
      </c>
      <c r="T765" s="19">
        <f t="shared" ref="T765:T769" si="146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6.6990000000000016</v>
      </c>
      <c r="S766" s="18">
        <f t="shared" si="145"/>
        <v>0</v>
      </c>
      <c r="T766" s="19">
        <f t="shared" si="146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19.440000000000001</v>
      </c>
      <c r="T767" s="19">
        <f t="shared" si="146"/>
        <v>-174.96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0.1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1.4500000000000002</v>
      </c>
      <c r="S768" s="18">
        <f t="shared" si="145"/>
        <v>0</v>
      </c>
      <c r="T768" s="19">
        <f t="shared" si="146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9.24</v>
      </c>
      <c r="T769" s="19">
        <f t="shared" si="146"/>
        <v>-83.160000000000011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0.1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0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0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950.00000000000011</v>
      </c>
      <c r="S774" s="18">
        <f t="shared" si="149"/>
        <v>900</v>
      </c>
      <c r="T774" s="19">
        <f t="shared" si="150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0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0</v>
      </c>
      <c r="S776" s="18">
        <f t="shared" si="153"/>
        <v>0</v>
      </c>
      <c r="T776" s="19">
        <f t="shared" si="154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0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0</v>
      </c>
      <c r="S778" s="18">
        <f t="shared" si="153"/>
        <v>0</v>
      </c>
      <c r="T778" s="19">
        <f t="shared" si="154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0</v>
      </c>
      <c r="S779" s="18">
        <f t="shared" si="153"/>
        <v>0</v>
      </c>
      <c r="T779" s="19">
        <f t="shared" si="154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0</v>
      </c>
      <c r="S780" s="18">
        <f t="shared" si="153"/>
        <v>0</v>
      </c>
      <c r="T780" s="19">
        <f t="shared" si="154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0</v>
      </c>
      <c r="S781" s="18">
        <f t="shared" si="153"/>
        <v>0</v>
      </c>
      <c r="T781" s="19">
        <f t="shared" si="154"/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0</v>
      </c>
      <c r="S782" s="18">
        <f t="shared" si="153"/>
        <v>0</v>
      </c>
      <c r="T782" s="19">
        <f t="shared" si="154"/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si="155"/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0</v>
      </c>
      <c r="S783" s="18">
        <f t="shared" si="153"/>
        <v>0</v>
      </c>
      <c r="T783" s="19">
        <f t="shared" si="154"/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si="155"/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0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0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0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0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0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0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0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0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0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0</v>
      </c>
      <c r="S793" s="18">
        <f t="shared" si="153"/>
        <v>0</v>
      </c>
      <c r="T793" s="19">
        <f t="shared" si="154"/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0</v>
      </c>
      <c r="S794" s="18">
        <f t="shared" si="153"/>
        <v>0</v>
      </c>
      <c r="T794" s="19">
        <f t="shared" si="154"/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si="155"/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0</v>
      </c>
      <c r="S795" s="18">
        <f t="shared" si="153"/>
        <v>0</v>
      </c>
      <c r="T795" s="19">
        <f t="shared" si="154"/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si="155"/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0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0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0</v>
      </c>
      <c r="S798" s="18">
        <f t="shared" si="153"/>
        <v>0</v>
      </c>
      <c r="T798" s="19">
        <f t="shared" si="154"/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0</v>
      </c>
      <c r="S799" s="18">
        <f t="shared" si="153"/>
        <v>0</v>
      </c>
      <c r="T799" s="19">
        <f t="shared" si="154"/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si="155"/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0</v>
      </c>
      <c r="S800" s="18">
        <f t="shared" si="153"/>
        <v>0</v>
      </c>
      <c r="T800" s="19">
        <f t="shared" si="154"/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si="155"/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0</v>
      </c>
      <c r="S801" s="18">
        <f t="shared" si="153"/>
        <v>0</v>
      </c>
      <c r="T801" s="19">
        <f t="shared" si="154"/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si="155"/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0</v>
      </c>
      <c r="S802" s="18">
        <f t="shared" si="153"/>
        <v>0</v>
      </c>
      <c r="T802" s="19">
        <f t="shared" si="154"/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si="155"/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0</v>
      </c>
      <c r="S803" s="18">
        <f t="shared" si="153"/>
        <v>0</v>
      </c>
      <c r="T803" s="19">
        <f t="shared" si="154"/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si="155"/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0</v>
      </c>
      <c r="S804" s="18">
        <f t="shared" si="153"/>
        <v>0</v>
      </c>
      <c r="T804" s="19">
        <f t="shared" si="154"/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si="155"/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0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0</v>
      </c>
      <c r="S806" s="18">
        <f t="shared" si="153"/>
        <v>0</v>
      </c>
      <c r="T806" s="19">
        <f t="shared" si="154"/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si="155"/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6">IFERROR(H807*((AA807*0.25)+(AC807*0.25)+(AD807*0.225)+(AE807*0.225)+(AF807*0.05)),"")</f>
        <v>0</v>
      </c>
      <c r="S807" s="18">
        <f t="shared" ref="S807:S833" si="157">IFERROR(H807*AG807,"")</f>
        <v>0</v>
      </c>
      <c r="T807" s="19">
        <f t="shared" ref="T807:T833" si="158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:Y833" si="159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6"/>
        <v>0</v>
      </c>
      <c r="S808" s="18">
        <f t="shared" si="157"/>
        <v>0</v>
      </c>
      <c r="T808" s="19">
        <f t="shared" si="158"/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si="159"/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6"/>
        <v>0</v>
      </c>
      <c r="S809" s="18">
        <f t="shared" si="157"/>
        <v>0</v>
      </c>
      <c r="T809" s="19">
        <f t="shared" si="158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59"/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6"/>
        <v>0</v>
      </c>
      <c r="S810" s="18">
        <f t="shared" si="157"/>
        <v>0</v>
      </c>
      <c r="T810" s="19">
        <f t="shared" si="158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59"/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6"/>
        <v>0</v>
      </c>
      <c r="S811" s="18">
        <f t="shared" si="157"/>
        <v>0</v>
      </c>
      <c r="T811" s="19">
        <f t="shared" si="158"/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59"/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6"/>
        <v>0</v>
      </c>
      <c r="S812" s="18">
        <f t="shared" si="157"/>
        <v>0</v>
      </c>
      <c r="T812" s="19">
        <f t="shared" si="158"/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si="159"/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6"/>
        <v>0</v>
      </c>
      <c r="S813" s="18">
        <f t="shared" si="157"/>
        <v>0</v>
      </c>
      <c r="T813" s="19">
        <f t="shared" si="158"/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si="159"/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6"/>
        <v>0</v>
      </c>
      <c r="S814" s="18">
        <f t="shared" si="157"/>
        <v>0</v>
      </c>
      <c r="T814" s="19">
        <f t="shared" si="158"/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si="159"/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6"/>
        <v>0</v>
      </c>
      <c r="S815" s="18">
        <f t="shared" si="157"/>
        <v>0</v>
      </c>
      <c r="T815" s="19">
        <f t="shared" si="158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59"/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6"/>
        <v>0</v>
      </c>
      <c r="S816" s="18">
        <f t="shared" si="157"/>
        <v>0</v>
      </c>
      <c r="T816" s="19">
        <f t="shared" si="158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59"/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6"/>
        <v>0</v>
      </c>
      <c r="S817" s="18">
        <f t="shared" si="157"/>
        <v>0</v>
      </c>
      <c r="T817" s="19">
        <f t="shared" si="158"/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si="159"/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si="156"/>
        <v>0</v>
      </c>
      <c r="S818" s="18">
        <f t="shared" si="157"/>
        <v>0</v>
      </c>
      <c r="T818" s="19">
        <f t="shared" si="158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59"/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si="156"/>
        <v>0</v>
      </c>
      <c r="S819" s="18">
        <f t="shared" si="157"/>
        <v>0</v>
      </c>
      <c r="T819" s="19">
        <f t="shared" si="158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59"/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6"/>
        <v>0</v>
      </c>
      <c r="S820" s="18">
        <f t="shared" si="157"/>
        <v>0</v>
      </c>
      <c r="T820" s="19">
        <f t="shared" si="158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59"/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6"/>
        <v>0</v>
      </c>
      <c r="S821" s="18">
        <f t="shared" si="157"/>
        <v>0</v>
      </c>
      <c r="T821" s="19">
        <f t="shared" si="158"/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59"/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si="156"/>
        <v>0</v>
      </c>
      <c r="S822" s="18">
        <f t="shared" si="157"/>
        <v>0</v>
      </c>
      <c r="T822" s="19">
        <f t="shared" si="158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59"/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6"/>
        <v>0</v>
      </c>
      <c r="S823" s="18">
        <f t="shared" si="157"/>
        <v>0</v>
      </c>
      <c r="T823" s="19">
        <f t="shared" si="158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59"/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6"/>
        <v>0</v>
      </c>
      <c r="S824" s="18">
        <f t="shared" si="157"/>
        <v>0</v>
      </c>
      <c r="T824" s="19">
        <f t="shared" si="158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59"/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6"/>
        <v>0</v>
      </c>
      <c r="S825" s="18">
        <f t="shared" si="157"/>
        <v>0</v>
      </c>
      <c r="T825" s="19">
        <f t="shared" si="158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59"/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6"/>
        <v>0</v>
      </c>
      <c r="S826" s="18">
        <f t="shared" si="157"/>
        <v>0</v>
      </c>
      <c r="T826" s="19">
        <f t="shared" si="158"/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59"/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6"/>
        <v>0</v>
      </c>
      <c r="S827" s="18">
        <f t="shared" si="157"/>
        <v>0</v>
      </c>
      <c r="T827" s="19">
        <f t="shared" si="158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59"/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si="156"/>
        <v>0</v>
      </c>
      <c r="S828" s="18">
        <f t="shared" si="157"/>
        <v>0</v>
      </c>
      <c r="T828" s="19">
        <f t="shared" si="158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59"/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6"/>
        <v>0</v>
      </c>
      <c r="S829" s="18">
        <f t="shared" si="157"/>
        <v>0</v>
      </c>
      <c r="T829" s="19">
        <f t="shared" si="158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59"/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6"/>
        <v>0</v>
      </c>
      <c r="S830" s="18">
        <f t="shared" si="157"/>
        <v>0</v>
      </c>
      <c r="T830" s="19">
        <f t="shared" si="158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59"/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6"/>
        <v>0</v>
      </c>
      <c r="S831" s="18">
        <f t="shared" si="157"/>
        <v>0</v>
      </c>
      <c r="T831" s="19">
        <f t="shared" si="158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59"/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6"/>
        <v>0</v>
      </c>
      <c r="S832" s="18">
        <f t="shared" si="157"/>
        <v>0</v>
      </c>
      <c r="T832" s="19">
        <f t="shared" si="158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59"/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6"/>
        <v>0</v>
      </c>
      <c r="S833" s="18">
        <f t="shared" si="157"/>
        <v>0</v>
      </c>
      <c r="T833" s="19">
        <f t="shared" si="158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59"/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0">IFERROR(H834*((AA834*0.25)+(AC834*0.25)+(AD834*0.225)+(AE834*0.225)+(AF834*0.05)),"")</f>
        <v>14.8</v>
      </c>
      <c r="S834" s="18">
        <f t="shared" ref="S834" si="161">IFERROR(H834*AG834,"")</f>
        <v>14.8</v>
      </c>
      <c r="T834" s="19">
        <f t="shared" ref="T834" si="162">IFERROR(S834-H834,"")</f>
        <v>0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163">U834-C834</f>
        <v>-2</v>
      </c>
      <c r="Z834" s="20">
        <f>Tabela1[[#This Row],[PESO TOTAL]]-Tabela1[[#This Row],[Peso Expedido]]</f>
        <v>14.8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4">IFERROR(H835*((AA835*0.25)+(AC835*0.25)+(AD835*0.225)+(AE835*0.225)+(AF835*0.05)),"")</f>
        <v>0</v>
      </c>
      <c r="S835" s="18">
        <f t="shared" ref="S835:S841" si="165">IFERROR(H835*AG835,"")</f>
        <v>0</v>
      </c>
      <c r="T835" s="19">
        <f t="shared" ref="T835:T841" si="166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7"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4"/>
        <v>0</v>
      </c>
      <c r="S836" s="18">
        <f t="shared" si="165"/>
        <v>0</v>
      </c>
      <c r="T836" s="19">
        <f t="shared" si="166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7"/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4"/>
        <v>0</v>
      </c>
      <c r="S837" s="18">
        <f t="shared" si="165"/>
        <v>0</v>
      </c>
      <c r="T837" s="19">
        <f t="shared" si="166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7"/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4"/>
        <v>0</v>
      </c>
      <c r="S838" s="18">
        <f t="shared" si="165"/>
        <v>0</v>
      </c>
      <c r="T838" s="19">
        <f t="shared" si="166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7"/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4"/>
        <v>0</v>
      </c>
      <c r="S839" s="18">
        <f t="shared" si="165"/>
        <v>0</v>
      </c>
      <c r="T839" s="19">
        <f t="shared" si="166"/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7"/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164"/>
        <v>0</v>
      </c>
      <c r="S840" s="18">
        <f t="shared" si="165"/>
        <v>0</v>
      </c>
      <c r="T840" s="19">
        <f t="shared" si="166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7"/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si="164"/>
        <v>0</v>
      </c>
      <c r="S841" s="18">
        <f t="shared" si="165"/>
        <v>0</v>
      </c>
      <c r="T841" s="19">
        <f t="shared" si="166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7"/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1" si="168">IFERROR(H842*((AA842*0.25)+(AC842*0.25)+(AD842*0.225)+(AE842*0.225)+(AF842*0.05)),"")</f>
        <v>3.78</v>
      </c>
      <c r="S842" s="18">
        <f t="shared" ref="S842:S851" si="169">IFERROR(H842*AG842,"")</f>
        <v>3.78</v>
      </c>
      <c r="T842" s="19">
        <f t="shared" ref="T842:T851" si="170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1" si="171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168"/>
        <v>652.95999999999992</v>
      </c>
      <c r="S843" s="18">
        <f t="shared" si="169"/>
        <v>652.95999999999992</v>
      </c>
      <c r="T843" s="19">
        <f t="shared" si="170"/>
        <v>-1212.6399999999999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171"/>
        <v>-32</v>
      </c>
      <c r="Z843" s="20">
        <f>Tabela1[[#This Row],[PESO TOTAL]]-Tabela1[[#This Row],[Peso Expedido]]</f>
        <v>1865.6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168"/>
        <v>224.45499999999996</v>
      </c>
      <c r="S844" s="18">
        <f t="shared" si="169"/>
        <v>224.45499999999996</v>
      </c>
      <c r="T844" s="19">
        <f t="shared" si="170"/>
        <v>-416.84500000000003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171"/>
        <v>-11</v>
      </c>
      <c r="Z844" s="20">
        <f>Tabela1[[#This Row],[PESO TOTAL]]-Tabela1[[#This Row],[Peso Expedido]]</f>
        <v>641.29999999999995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168"/>
        <v>45.219999999999992</v>
      </c>
      <c r="S845" s="18">
        <f t="shared" si="169"/>
        <v>45.219999999999992</v>
      </c>
      <c r="T845" s="19">
        <f t="shared" si="170"/>
        <v>-83.97999999999999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171"/>
        <v>-4</v>
      </c>
      <c r="Z845" s="20">
        <f>Tabela1[[#This Row],[PESO TOTAL]]-Tabela1[[#This Row],[Peso Expedido]]</f>
        <v>129.19999999999999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168"/>
        <v>39.619999999999997</v>
      </c>
      <c r="S846" s="18">
        <f t="shared" si="169"/>
        <v>39.619999999999997</v>
      </c>
      <c r="T846" s="19">
        <f t="shared" si="170"/>
        <v>-73.580000000000013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171"/>
        <v>-4</v>
      </c>
      <c r="Z846" s="20">
        <f>Tabela1[[#This Row],[PESO TOTAL]]-Tabela1[[#This Row],[Peso Expedido]]</f>
        <v>113.2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8"/>
        <v>39.619999999999997</v>
      </c>
      <c r="S847" s="18">
        <f t="shared" si="169"/>
        <v>39.619999999999997</v>
      </c>
      <c r="T847" s="19">
        <f t="shared" si="170"/>
        <v>-73.580000000000013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1"/>
        <v>-4</v>
      </c>
      <c r="Z847" s="20">
        <f>Tabela1[[#This Row],[PESO TOTAL]]-Tabela1[[#This Row],[Peso Expedido]]</f>
        <v>113.2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168"/>
        <v>79.239999999999995</v>
      </c>
      <c r="S848" s="18">
        <f t="shared" si="169"/>
        <v>79.239999999999995</v>
      </c>
      <c r="T848" s="19">
        <f t="shared" si="170"/>
        <v>-147.16000000000003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1"/>
        <v>-8</v>
      </c>
      <c r="Z848" s="20">
        <f>Tabela1[[#This Row],[PESO TOTAL]]-Tabela1[[#This Row],[Peso Expedido]]</f>
        <v>226.4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25.759999999999998</v>
      </c>
      <c r="S849" s="18">
        <f t="shared" si="169"/>
        <v>25.759999999999998</v>
      </c>
      <c r="T849" s="19">
        <f t="shared" si="170"/>
        <v>-47.839999999999996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1"/>
        <v>-4</v>
      </c>
      <c r="Z849" s="20">
        <f>Tabela1[[#This Row],[PESO TOTAL]]-Tabela1[[#This Row],[Peso Expedido]]</f>
        <v>73.599999999999994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43.26</v>
      </c>
      <c r="S850" s="18">
        <f t="shared" si="169"/>
        <v>43.26</v>
      </c>
      <c r="T850" s="19">
        <f t="shared" si="170"/>
        <v>-80.34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1"/>
        <v>-4</v>
      </c>
      <c r="Z850" s="20">
        <f>Tabela1[[#This Row],[PESO TOTAL]]-Tabela1[[#This Row],[Peso Expedido]]</f>
        <v>123.6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168"/>
        <v>9.4499999999999993</v>
      </c>
      <c r="S851" s="18">
        <f t="shared" si="169"/>
        <v>9.4499999999999993</v>
      </c>
      <c r="T851" s="19">
        <f t="shared" si="170"/>
        <v>-17.55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1"/>
        <v>-1</v>
      </c>
      <c r="Z851" s="20">
        <f>Tabela1[[#This Row],[PESO TOTAL]]-Tabela1[[#This Row],[Peso Expedido]]</f>
        <v>27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 t="shared" ref="R852:R867" si="172">IFERROR(H852*((AA852*0.25)+(AC852*0.25)+(AD852*0.225)+(AE852*0.225)+(AF852*0.05)),"")</f>
        <v>34.299999999999997</v>
      </c>
      <c r="S852" s="18">
        <f t="shared" ref="S852:S867" si="173">IFERROR(H852*AG852,"")</f>
        <v>34.299999999999997</v>
      </c>
      <c r="T852" s="19">
        <f t="shared" ref="T852:T867" si="174">IFERROR(S852-H852,"")</f>
        <v>-63.7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ref="Y852:Y867" si="175">U852-C852</f>
        <v>-14</v>
      </c>
      <c r="Z852" s="20">
        <f>Tabela1[[#This Row],[PESO TOTAL]]-Tabela1[[#This Row],[Peso Expedido]]</f>
        <v>98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72"/>
        <v>0</v>
      </c>
      <c r="S853" s="18">
        <f t="shared" si="173"/>
        <v>0</v>
      </c>
      <c r="T853" s="19">
        <f t="shared" si="174"/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5"/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172"/>
        <v>0</v>
      </c>
      <c r="S854" s="18">
        <f t="shared" si="173"/>
        <v>0</v>
      </c>
      <c r="T854" s="19">
        <f t="shared" si="174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5"/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 t="shared" si="172"/>
        <v>0</v>
      </c>
      <c r="S855" s="18">
        <f t="shared" si="173"/>
        <v>0</v>
      </c>
      <c r="T855" s="19">
        <f t="shared" si="174"/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5"/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2"/>
        <v>0</v>
      </c>
      <c r="S856" s="18">
        <f t="shared" si="173"/>
        <v>0</v>
      </c>
      <c r="T856" s="19">
        <f t="shared" si="174"/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5"/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2"/>
        <v>0</v>
      </c>
      <c r="S857" s="18">
        <f t="shared" si="173"/>
        <v>0</v>
      </c>
      <c r="T857" s="19">
        <f t="shared" si="174"/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5"/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2"/>
        <v>0</v>
      </c>
      <c r="S858" s="18">
        <f t="shared" si="173"/>
        <v>0</v>
      </c>
      <c r="T858" s="19">
        <f t="shared" si="174"/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5"/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2"/>
        <v>0</v>
      </c>
      <c r="S859" s="18">
        <f t="shared" si="173"/>
        <v>0</v>
      </c>
      <c r="T859" s="19">
        <f t="shared" si="174"/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5"/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2"/>
        <v>0</v>
      </c>
      <c r="S860" s="18">
        <f t="shared" si="173"/>
        <v>0</v>
      </c>
      <c r="T860" s="19">
        <f t="shared" si="174"/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5"/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2"/>
        <v>0</v>
      </c>
      <c r="S861" s="18">
        <f t="shared" si="173"/>
        <v>0</v>
      </c>
      <c r="T861" s="19">
        <f t="shared" si="174"/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5"/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si="172"/>
        <v>0</v>
      </c>
      <c r="S862" s="18">
        <f t="shared" si="173"/>
        <v>0</v>
      </c>
      <c r="T862" s="19">
        <f t="shared" si="174"/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5"/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172"/>
        <v>0</v>
      </c>
      <c r="S863" s="18">
        <f t="shared" si="173"/>
        <v>0</v>
      </c>
      <c r="T863" s="19">
        <f t="shared" si="174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5"/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2"/>
        <v>0</v>
      </c>
      <c r="S864" s="18">
        <f t="shared" si="173"/>
        <v>0</v>
      </c>
      <c r="T864" s="19">
        <f t="shared" si="174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5"/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172"/>
        <v>0</v>
      </c>
      <c r="S865" s="18">
        <f t="shared" si="173"/>
        <v>0</v>
      </c>
      <c r="T865" s="19">
        <f t="shared" si="174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5"/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 t="shared" si="172"/>
        <v>0</v>
      </c>
      <c r="S866" s="18">
        <f t="shared" si="173"/>
        <v>0</v>
      </c>
      <c r="T866" s="19">
        <f t="shared" si="174"/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5"/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5032</v>
      </c>
      <c r="B867" s="21"/>
      <c r="C867" s="1">
        <v>6</v>
      </c>
      <c r="D867" s="1" t="s">
        <v>5033</v>
      </c>
      <c r="E867" s="7">
        <v>4522</v>
      </c>
      <c r="F867" s="7">
        <v>1</v>
      </c>
      <c r="G867" s="1">
        <v>15</v>
      </c>
      <c r="H867" s="34">
        <f>Tabela1[[#This Row],[PESO UNI]]*Tabela1[[#This Row],[QTE]]</f>
        <v>90</v>
      </c>
      <c r="I867" s="7" t="s">
        <v>43</v>
      </c>
      <c r="J867" s="8" t="s">
        <v>5034</v>
      </c>
      <c r="K867" s="8" t="s">
        <v>23</v>
      </c>
      <c r="L867" s="9" t="s">
        <v>5035</v>
      </c>
      <c r="M867" s="10">
        <v>46245</v>
      </c>
      <c r="N867" s="8" t="s">
        <v>38</v>
      </c>
      <c r="O867" s="12"/>
      <c r="P867" s="13"/>
      <c r="Q867" s="14">
        <f>Tabela1[[#This Row],[QTDE/ Fabricação]]-Tabela1[[#This Row],[QTE]]</f>
        <v>-6</v>
      </c>
      <c r="R867" s="18">
        <f t="shared" si="172"/>
        <v>0</v>
      </c>
      <c r="S867" s="18">
        <f t="shared" si="173"/>
        <v>0</v>
      </c>
      <c r="T867" s="19">
        <f t="shared" si="174"/>
        <v>-90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5"/>
        <v>-6</v>
      </c>
      <c r="Z867" s="20">
        <f>Tabela1[[#This Row],[PESO TOTAL]]-Tabela1[[#This Row],[Peso Expedido]]</f>
        <v>90</v>
      </c>
      <c r="AA867" s="17"/>
      <c r="AB867" s="33"/>
      <c r="AC867" s="33"/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5036</v>
      </c>
      <c r="B868" s="21"/>
      <c r="C868" s="1">
        <v>10</v>
      </c>
      <c r="D868" s="1" t="s">
        <v>5037</v>
      </c>
      <c r="E868" s="7">
        <v>4523</v>
      </c>
      <c r="F868" s="7">
        <v>1</v>
      </c>
      <c r="G868" s="1">
        <v>10.5</v>
      </c>
      <c r="H868" s="34">
        <f>Tabela1[[#This Row],[PESO UNI]]*Tabela1[[#This Row],[QTE]]</f>
        <v>105</v>
      </c>
      <c r="I868" s="7" t="s">
        <v>43</v>
      </c>
      <c r="J868" s="8" t="s">
        <v>5034</v>
      </c>
      <c r="K868" s="8" t="s">
        <v>23</v>
      </c>
      <c r="L868" s="9" t="s">
        <v>5035</v>
      </c>
      <c r="M868" s="10">
        <v>46245</v>
      </c>
      <c r="N868" s="8" t="s">
        <v>38</v>
      </c>
      <c r="O868" s="12"/>
      <c r="P868" s="13"/>
      <c r="Q868" s="14">
        <f>Tabela1[[#This Row],[QTDE/ Fabricação]]-Tabela1[[#This Row],[QTE]]</f>
        <v>-10</v>
      </c>
      <c r="R868" s="18">
        <f t="shared" ref="R868" si="176">IFERROR(H868*((AA868*0.25)+(AC868*0.25)+(AD868*0.225)+(AE868*0.225)+(AF868*0.05)),"")</f>
        <v>0</v>
      </c>
      <c r="S868" s="18">
        <f t="shared" ref="S868" si="177">IFERROR(H868*AG868,"")</f>
        <v>0</v>
      </c>
      <c r="T868" s="19">
        <f t="shared" ref="T868" si="178">IFERROR(S868-H868,"")</f>
        <v>-105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ref="Y868" si="179">U868-C868</f>
        <v>-10</v>
      </c>
      <c r="Z868" s="20">
        <f>Tabela1[[#This Row],[PESO TOTAL]]-Tabela1[[#This Row],[Peso Expedido]]</f>
        <v>105</v>
      </c>
      <c r="AA868" s="17"/>
      <c r="AB868" s="33"/>
      <c r="AC868" s="33"/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5038</v>
      </c>
      <c r="B869" s="21"/>
      <c r="C869" s="1">
        <v>5</v>
      </c>
      <c r="D869" s="1" t="s">
        <v>5039</v>
      </c>
      <c r="E869" s="7">
        <v>4524</v>
      </c>
      <c r="F869" s="7">
        <v>1</v>
      </c>
      <c r="G869" s="1">
        <v>35</v>
      </c>
      <c r="H869" s="34">
        <f>Tabela1[[#This Row],[PESO UNI]]*Tabela1[[#This Row],[QTE]]</f>
        <v>175</v>
      </c>
      <c r="I869" s="7" t="s">
        <v>43</v>
      </c>
      <c r="J869" s="8" t="s">
        <v>5034</v>
      </c>
      <c r="K869" s="8" t="s">
        <v>23</v>
      </c>
      <c r="L869" s="9" t="s">
        <v>5035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-5</v>
      </c>
      <c r="R869" s="18">
        <f t="shared" ref="R869:R900" si="180">IFERROR(H869*((AA869*0.25)+(AC869*0.25)+(AD869*0.225)+(AE869*0.225)+(AF869*0.05)),"")</f>
        <v>0</v>
      </c>
      <c r="S869" s="18">
        <f t="shared" ref="S869:S900" si="181">IFERROR(H869*AG869,"")</f>
        <v>0</v>
      </c>
      <c r="T869" s="19">
        <f t="shared" ref="T869:T900" si="182">IFERROR(S869-H869,"")</f>
        <v>-175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ref="Y869:Y900" si="183">U869-C869</f>
        <v>-5</v>
      </c>
      <c r="Z869" s="20">
        <f>Tabela1[[#This Row],[PESO TOTAL]]-Tabela1[[#This Row],[Peso Expedido]]</f>
        <v>175</v>
      </c>
      <c r="AA869" s="17"/>
      <c r="AB869" s="33"/>
      <c r="AC869" s="33"/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5042</v>
      </c>
      <c r="B870" s="21"/>
      <c r="C870" s="1">
        <v>710</v>
      </c>
      <c r="D870" s="1" t="s">
        <v>5043</v>
      </c>
      <c r="E870" s="7">
        <v>4525</v>
      </c>
      <c r="F870" s="7">
        <v>13</v>
      </c>
      <c r="G870" s="1">
        <v>35</v>
      </c>
      <c r="H870" s="34">
        <f>Tabela1[[#This Row],[PESO UNI]]*Tabela1[[#This Row],[QTE]]</f>
        <v>24850</v>
      </c>
      <c r="I870" s="7">
        <v>0</v>
      </c>
      <c r="J870" s="8" t="s">
        <v>4834</v>
      </c>
      <c r="K870" s="8" t="s">
        <v>4320</v>
      </c>
      <c r="L870" s="9" t="s">
        <v>3291</v>
      </c>
      <c r="M870" s="10">
        <v>46246</v>
      </c>
      <c r="N870" s="8" t="s">
        <v>38</v>
      </c>
      <c r="O870" s="12"/>
      <c r="P870" s="13"/>
      <c r="Q870" s="14">
        <f>Tabela1[[#This Row],[QTDE/ Fabricação]]-Tabela1[[#This Row],[QTE]]</f>
        <v>-710</v>
      </c>
      <c r="R870" s="18">
        <f t="shared" si="180"/>
        <v>0</v>
      </c>
      <c r="S870" s="18">
        <f t="shared" si="181"/>
        <v>0</v>
      </c>
      <c r="T870" s="19">
        <f t="shared" si="182"/>
        <v>-24850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si="183"/>
        <v>-710</v>
      </c>
      <c r="Z870" s="20">
        <f>Tabela1[[#This Row],[PESO TOTAL]]-Tabela1[[#This Row],[Peso Expedido]]</f>
        <v>24850</v>
      </c>
      <c r="AA870" s="17"/>
      <c r="AB870" s="33"/>
      <c r="AC870" s="33"/>
      <c r="AD870" s="33"/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414</v>
      </c>
      <c r="B871" s="21"/>
      <c r="C871" s="1">
        <v>10</v>
      </c>
      <c r="D871" s="1" t="s">
        <v>5044</v>
      </c>
      <c r="E871" s="7">
        <v>4526</v>
      </c>
      <c r="F871" s="7">
        <v>1</v>
      </c>
      <c r="G871" s="1">
        <v>5</v>
      </c>
      <c r="H871" s="34">
        <f>Tabela1[[#This Row],[PESO UNI]]*Tabela1[[#This Row],[QTE]]</f>
        <v>50</v>
      </c>
      <c r="I871" s="7">
        <v>0</v>
      </c>
      <c r="J871" s="8" t="s">
        <v>5045</v>
      </c>
      <c r="K871" s="8" t="s">
        <v>23</v>
      </c>
      <c r="L871" s="9" t="s">
        <v>5046</v>
      </c>
      <c r="M871" s="10">
        <v>46246</v>
      </c>
      <c r="N871" s="8" t="s">
        <v>38</v>
      </c>
      <c r="O871" s="12"/>
      <c r="P871" s="13"/>
      <c r="Q871" s="14">
        <f>Tabela1[[#This Row],[QTDE/ Fabricação]]-Tabela1[[#This Row],[QTE]]</f>
        <v>-10</v>
      </c>
      <c r="R871" s="18">
        <f t="shared" si="180"/>
        <v>0</v>
      </c>
      <c r="S871" s="18">
        <f t="shared" si="181"/>
        <v>0</v>
      </c>
      <c r="T871" s="19">
        <f t="shared" si="182"/>
        <v>-50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si="183"/>
        <v>-10</v>
      </c>
      <c r="Z871" s="20">
        <f>Tabela1[[#This Row],[PESO TOTAL]]-Tabela1[[#This Row],[Peso Expedido]]</f>
        <v>50</v>
      </c>
      <c r="AA871" s="17"/>
      <c r="AB871" s="33"/>
      <c r="AC871" s="33"/>
      <c r="AD871" s="33"/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5051</v>
      </c>
      <c r="B872" s="21" t="s">
        <v>5052</v>
      </c>
      <c r="C872" s="1">
        <v>1</v>
      </c>
      <c r="D872" s="1" t="s">
        <v>5053</v>
      </c>
      <c r="E872" s="7">
        <v>4527</v>
      </c>
      <c r="F872" s="7">
        <v>56</v>
      </c>
      <c r="G872" s="1">
        <v>297.8</v>
      </c>
      <c r="H872" s="34">
        <f>Tabela1[[#This Row],[PESO UNI]]*Tabela1[[#This Row],[QTE]]</f>
        <v>297.8</v>
      </c>
      <c r="I872" s="7">
        <v>0</v>
      </c>
      <c r="J872" s="8" t="s">
        <v>3140</v>
      </c>
      <c r="K872" s="8" t="s">
        <v>4320</v>
      </c>
      <c r="L872" s="9" t="s">
        <v>2984</v>
      </c>
      <c r="M872" s="10">
        <v>46251</v>
      </c>
      <c r="N872" s="8" t="s">
        <v>5119</v>
      </c>
      <c r="O872" s="12"/>
      <c r="P872" s="13"/>
      <c r="Q872" s="14">
        <f>Tabela1[[#This Row],[QTDE/ Fabricação]]-Tabela1[[#This Row],[QTE]]</f>
        <v>-1</v>
      </c>
      <c r="R872" s="18">
        <f t="shared" si="180"/>
        <v>0</v>
      </c>
      <c r="S872" s="18">
        <f t="shared" si="181"/>
        <v>0</v>
      </c>
      <c r="T872" s="19">
        <f t="shared" si="182"/>
        <v>-297.8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3"/>
        <v>-1</v>
      </c>
      <c r="Z872" s="20">
        <f>Tabela1[[#This Row],[PESO TOTAL]]-Tabela1[[#This Row],[Peso Expedido]]</f>
        <v>297.8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5051</v>
      </c>
      <c r="B873" s="21" t="s">
        <v>5052</v>
      </c>
      <c r="C873" s="1">
        <v>1</v>
      </c>
      <c r="D873" s="1" t="s">
        <v>5054</v>
      </c>
      <c r="E873" s="7">
        <v>4528</v>
      </c>
      <c r="F873" s="7">
        <v>56</v>
      </c>
      <c r="G873" s="1">
        <v>297.8</v>
      </c>
      <c r="H873" s="34">
        <f>Tabela1[[#This Row],[PESO UNI]]*Tabela1[[#This Row],[QTE]]</f>
        <v>297.8</v>
      </c>
      <c r="I873" s="7">
        <v>0</v>
      </c>
      <c r="J873" s="8" t="s">
        <v>3140</v>
      </c>
      <c r="K873" s="8" t="s">
        <v>4320</v>
      </c>
      <c r="L873" s="9" t="s">
        <v>2984</v>
      </c>
      <c r="M873" s="10">
        <v>46251</v>
      </c>
      <c r="N873" s="8" t="s">
        <v>5119</v>
      </c>
      <c r="O873" s="12"/>
      <c r="P873" s="13"/>
      <c r="Q873" s="14">
        <f>Tabela1[[#This Row],[QTDE/ Fabricação]]-Tabela1[[#This Row],[QTE]]</f>
        <v>-1</v>
      </c>
      <c r="R873" s="18">
        <f t="shared" si="180"/>
        <v>0</v>
      </c>
      <c r="S873" s="18">
        <f t="shared" si="181"/>
        <v>0</v>
      </c>
      <c r="T873" s="19">
        <f t="shared" si="182"/>
        <v>-297.8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3"/>
        <v>-1</v>
      </c>
      <c r="Z873" s="20">
        <f>Tabela1[[#This Row],[PESO TOTAL]]-Tabela1[[#This Row],[Peso Expedido]]</f>
        <v>297.8</v>
      </c>
      <c r="AA873" s="17"/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" t="s">
        <v>5055</v>
      </c>
      <c r="B874" s="21" t="s">
        <v>5056</v>
      </c>
      <c r="C874" s="1">
        <v>1</v>
      </c>
      <c r="D874" s="1" t="s">
        <v>5057</v>
      </c>
      <c r="E874" s="7">
        <v>4529</v>
      </c>
      <c r="F874" s="7">
        <v>56</v>
      </c>
      <c r="G874" s="1">
        <v>886.6</v>
      </c>
      <c r="H874" s="34">
        <f>Tabela1[[#This Row],[PESO UNI]]*Tabela1[[#This Row],[QTE]]</f>
        <v>886.6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5119</v>
      </c>
      <c r="O874" s="12"/>
      <c r="P874" s="13"/>
      <c r="Q874" s="14">
        <f>Tabela1[[#This Row],[QTDE/ Fabricação]]-Tabela1[[#This Row],[QTE]]</f>
        <v>-1</v>
      </c>
      <c r="R874" s="18">
        <f t="shared" si="180"/>
        <v>0</v>
      </c>
      <c r="S874" s="18">
        <f t="shared" si="181"/>
        <v>0</v>
      </c>
      <c r="T874" s="19">
        <f t="shared" si="182"/>
        <v>-886.6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3"/>
        <v>-1</v>
      </c>
      <c r="Z874" s="20">
        <f>Tabela1[[#This Row],[PESO TOTAL]]-Tabela1[[#This Row],[Peso Expedido]]</f>
        <v>886.6</v>
      </c>
      <c r="AA874" s="17"/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1" t="s">
        <v>5058</v>
      </c>
      <c r="B875" s="21" t="s">
        <v>5059</v>
      </c>
      <c r="C875" s="1">
        <v>1</v>
      </c>
      <c r="D875" s="1" t="s">
        <v>5060</v>
      </c>
      <c r="E875" s="7">
        <v>4530</v>
      </c>
      <c r="F875" s="7">
        <v>56</v>
      </c>
      <c r="G875" s="1">
        <v>643.4</v>
      </c>
      <c r="H875" s="34">
        <f>Tabela1[[#This Row],[PESO UNI]]*Tabela1[[#This Row],[QTE]]</f>
        <v>643.4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5119</v>
      </c>
      <c r="O875" s="12"/>
      <c r="P875" s="13"/>
      <c r="Q875" s="14">
        <f>Tabela1[[#This Row],[QTDE/ Fabricação]]-Tabela1[[#This Row],[QTE]]</f>
        <v>-1</v>
      </c>
      <c r="R875" s="18">
        <f t="shared" si="180"/>
        <v>0</v>
      </c>
      <c r="S875" s="18">
        <f t="shared" si="181"/>
        <v>0</v>
      </c>
      <c r="T875" s="19">
        <f t="shared" si="182"/>
        <v>-643.4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3"/>
        <v>-1</v>
      </c>
      <c r="Z875" s="20">
        <f>Tabela1[[#This Row],[PESO TOTAL]]-Tabela1[[#This Row],[Peso Expedido]]</f>
        <v>643.4</v>
      </c>
      <c r="AA875" s="17"/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1" t="s">
        <v>5061</v>
      </c>
      <c r="B876" s="21" t="s">
        <v>5062</v>
      </c>
      <c r="C876" s="1">
        <v>1</v>
      </c>
      <c r="D876" s="1" t="s">
        <v>5063</v>
      </c>
      <c r="E876" s="7">
        <v>4531</v>
      </c>
      <c r="F876" s="7">
        <v>56</v>
      </c>
      <c r="G876" s="1">
        <v>368.4</v>
      </c>
      <c r="H876" s="34">
        <f>Tabela1[[#This Row],[PESO UNI]]*Tabela1[[#This Row],[QTE]]</f>
        <v>368.4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5119</v>
      </c>
      <c r="O876" s="12"/>
      <c r="P876" s="13"/>
      <c r="Q876" s="14">
        <f>Tabela1[[#This Row],[QTDE/ Fabricação]]-Tabela1[[#This Row],[QTE]]</f>
        <v>-1</v>
      </c>
      <c r="R876" s="18">
        <f t="shared" si="180"/>
        <v>0</v>
      </c>
      <c r="S876" s="18">
        <f t="shared" si="181"/>
        <v>0</v>
      </c>
      <c r="T876" s="19">
        <f t="shared" si="182"/>
        <v>-368.4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3"/>
        <v>-1</v>
      </c>
      <c r="Z876" s="20">
        <f>Tabela1[[#This Row],[PESO TOTAL]]-Tabela1[[#This Row],[Peso Expedido]]</f>
        <v>368.4</v>
      </c>
      <c r="AA876" s="17"/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1" t="s">
        <v>5061</v>
      </c>
      <c r="B877" s="21" t="s">
        <v>5062</v>
      </c>
      <c r="C877" s="1">
        <v>1</v>
      </c>
      <c r="D877" s="1" t="s">
        <v>5064</v>
      </c>
      <c r="E877" s="7">
        <v>4532</v>
      </c>
      <c r="F877" s="7">
        <v>56</v>
      </c>
      <c r="G877" s="1">
        <v>340.7</v>
      </c>
      <c r="H877" s="34">
        <f>Tabela1[[#This Row],[PESO UNI]]*Tabela1[[#This Row],[QTE]]</f>
        <v>340.7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5119</v>
      </c>
      <c r="O877" s="12"/>
      <c r="P877" s="13"/>
      <c r="Q877" s="14">
        <f>Tabela1[[#This Row],[QTDE/ Fabricação]]-Tabela1[[#This Row],[QTE]]</f>
        <v>-1</v>
      </c>
      <c r="R877" s="18">
        <f t="shared" si="180"/>
        <v>0</v>
      </c>
      <c r="S877" s="18">
        <f t="shared" si="181"/>
        <v>0</v>
      </c>
      <c r="T877" s="19">
        <f t="shared" si="182"/>
        <v>-340.7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3"/>
        <v>-1</v>
      </c>
      <c r="Z877" s="20">
        <f>Tabela1[[#This Row],[PESO TOTAL]]-Tabela1[[#This Row],[Peso Expedido]]</f>
        <v>340.7</v>
      </c>
      <c r="AA877" s="17"/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1" t="s">
        <v>5065</v>
      </c>
      <c r="B878" s="21" t="s">
        <v>5066</v>
      </c>
      <c r="C878" s="1">
        <v>4</v>
      </c>
      <c r="D878" s="1" t="s">
        <v>5067</v>
      </c>
      <c r="E878" s="7">
        <v>4533</v>
      </c>
      <c r="F878" s="7">
        <v>53</v>
      </c>
      <c r="G878" s="1">
        <v>6.2</v>
      </c>
      <c r="H878" s="34">
        <f>Tabela1[[#This Row],[PESO UNI]]*Tabela1[[#This Row],[QTE]]</f>
        <v>24.8</v>
      </c>
      <c r="I878" s="7">
        <v>0</v>
      </c>
      <c r="J878" s="8" t="s">
        <v>3045</v>
      </c>
      <c r="K878" s="8" t="s">
        <v>4320</v>
      </c>
      <c r="L878" s="9" t="s">
        <v>2984</v>
      </c>
      <c r="M878" s="10">
        <v>46251</v>
      </c>
      <c r="N878" s="8" t="s">
        <v>5119</v>
      </c>
      <c r="O878" s="12"/>
      <c r="P878" s="13"/>
      <c r="Q878" s="14">
        <f>Tabela1[[#This Row],[QTDE/ Fabricação]]-Tabela1[[#This Row],[QTE]]</f>
        <v>-4</v>
      </c>
      <c r="R878" s="18">
        <f t="shared" si="180"/>
        <v>0</v>
      </c>
      <c r="S878" s="18">
        <f t="shared" si="181"/>
        <v>0</v>
      </c>
      <c r="T878" s="19">
        <f t="shared" si="182"/>
        <v>-24.8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3"/>
        <v>-4</v>
      </c>
      <c r="Z878" s="20">
        <f>Tabela1[[#This Row],[PESO TOTAL]]-Tabela1[[#This Row],[Peso Expedido]]</f>
        <v>24.8</v>
      </c>
      <c r="AA878" s="17"/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1" t="s">
        <v>5065</v>
      </c>
      <c r="B879" s="21" t="s">
        <v>5066</v>
      </c>
      <c r="C879" s="1">
        <v>1</v>
      </c>
      <c r="D879" s="1" t="s">
        <v>5070</v>
      </c>
      <c r="E879" s="7">
        <v>4534</v>
      </c>
      <c r="F879" s="7">
        <v>53</v>
      </c>
      <c r="G879" s="1">
        <v>312.39999999999998</v>
      </c>
      <c r="H879" s="34">
        <f>Tabela1[[#This Row],[PESO UNI]]*Tabela1[[#This Row],[QTE]]</f>
        <v>312.39999999999998</v>
      </c>
      <c r="I879" s="7">
        <v>0</v>
      </c>
      <c r="J879" s="8" t="s">
        <v>3045</v>
      </c>
      <c r="K879" s="8" t="s">
        <v>4320</v>
      </c>
      <c r="L879" s="9" t="s">
        <v>2984</v>
      </c>
      <c r="M879" s="10">
        <v>46251</v>
      </c>
      <c r="N879" s="8" t="s">
        <v>5119</v>
      </c>
      <c r="O879" s="12"/>
      <c r="P879" s="13"/>
      <c r="Q879" s="14">
        <f>Tabela1[[#This Row],[QTDE/ Fabricação]]-Tabela1[[#This Row],[QTE]]</f>
        <v>-1</v>
      </c>
      <c r="R879" s="18">
        <f t="shared" si="180"/>
        <v>0</v>
      </c>
      <c r="S879" s="18">
        <f t="shared" si="181"/>
        <v>0</v>
      </c>
      <c r="T879" s="19">
        <f t="shared" si="182"/>
        <v>-312.39999999999998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3"/>
        <v>-1</v>
      </c>
      <c r="Z879" s="20">
        <f>Tabela1[[#This Row],[PESO TOTAL]]-Tabela1[[#This Row],[Peso Expedido]]</f>
        <v>312.39999999999998</v>
      </c>
      <c r="AA879" s="17"/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5068</v>
      </c>
      <c r="B880" s="21" t="s">
        <v>5069</v>
      </c>
      <c r="C880" s="1">
        <v>2</v>
      </c>
      <c r="D880" s="1" t="s">
        <v>5071</v>
      </c>
      <c r="E880" s="7">
        <v>4535</v>
      </c>
      <c r="F880" s="7">
        <v>54</v>
      </c>
      <c r="G880" s="1">
        <v>5.4</v>
      </c>
      <c r="H880" s="34">
        <f>Tabela1[[#This Row],[PESO UNI]]*Tabela1[[#This Row],[QTE]]</f>
        <v>10.8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5119</v>
      </c>
      <c r="O880" s="12"/>
      <c r="P880" s="13"/>
      <c r="Q880" s="14">
        <f>Tabela1[[#This Row],[QTDE/ Fabricação]]-Tabela1[[#This Row],[QTE]]</f>
        <v>-2</v>
      </c>
      <c r="R880" s="18">
        <f t="shared" si="180"/>
        <v>0</v>
      </c>
      <c r="S880" s="18">
        <f t="shared" si="181"/>
        <v>0</v>
      </c>
      <c r="T880" s="19">
        <f t="shared" si="182"/>
        <v>-10.8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3"/>
        <v>-2</v>
      </c>
      <c r="Z880" s="20">
        <f>Tabela1[[#This Row],[PESO TOTAL]]-Tabela1[[#This Row],[Peso Expedido]]</f>
        <v>10.8</v>
      </c>
      <c r="AA880" s="17"/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5068</v>
      </c>
      <c r="B881" s="21" t="s">
        <v>5069</v>
      </c>
      <c r="C881" s="1">
        <v>2</v>
      </c>
      <c r="D881" s="1" t="s">
        <v>5072</v>
      </c>
      <c r="E881" s="7">
        <v>4536</v>
      </c>
      <c r="F881" s="7">
        <v>54</v>
      </c>
      <c r="G881" s="1">
        <v>4.7</v>
      </c>
      <c r="H881" s="34">
        <f>Tabela1[[#This Row],[PESO UNI]]*Tabela1[[#This Row],[QTE]]</f>
        <v>9.4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5119</v>
      </c>
      <c r="O881" s="12"/>
      <c r="P881" s="13"/>
      <c r="Q881" s="14">
        <f>Tabela1[[#This Row],[QTDE/ Fabricação]]-Tabela1[[#This Row],[QTE]]</f>
        <v>-2</v>
      </c>
      <c r="R881" s="18">
        <f t="shared" si="180"/>
        <v>0</v>
      </c>
      <c r="S881" s="18">
        <f t="shared" si="181"/>
        <v>0</v>
      </c>
      <c r="T881" s="19">
        <f t="shared" si="182"/>
        <v>-9.4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3"/>
        <v>-2</v>
      </c>
      <c r="Z881" s="20">
        <f>Tabela1[[#This Row],[PESO TOTAL]]-Tabela1[[#This Row],[Peso Expedido]]</f>
        <v>9.4</v>
      </c>
      <c r="AA881" s="17"/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5068</v>
      </c>
      <c r="B882" s="21" t="s">
        <v>5069</v>
      </c>
      <c r="C882" s="1">
        <v>1</v>
      </c>
      <c r="D882" s="1" t="s">
        <v>5073</v>
      </c>
      <c r="E882" s="7">
        <v>4537</v>
      </c>
      <c r="F882" s="7">
        <v>54</v>
      </c>
      <c r="G882" s="1">
        <v>211.4</v>
      </c>
      <c r="H882" s="34">
        <f>Tabela1[[#This Row],[PESO UNI]]*Tabela1[[#This Row],[QTE]]</f>
        <v>211.4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5119</v>
      </c>
      <c r="O882" s="12"/>
      <c r="P882" s="13"/>
      <c r="Q882" s="14">
        <f>Tabela1[[#This Row],[QTDE/ Fabricação]]-Tabela1[[#This Row],[QTE]]</f>
        <v>-1</v>
      </c>
      <c r="R882" s="18">
        <f t="shared" si="180"/>
        <v>0</v>
      </c>
      <c r="S882" s="18">
        <f t="shared" si="181"/>
        <v>0</v>
      </c>
      <c r="T882" s="19">
        <f t="shared" si="182"/>
        <v>-211.4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3"/>
        <v>-1</v>
      </c>
      <c r="Z882" s="20">
        <f>Tabela1[[#This Row],[PESO TOTAL]]-Tabela1[[#This Row],[Peso Expedido]]</f>
        <v>211.4</v>
      </c>
      <c r="AA882" s="17"/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5074</v>
      </c>
      <c r="B883" s="21" t="s">
        <v>5075</v>
      </c>
      <c r="C883" s="1">
        <v>1</v>
      </c>
      <c r="D883" s="1" t="s">
        <v>5076</v>
      </c>
      <c r="E883" s="7">
        <v>4538</v>
      </c>
      <c r="F883" s="7">
        <v>19</v>
      </c>
      <c r="G883" s="1">
        <v>593.20000000000005</v>
      </c>
      <c r="H883" s="34">
        <f>Tabela1[[#This Row],[PESO UNI]]*Tabela1[[#This Row],[QTE]]</f>
        <v>593.20000000000005</v>
      </c>
      <c r="I883" s="7">
        <v>0</v>
      </c>
      <c r="J883" s="8" t="s">
        <v>4834</v>
      </c>
      <c r="K883" s="8" t="s">
        <v>4320</v>
      </c>
      <c r="L883" s="9" t="s">
        <v>3291</v>
      </c>
      <c r="M883" s="10">
        <v>46252</v>
      </c>
      <c r="N883" s="8" t="s">
        <v>38</v>
      </c>
      <c r="O883" s="12"/>
      <c r="P883" s="13"/>
      <c r="Q883" s="14">
        <f>Tabela1[[#This Row],[QTDE/ Fabricação]]-Tabela1[[#This Row],[QTE]]</f>
        <v>-1</v>
      </c>
      <c r="R883" s="18">
        <f t="shared" si="180"/>
        <v>0</v>
      </c>
      <c r="S883" s="18">
        <f t="shared" si="181"/>
        <v>0</v>
      </c>
      <c r="T883" s="19">
        <f t="shared" si="182"/>
        <v>-593.20000000000005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3"/>
        <v>-1</v>
      </c>
      <c r="Z883" s="20">
        <f>Tabela1[[#This Row],[PESO TOTAL]]-Tabela1[[#This Row],[Peso Expedido]]</f>
        <v>593.20000000000005</v>
      </c>
      <c r="AA883" s="17"/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5077</v>
      </c>
      <c r="B884" s="21" t="s">
        <v>5078</v>
      </c>
      <c r="C884" s="1">
        <v>1</v>
      </c>
      <c r="D884" s="1" t="s">
        <v>5079</v>
      </c>
      <c r="E884" s="7">
        <v>4539</v>
      </c>
      <c r="F884" s="7">
        <v>19</v>
      </c>
      <c r="G884" s="1">
        <v>720.7</v>
      </c>
      <c r="H884" s="34">
        <f>Tabela1[[#This Row],[PESO UNI]]*Tabela1[[#This Row],[QTE]]</f>
        <v>720.7</v>
      </c>
      <c r="I884" s="7">
        <v>0</v>
      </c>
      <c r="J884" s="8" t="s">
        <v>4834</v>
      </c>
      <c r="K884" s="8" t="s">
        <v>4320</v>
      </c>
      <c r="L884" s="9" t="s">
        <v>3291</v>
      </c>
      <c r="M884" s="10">
        <v>46252</v>
      </c>
      <c r="N884" s="8" t="s">
        <v>38</v>
      </c>
      <c r="O884" s="12"/>
      <c r="P884" s="13"/>
      <c r="Q884" s="14">
        <f>Tabela1[[#This Row],[QTDE/ Fabricação]]-Tabela1[[#This Row],[QTE]]</f>
        <v>-1</v>
      </c>
      <c r="R884" s="18">
        <f t="shared" si="180"/>
        <v>0</v>
      </c>
      <c r="S884" s="18">
        <f t="shared" si="181"/>
        <v>0</v>
      </c>
      <c r="T884" s="19">
        <f t="shared" si="182"/>
        <v>-720.7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3"/>
        <v>-1</v>
      </c>
      <c r="Z884" s="20">
        <f>Tabela1[[#This Row],[PESO TOTAL]]-Tabela1[[#This Row],[Peso Expedido]]</f>
        <v>720.7</v>
      </c>
      <c r="AA884" s="17"/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5080</v>
      </c>
      <c r="B885" s="21" t="s">
        <v>5081</v>
      </c>
      <c r="C885" s="1">
        <v>1</v>
      </c>
      <c r="D885" s="1" t="s">
        <v>5082</v>
      </c>
      <c r="E885" s="7">
        <v>4540</v>
      </c>
      <c r="F885" s="7">
        <v>19</v>
      </c>
      <c r="G885" s="1">
        <v>355.4</v>
      </c>
      <c r="H885" s="34">
        <f>Tabela1[[#This Row],[PESO UNI]]*Tabela1[[#This Row],[QTE]]</f>
        <v>355.4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0"/>
        <v>0</v>
      </c>
      <c r="S885" s="18">
        <f t="shared" si="181"/>
        <v>0</v>
      </c>
      <c r="T885" s="19">
        <f t="shared" si="182"/>
        <v>-355.4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3"/>
        <v>-1</v>
      </c>
      <c r="Z885" s="20">
        <f>Tabela1[[#This Row],[PESO TOTAL]]-Tabela1[[#This Row],[Peso Expedido]]</f>
        <v>355.4</v>
      </c>
      <c r="AA885" s="17"/>
      <c r="AB885" s="33"/>
      <c r="AC885" s="33"/>
      <c r="AD885" s="33"/>
      <c r="AE885" s="33"/>
      <c r="AF885" s="33"/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5083</v>
      </c>
      <c r="B886" s="21" t="s">
        <v>5084</v>
      </c>
      <c r="C886" s="1">
        <v>1</v>
      </c>
      <c r="D886" s="1" t="s">
        <v>5085</v>
      </c>
      <c r="E886" s="7">
        <v>4541</v>
      </c>
      <c r="F886" s="7">
        <v>19</v>
      </c>
      <c r="G886" s="1">
        <v>497.8</v>
      </c>
      <c r="H886" s="34">
        <f>Tabela1[[#This Row],[PESO UNI]]*Tabela1[[#This Row],[QTE]]</f>
        <v>497.8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0"/>
        <v>0</v>
      </c>
      <c r="S886" s="18">
        <f t="shared" si="181"/>
        <v>0</v>
      </c>
      <c r="T886" s="19">
        <f t="shared" si="182"/>
        <v>-497.8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3"/>
        <v>-1</v>
      </c>
      <c r="Z886" s="20">
        <f>Tabela1[[#This Row],[PESO TOTAL]]-Tabela1[[#This Row],[Peso Expedido]]</f>
        <v>497.8</v>
      </c>
      <c r="AA886" s="17"/>
      <c r="AB886" s="33"/>
      <c r="AC886" s="33"/>
      <c r="AD886" s="33"/>
      <c r="AE886" s="33"/>
      <c r="AF886" s="33"/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5086</v>
      </c>
      <c r="B887" s="21" t="s">
        <v>5087</v>
      </c>
      <c r="C887" s="1">
        <v>1</v>
      </c>
      <c r="D887" s="1" t="s">
        <v>5088</v>
      </c>
      <c r="E887" s="7">
        <v>4542</v>
      </c>
      <c r="F887" s="7">
        <v>19</v>
      </c>
      <c r="G887" s="1">
        <v>484.8</v>
      </c>
      <c r="H887" s="34">
        <f>Tabela1[[#This Row],[PESO UNI]]*Tabela1[[#This Row],[QTE]]</f>
        <v>484.8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0"/>
        <v>0</v>
      </c>
      <c r="S887" s="18">
        <f t="shared" si="181"/>
        <v>0</v>
      </c>
      <c r="T887" s="19">
        <f t="shared" si="182"/>
        <v>-484.8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3"/>
        <v>-1</v>
      </c>
      <c r="Z887" s="20">
        <f>Tabela1[[#This Row],[PESO TOTAL]]-Tabela1[[#This Row],[Peso Expedido]]</f>
        <v>484.8</v>
      </c>
      <c r="AA887" s="17"/>
      <c r="AB887" s="33"/>
      <c r="AC887" s="33"/>
      <c r="AD887" s="33"/>
      <c r="AE887" s="33"/>
      <c r="AF887" s="33"/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5089</v>
      </c>
      <c r="B888" s="21" t="s">
        <v>5090</v>
      </c>
      <c r="C888" s="1">
        <v>1</v>
      </c>
      <c r="D888" s="1" t="s">
        <v>5091</v>
      </c>
      <c r="E888" s="7">
        <v>4543</v>
      </c>
      <c r="F888" s="7">
        <v>19</v>
      </c>
      <c r="G888" s="1">
        <v>941</v>
      </c>
      <c r="H888" s="34">
        <f>Tabela1[[#This Row],[PESO UNI]]*Tabela1[[#This Row],[QTE]]</f>
        <v>941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0"/>
        <v>0</v>
      </c>
      <c r="S888" s="18">
        <f t="shared" si="181"/>
        <v>0</v>
      </c>
      <c r="T888" s="19">
        <f t="shared" si="182"/>
        <v>-941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3"/>
        <v>-1</v>
      </c>
      <c r="Z888" s="20">
        <f>Tabela1[[#This Row],[PESO TOTAL]]-Tabela1[[#This Row],[Peso Expedido]]</f>
        <v>941</v>
      </c>
      <c r="AA888" s="17"/>
      <c r="AB888" s="33"/>
      <c r="AC888" s="33"/>
      <c r="AD888" s="33"/>
      <c r="AE888" s="33"/>
      <c r="AF888" s="33"/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5092</v>
      </c>
      <c r="B889" s="21" t="s">
        <v>5093</v>
      </c>
      <c r="C889" s="1">
        <v>1</v>
      </c>
      <c r="D889" s="1" t="s">
        <v>5094</v>
      </c>
      <c r="E889" s="7">
        <v>4544</v>
      </c>
      <c r="F889" s="7">
        <v>19</v>
      </c>
      <c r="G889" s="1">
        <v>239</v>
      </c>
      <c r="H889" s="34">
        <f>Tabela1[[#This Row],[PESO UNI]]*Tabela1[[#This Row],[QTE]]</f>
        <v>239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0"/>
        <v>0</v>
      </c>
      <c r="S889" s="18">
        <f t="shared" si="181"/>
        <v>0</v>
      </c>
      <c r="T889" s="19">
        <f t="shared" si="182"/>
        <v>-239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3"/>
        <v>-1</v>
      </c>
      <c r="Z889" s="20">
        <f>Tabela1[[#This Row],[PESO TOTAL]]-Tabela1[[#This Row],[Peso Expedido]]</f>
        <v>239</v>
      </c>
      <c r="AA889" s="17"/>
      <c r="AB889" s="33"/>
      <c r="AC889" s="33"/>
      <c r="AD889" s="33"/>
      <c r="AE889" s="33"/>
      <c r="AF889" s="33"/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5095</v>
      </c>
      <c r="B890" s="21" t="s">
        <v>5096</v>
      </c>
      <c r="C890" s="1">
        <v>1</v>
      </c>
      <c r="D890" s="1" t="s">
        <v>5097</v>
      </c>
      <c r="E890" s="7">
        <v>4545</v>
      </c>
      <c r="F890" s="7">
        <v>57</v>
      </c>
      <c r="G890" s="1">
        <v>763.4</v>
      </c>
      <c r="H890" s="34">
        <f>Tabela1[[#This Row],[PESO UNI]]*Tabela1[[#This Row],[QTE]]</f>
        <v>763.4</v>
      </c>
      <c r="I890" s="7">
        <v>0</v>
      </c>
      <c r="J890" s="8" t="s">
        <v>3045</v>
      </c>
      <c r="K890" s="8" t="s">
        <v>4320</v>
      </c>
      <c r="L890" s="9" t="s">
        <v>2984</v>
      </c>
      <c r="M890" s="10">
        <v>46251</v>
      </c>
      <c r="N890" s="8" t="s">
        <v>5119</v>
      </c>
      <c r="O890" s="12"/>
      <c r="P890" s="13"/>
      <c r="Q890" s="14">
        <f>Tabela1[[#This Row],[QTDE/ Fabricação]]-Tabela1[[#This Row],[QTE]]</f>
        <v>-1</v>
      </c>
      <c r="R890" s="18">
        <f t="shared" si="180"/>
        <v>0</v>
      </c>
      <c r="S890" s="18">
        <f t="shared" si="181"/>
        <v>0</v>
      </c>
      <c r="T890" s="19">
        <f t="shared" si="182"/>
        <v>-763.4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3"/>
        <v>-1</v>
      </c>
      <c r="Z890" s="20">
        <f>Tabela1[[#This Row],[PESO TOTAL]]-Tabela1[[#This Row],[Peso Expedido]]</f>
        <v>763.4</v>
      </c>
      <c r="AA890" s="17"/>
      <c r="AB890" s="33"/>
      <c r="AC890" s="33"/>
      <c r="AD890" s="33"/>
      <c r="AE890" s="33"/>
      <c r="AF890" s="33"/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5098</v>
      </c>
      <c r="B891" s="21" t="s">
        <v>5099</v>
      </c>
      <c r="C891" s="1">
        <v>1</v>
      </c>
      <c r="D891" s="1" t="s">
        <v>5100</v>
      </c>
      <c r="E891" s="7">
        <v>4546</v>
      </c>
      <c r="F891" s="7">
        <v>57</v>
      </c>
      <c r="G891" s="1">
        <v>508.5</v>
      </c>
      <c r="H891" s="34">
        <f>Tabela1[[#This Row],[PESO UNI]]*Tabela1[[#This Row],[QTE]]</f>
        <v>508.5</v>
      </c>
      <c r="I891" s="7">
        <v>0</v>
      </c>
      <c r="J891" s="8" t="s">
        <v>3045</v>
      </c>
      <c r="K891" s="8" t="s">
        <v>4320</v>
      </c>
      <c r="L891" s="9" t="s">
        <v>2984</v>
      </c>
      <c r="M891" s="10">
        <v>46251</v>
      </c>
      <c r="N891" s="8" t="s">
        <v>5119</v>
      </c>
      <c r="O891" s="12"/>
      <c r="P891" s="13"/>
      <c r="Q891" s="14">
        <f>Tabela1[[#This Row],[QTDE/ Fabricação]]-Tabela1[[#This Row],[QTE]]</f>
        <v>-1</v>
      </c>
      <c r="R891" s="18">
        <f t="shared" si="180"/>
        <v>0</v>
      </c>
      <c r="S891" s="18">
        <f t="shared" si="181"/>
        <v>0</v>
      </c>
      <c r="T891" s="19">
        <f t="shared" si="182"/>
        <v>-508.5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3"/>
        <v>-1</v>
      </c>
      <c r="Z891" s="20">
        <f>Tabela1[[#This Row],[PESO TOTAL]]-Tabela1[[#This Row],[Peso Expedido]]</f>
        <v>508.5</v>
      </c>
      <c r="AA891" s="17"/>
      <c r="AB891" s="33"/>
      <c r="AC891" s="33"/>
      <c r="AD891" s="33"/>
      <c r="AE891" s="33"/>
      <c r="AF891" s="33"/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5101</v>
      </c>
      <c r="B892" s="21" t="s">
        <v>5102</v>
      </c>
      <c r="C892" s="1">
        <v>1</v>
      </c>
      <c r="D892" s="1" t="s">
        <v>5103</v>
      </c>
      <c r="E892" s="7">
        <v>4547</v>
      </c>
      <c r="F892" s="7">
        <v>57</v>
      </c>
      <c r="G892" s="1">
        <v>441.2</v>
      </c>
      <c r="H892" s="34">
        <f>Tabela1[[#This Row],[PESO UNI]]*Tabela1[[#This Row],[QTE]]</f>
        <v>441.2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5119</v>
      </c>
      <c r="O892" s="12"/>
      <c r="P892" s="13"/>
      <c r="Q892" s="14">
        <f>Tabela1[[#This Row],[QTDE/ Fabricação]]-Tabela1[[#This Row],[QTE]]</f>
        <v>-1</v>
      </c>
      <c r="R892" s="18">
        <f t="shared" si="180"/>
        <v>0</v>
      </c>
      <c r="S892" s="18">
        <f t="shared" si="181"/>
        <v>0</v>
      </c>
      <c r="T892" s="19">
        <f t="shared" si="182"/>
        <v>-441.2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3"/>
        <v>-1</v>
      </c>
      <c r="Z892" s="20">
        <f>Tabela1[[#This Row],[PESO TOTAL]]-Tabela1[[#This Row],[Peso Expedido]]</f>
        <v>441.2</v>
      </c>
      <c r="AA892" s="17"/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5104</v>
      </c>
      <c r="B893" s="21" t="s">
        <v>5105</v>
      </c>
      <c r="C893" s="1">
        <v>1</v>
      </c>
      <c r="D893" s="1" t="s">
        <v>5106</v>
      </c>
      <c r="E893" s="7">
        <v>4548</v>
      </c>
      <c r="F893" s="7">
        <v>57</v>
      </c>
      <c r="G893" s="1">
        <v>725.7</v>
      </c>
      <c r="H893" s="34">
        <f>Tabela1[[#This Row],[PESO UNI]]*Tabela1[[#This Row],[QTE]]</f>
        <v>725.7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5119</v>
      </c>
      <c r="O893" s="12"/>
      <c r="P893" s="13"/>
      <c r="Q893" s="14">
        <f>Tabela1[[#This Row],[QTDE/ Fabricação]]-Tabela1[[#This Row],[QTE]]</f>
        <v>-1</v>
      </c>
      <c r="R893" s="18">
        <f t="shared" si="180"/>
        <v>0</v>
      </c>
      <c r="S893" s="18">
        <f t="shared" si="181"/>
        <v>0</v>
      </c>
      <c r="T893" s="19">
        <f t="shared" si="182"/>
        <v>-725.7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3"/>
        <v>-1</v>
      </c>
      <c r="Z893" s="20">
        <f>Tabela1[[#This Row],[PESO TOTAL]]-Tabela1[[#This Row],[Peso Expedido]]</f>
        <v>725.7</v>
      </c>
      <c r="AA893" s="17"/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5107</v>
      </c>
      <c r="B894" s="21" t="s">
        <v>5108</v>
      </c>
      <c r="C894" s="1">
        <v>1</v>
      </c>
      <c r="D894" s="1" t="s">
        <v>5109</v>
      </c>
      <c r="E894" s="7">
        <v>4549</v>
      </c>
      <c r="F894" s="7">
        <v>57</v>
      </c>
      <c r="G894" s="1">
        <v>350.2</v>
      </c>
      <c r="H894" s="34">
        <f>Tabela1[[#This Row],[PESO UNI]]*Tabela1[[#This Row],[QTE]]</f>
        <v>350.2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5119</v>
      </c>
      <c r="O894" s="12"/>
      <c r="P894" s="13"/>
      <c r="Q894" s="14">
        <f>Tabela1[[#This Row],[QTDE/ Fabricação]]-Tabela1[[#This Row],[QTE]]</f>
        <v>-1</v>
      </c>
      <c r="R894" s="18">
        <f t="shared" si="180"/>
        <v>0</v>
      </c>
      <c r="S894" s="18">
        <f t="shared" si="181"/>
        <v>0</v>
      </c>
      <c r="T894" s="19">
        <f t="shared" si="182"/>
        <v>-350.2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3"/>
        <v>-1</v>
      </c>
      <c r="Z894" s="20">
        <f>Tabela1[[#This Row],[PESO TOTAL]]-Tabela1[[#This Row],[Peso Expedido]]</f>
        <v>350.2</v>
      </c>
      <c r="AA894" s="17"/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5107</v>
      </c>
      <c r="B895" s="21" t="s">
        <v>5108</v>
      </c>
      <c r="C895" s="1">
        <v>3</v>
      </c>
      <c r="D895" s="1" t="s">
        <v>5110</v>
      </c>
      <c r="E895" s="7">
        <v>4550</v>
      </c>
      <c r="F895" s="7">
        <v>57</v>
      </c>
      <c r="G895" s="1">
        <v>3.1</v>
      </c>
      <c r="H895" s="34">
        <f>Tabela1[[#This Row],[PESO UNI]]*Tabela1[[#This Row],[QTE]]</f>
        <v>9.3000000000000007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5119</v>
      </c>
      <c r="O895" s="12"/>
      <c r="P895" s="13"/>
      <c r="Q895" s="14">
        <f>Tabela1[[#This Row],[QTDE/ Fabricação]]-Tabela1[[#This Row],[QTE]]</f>
        <v>-3</v>
      </c>
      <c r="R895" s="18">
        <f t="shared" si="180"/>
        <v>0</v>
      </c>
      <c r="S895" s="18">
        <f t="shared" si="181"/>
        <v>0</v>
      </c>
      <c r="T895" s="19">
        <f t="shared" si="182"/>
        <v>-9.3000000000000007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3"/>
        <v>-3</v>
      </c>
      <c r="Z895" s="20">
        <f>Tabela1[[#This Row],[PESO TOTAL]]-Tabela1[[#This Row],[Peso Expedido]]</f>
        <v>9.3000000000000007</v>
      </c>
      <c r="AA895" s="17"/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5111</v>
      </c>
      <c r="B896" s="21" t="s">
        <v>5112</v>
      </c>
      <c r="C896" s="1">
        <v>1</v>
      </c>
      <c r="D896" s="1" t="s">
        <v>5113</v>
      </c>
      <c r="E896" s="7">
        <v>4551</v>
      </c>
      <c r="F896" s="7">
        <v>57</v>
      </c>
      <c r="G896" s="1">
        <v>33</v>
      </c>
      <c r="H896" s="34">
        <f>Tabela1[[#This Row],[PESO UNI]]*Tabela1[[#This Row],[QTE]]</f>
        <v>33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5119</v>
      </c>
      <c r="O896" s="12"/>
      <c r="P896" s="13"/>
      <c r="Q896" s="14">
        <f>Tabela1[[#This Row],[QTDE/ Fabricação]]-Tabela1[[#This Row],[QTE]]</f>
        <v>-1</v>
      </c>
      <c r="R896" s="18">
        <f t="shared" si="180"/>
        <v>0</v>
      </c>
      <c r="S896" s="18">
        <f t="shared" si="181"/>
        <v>0</v>
      </c>
      <c r="T896" s="19">
        <f t="shared" si="182"/>
        <v>-33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3"/>
        <v>-1</v>
      </c>
      <c r="Z896" s="20">
        <f>Tabela1[[#This Row],[PESO TOTAL]]-Tabela1[[#This Row],[Peso Expedido]]</f>
        <v>33</v>
      </c>
      <c r="AA896" s="17"/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5114</v>
      </c>
      <c r="B897" s="21" t="s">
        <v>5115</v>
      </c>
      <c r="C897" s="1">
        <v>1</v>
      </c>
      <c r="D897" s="1" t="s">
        <v>5116</v>
      </c>
      <c r="E897" s="7">
        <v>4552</v>
      </c>
      <c r="F897" s="7">
        <v>57</v>
      </c>
      <c r="G897" s="1">
        <v>166.8</v>
      </c>
      <c r="H897" s="34">
        <f>Tabela1[[#This Row],[PESO UNI]]*Tabela1[[#This Row],[QTE]]</f>
        <v>166.8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5119</v>
      </c>
      <c r="O897" s="12"/>
      <c r="P897" s="13"/>
      <c r="Q897" s="14">
        <f>Tabela1[[#This Row],[QTDE/ Fabricação]]-Tabela1[[#This Row],[QTE]]</f>
        <v>-1</v>
      </c>
      <c r="R897" s="18">
        <f t="shared" si="180"/>
        <v>0</v>
      </c>
      <c r="S897" s="18">
        <f t="shared" si="181"/>
        <v>0</v>
      </c>
      <c r="T897" s="19">
        <f t="shared" si="182"/>
        <v>-166.8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3"/>
        <v>-1</v>
      </c>
      <c r="Z897" s="20">
        <f>Tabela1[[#This Row],[PESO TOTAL]]-Tabela1[[#This Row],[Peso Expedido]]</f>
        <v>166.8</v>
      </c>
      <c r="AA897" s="17"/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5114</v>
      </c>
      <c r="B898" s="21" t="s">
        <v>5115</v>
      </c>
      <c r="C898" s="1">
        <v>1</v>
      </c>
      <c r="D898" s="1" t="s">
        <v>5117</v>
      </c>
      <c r="E898" s="7">
        <v>4553</v>
      </c>
      <c r="F898" s="7">
        <v>57</v>
      </c>
      <c r="G898" s="1">
        <v>484.2</v>
      </c>
      <c r="H898" s="34">
        <f>Tabela1[[#This Row],[PESO UNI]]*Tabela1[[#This Row],[QTE]]</f>
        <v>484.2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5119</v>
      </c>
      <c r="O898" s="12"/>
      <c r="P898" s="13"/>
      <c r="Q898" s="14">
        <f>Tabela1[[#This Row],[QTDE/ Fabricação]]-Tabela1[[#This Row],[QTE]]</f>
        <v>-1</v>
      </c>
      <c r="R898" s="18">
        <f t="shared" si="180"/>
        <v>0</v>
      </c>
      <c r="S898" s="18">
        <f t="shared" si="181"/>
        <v>0</v>
      </c>
      <c r="T898" s="19">
        <f t="shared" si="182"/>
        <v>-484.2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3"/>
        <v>-1</v>
      </c>
      <c r="Z898" s="20">
        <f>Tabela1[[#This Row],[PESO TOTAL]]-Tabela1[[#This Row],[Peso Expedido]]</f>
        <v>484.2</v>
      </c>
      <c r="AA898" s="17"/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5114</v>
      </c>
      <c r="B899" s="21" t="s">
        <v>5115</v>
      </c>
      <c r="C899" s="1">
        <v>1</v>
      </c>
      <c r="D899" s="1" t="s">
        <v>5118</v>
      </c>
      <c r="E899" s="7">
        <v>4554</v>
      </c>
      <c r="F899" s="7">
        <v>57</v>
      </c>
      <c r="G899" s="1">
        <v>268.39999999999998</v>
      </c>
      <c r="H899" s="34">
        <f>Tabela1[[#This Row],[PESO UNI]]*Tabela1[[#This Row],[QTE]]</f>
        <v>268.39999999999998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5119</v>
      </c>
      <c r="O899" s="12"/>
      <c r="P899" s="13"/>
      <c r="Q899" s="14">
        <f>Tabela1[[#This Row],[QTDE/ Fabricação]]-Tabela1[[#This Row],[QTE]]</f>
        <v>-1</v>
      </c>
      <c r="R899" s="18">
        <f t="shared" si="180"/>
        <v>0</v>
      </c>
      <c r="S899" s="18">
        <f t="shared" si="181"/>
        <v>0</v>
      </c>
      <c r="T899" s="19">
        <f t="shared" si="182"/>
        <v>-268.39999999999998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3"/>
        <v>-1</v>
      </c>
      <c r="Z899" s="20">
        <f>Tabela1[[#This Row],[PESO TOTAL]]-Tabela1[[#This Row],[Peso Expedido]]</f>
        <v>268.39999999999998</v>
      </c>
      <c r="AA899" s="17"/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5120</v>
      </c>
      <c r="B900" s="21" t="s">
        <v>5121</v>
      </c>
      <c r="C900" s="1">
        <v>1</v>
      </c>
      <c r="D900" s="1" t="s">
        <v>5122</v>
      </c>
      <c r="E900" s="7">
        <v>4555</v>
      </c>
      <c r="F900" s="7">
        <v>58</v>
      </c>
      <c r="G900" s="1">
        <v>84.46</v>
      </c>
      <c r="H900" s="34">
        <f>Tabela1[[#This Row],[PESO UNI]]*Tabela1[[#This Row],[QTE]]</f>
        <v>84.46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5119</v>
      </c>
      <c r="O900" s="12"/>
      <c r="P900" s="13"/>
      <c r="Q900" s="14">
        <f>Tabela1[[#This Row],[QTDE/ Fabricação]]-Tabela1[[#This Row],[QTE]]</f>
        <v>-1</v>
      </c>
      <c r="R900" s="18">
        <f t="shared" si="180"/>
        <v>0</v>
      </c>
      <c r="S900" s="18">
        <f t="shared" si="181"/>
        <v>0</v>
      </c>
      <c r="T900" s="19">
        <f t="shared" si="182"/>
        <v>-84.46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3"/>
        <v>-1</v>
      </c>
      <c r="Z900" s="20">
        <f>Tabela1[[#This Row],[PESO TOTAL]]-Tabela1[[#This Row],[Peso Expedido]]</f>
        <v>84.46</v>
      </c>
      <c r="AA900" s="17"/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5120</v>
      </c>
      <c r="B901" s="21" t="s">
        <v>5121</v>
      </c>
      <c r="C901" s="1">
        <v>2</v>
      </c>
      <c r="D901" s="1" t="s">
        <v>5123</v>
      </c>
      <c r="E901" s="7">
        <v>4556</v>
      </c>
      <c r="F901" s="7">
        <v>58</v>
      </c>
      <c r="G901" s="1">
        <v>69.61</v>
      </c>
      <c r="H901" s="34">
        <f>Tabela1[[#This Row],[PESO UNI]]*Tabela1[[#This Row],[QTE]]</f>
        <v>139.22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5119</v>
      </c>
      <c r="O901" s="12"/>
      <c r="P901" s="13"/>
      <c r="Q901" s="14">
        <f>Tabela1[[#This Row],[QTDE/ Fabricação]]-Tabela1[[#This Row],[QTE]]</f>
        <v>-2</v>
      </c>
      <c r="R901" s="18">
        <f t="shared" ref="R901:R932" si="184">IFERROR(H901*((AA901*0.25)+(AC901*0.25)+(AD901*0.225)+(AE901*0.225)+(AF901*0.05)),"")</f>
        <v>0</v>
      </c>
      <c r="S901" s="18">
        <f t="shared" ref="S901:S932" si="185">IFERROR(H901*AG901,"")</f>
        <v>0</v>
      </c>
      <c r="T901" s="19">
        <f t="shared" ref="T901:T932" si="186">IFERROR(S901-H901,"")</f>
        <v>-139.22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ref="Y901:Y932" si="187">U901-C901</f>
        <v>-2</v>
      </c>
      <c r="Z901" s="20">
        <f>Tabela1[[#This Row],[PESO TOTAL]]-Tabela1[[#This Row],[Peso Expedido]]</f>
        <v>139.22</v>
      </c>
      <c r="AA901" s="17"/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5120</v>
      </c>
      <c r="B902" s="21" t="s">
        <v>5121</v>
      </c>
      <c r="C902" s="1">
        <v>2</v>
      </c>
      <c r="D902" s="1" t="s">
        <v>5124</v>
      </c>
      <c r="E902" s="7">
        <v>4557</v>
      </c>
      <c r="F902" s="7">
        <v>58</v>
      </c>
      <c r="G902" s="1">
        <v>30.38</v>
      </c>
      <c r="H902" s="34">
        <f>Tabela1[[#This Row],[PESO UNI]]*Tabela1[[#This Row],[QTE]]</f>
        <v>60.76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5119</v>
      </c>
      <c r="O902" s="12"/>
      <c r="P902" s="13"/>
      <c r="Q902" s="14">
        <f>Tabela1[[#This Row],[QTDE/ Fabricação]]-Tabela1[[#This Row],[QTE]]</f>
        <v>-2</v>
      </c>
      <c r="R902" s="18">
        <f t="shared" si="184"/>
        <v>0</v>
      </c>
      <c r="S902" s="18">
        <f t="shared" si="185"/>
        <v>0</v>
      </c>
      <c r="T902" s="19">
        <f t="shared" si="186"/>
        <v>-60.76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7"/>
        <v>-2</v>
      </c>
      <c r="Z902" s="20">
        <f>Tabela1[[#This Row],[PESO TOTAL]]-Tabela1[[#This Row],[Peso Expedido]]</f>
        <v>60.76</v>
      </c>
      <c r="AA902" s="17"/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5120</v>
      </c>
      <c r="B903" s="21" t="s">
        <v>5121</v>
      </c>
      <c r="C903" s="1">
        <v>6</v>
      </c>
      <c r="D903" s="1" t="s">
        <v>5125</v>
      </c>
      <c r="E903" s="7">
        <v>4558</v>
      </c>
      <c r="F903" s="7">
        <v>58</v>
      </c>
      <c r="G903" s="1">
        <v>6.07</v>
      </c>
      <c r="H903" s="34">
        <f>Tabela1[[#This Row],[PESO UNI]]*Tabela1[[#This Row],[QTE]]</f>
        <v>36.42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5119</v>
      </c>
      <c r="O903" s="12"/>
      <c r="P903" s="13"/>
      <c r="Q903" s="14">
        <f>Tabela1[[#This Row],[QTDE/ Fabricação]]-Tabela1[[#This Row],[QTE]]</f>
        <v>-6</v>
      </c>
      <c r="R903" s="18">
        <f t="shared" si="184"/>
        <v>0</v>
      </c>
      <c r="S903" s="18">
        <f t="shared" si="185"/>
        <v>0</v>
      </c>
      <c r="T903" s="19">
        <f t="shared" si="186"/>
        <v>-36.42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7"/>
        <v>-6</v>
      </c>
      <c r="Z903" s="20">
        <f>Tabela1[[#This Row],[PESO TOTAL]]-Tabela1[[#This Row],[Peso Expedido]]</f>
        <v>36.42</v>
      </c>
      <c r="AA903" s="17"/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5120</v>
      </c>
      <c r="B904" s="21" t="s">
        <v>5121</v>
      </c>
      <c r="C904" s="1">
        <v>1</v>
      </c>
      <c r="D904" s="1" t="s">
        <v>5126</v>
      </c>
      <c r="E904" s="7">
        <v>4559</v>
      </c>
      <c r="F904" s="7">
        <v>58</v>
      </c>
      <c r="G904" s="1">
        <v>22.07</v>
      </c>
      <c r="H904" s="34">
        <f>Tabela1[[#This Row],[PESO UNI]]*Tabela1[[#This Row],[QTE]]</f>
        <v>22.07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5119</v>
      </c>
      <c r="O904" s="12"/>
      <c r="P904" s="13"/>
      <c r="Q904" s="14">
        <f>Tabela1[[#This Row],[QTDE/ Fabricação]]-Tabela1[[#This Row],[QTE]]</f>
        <v>-1</v>
      </c>
      <c r="R904" s="18">
        <f t="shared" si="184"/>
        <v>0</v>
      </c>
      <c r="S904" s="18">
        <f t="shared" si="185"/>
        <v>0</v>
      </c>
      <c r="T904" s="19">
        <f t="shared" si="186"/>
        <v>-22.07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7"/>
        <v>-1</v>
      </c>
      <c r="Z904" s="20">
        <f>Tabela1[[#This Row],[PESO TOTAL]]-Tabela1[[#This Row],[Peso Expedido]]</f>
        <v>22.07</v>
      </c>
      <c r="AA904" s="17"/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5120</v>
      </c>
      <c r="B905" s="21" t="s">
        <v>5121</v>
      </c>
      <c r="C905" s="1">
        <v>1</v>
      </c>
      <c r="D905" s="1" t="s">
        <v>5127</v>
      </c>
      <c r="E905" s="7">
        <v>4560</v>
      </c>
      <c r="F905" s="7">
        <v>58</v>
      </c>
      <c r="G905" s="1">
        <v>33.590000000000003</v>
      </c>
      <c r="H905" s="34">
        <f>Tabela1[[#This Row],[PESO UNI]]*Tabela1[[#This Row],[QTE]]</f>
        <v>33.590000000000003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5119</v>
      </c>
      <c r="O905" s="12"/>
      <c r="P905" s="13"/>
      <c r="Q905" s="14">
        <f>Tabela1[[#This Row],[QTDE/ Fabricação]]-Tabela1[[#This Row],[QTE]]</f>
        <v>-1</v>
      </c>
      <c r="R905" s="18">
        <f t="shared" si="184"/>
        <v>0</v>
      </c>
      <c r="S905" s="18">
        <f t="shared" si="185"/>
        <v>0</v>
      </c>
      <c r="T905" s="19">
        <f t="shared" si="186"/>
        <v>-33.590000000000003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7"/>
        <v>-1</v>
      </c>
      <c r="Z905" s="20">
        <f>Tabela1[[#This Row],[PESO TOTAL]]-Tabela1[[#This Row],[Peso Expedido]]</f>
        <v>33.590000000000003</v>
      </c>
      <c r="AA905" s="17"/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5120</v>
      </c>
      <c r="B906" s="21" t="s">
        <v>5121</v>
      </c>
      <c r="C906" s="1">
        <v>1</v>
      </c>
      <c r="D906" s="1" t="s">
        <v>5128</v>
      </c>
      <c r="E906" s="7">
        <v>4561</v>
      </c>
      <c r="F906" s="7">
        <v>58</v>
      </c>
      <c r="G906" s="1">
        <v>20.48</v>
      </c>
      <c r="H906" s="34">
        <f>Tabela1[[#This Row],[PESO UNI]]*Tabela1[[#This Row],[QTE]]</f>
        <v>20.48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5119</v>
      </c>
      <c r="O906" s="12"/>
      <c r="P906" s="13"/>
      <c r="Q906" s="14">
        <f>Tabela1[[#This Row],[QTDE/ Fabricação]]-Tabela1[[#This Row],[QTE]]</f>
        <v>-1</v>
      </c>
      <c r="R906" s="18">
        <f t="shared" si="184"/>
        <v>0</v>
      </c>
      <c r="S906" s="18">
        <f t="shared" si="185"/>
        <v>0</v>
      </c>
      <c r="T906" s="19">
        <f t="shared" si="186"/>
        <v>-20.48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7"/>
        <v>-1</v>
      </c>
      <c r="Z906" s="20">
        <f>Tabela1[[#This Row],[PESO TOTAL]]-Tabela1[[#This Row],[Peso Expedido]]</f>
        <v>20.48</v>
      </c>
      <c r="AA906" s="17"/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5120</v>
      </c>
      <c r="B907" s="21" t="s">
        <v>5121</v>
      </c>
      <c r="C907" s="1">
        <v>2</v>
      </c>
      <c r="D907" s="1" t="s">
        <v>5129</v>
      </c>
      <c r="E907" s="7">
        <v>4562</v>
      </c>
      <c r="F907" s="7">
        <v>58</v>
      </c>
      <c r="G907" s="1">
        <v>18.54</v>
      </c>
      <c r="H907" s="34">
        <f>Tabela1[[#This Row],[PESO UNI]]*Tabela1[[#This Row],[QTE]]</f>
        <v>37.08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5119</v>
      </c>
      <c r="O907" s="12"/>
      <c r="P907" s="13"/>
      <c r="Q907" s="14">
        <f>Tabela1[[#This Row],[QTDE/ Fabricação]]-Tabela1[[#This Row],[QTE]]</f>
        <v>-2</v>
      </c>
      <c r="R907" s="18">
        <f t="shared" si="184"/>
        <v>0</v>
      </c>
      <c r="S907" s="18">
        <f t="shared" si="185"/>
        <v>0</v>
      </c>
      <c r="T907" s="19">
        <f t="shared" si="186"/>
        <v>-37.08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7"/>
        <v>-2</v>
      </c>
      <c r="Z907" s="20">
        <f>Tabela1[[#This Row],[PESO TOTAL]]-Tabela1[[#This Row],[Peso Expedido]]</f>
        <v>37.08</v>
      </c>
      <c r="AA907" s="17"/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5130</v>
      </c>
      <c r="B908" s="21" t="s">
        <v>5131</v>
      </c>
      <c r="C908" s="1">
        <v>1</v>
      </c>
      <c r="D908" s="1" t="s">
        <v>5132</v>
      </c>
      <c r="E908" s="7">
        <v>4563</v>
      </c>
      <c r="F908" s="7">
        <v>58</v>
      </c>
      <c r="G908" s="1">
        <v>82.5</v>
      </c>
      <c r="H908" s="34">
        <f>Tabela1[[#This Row],[PESO UNI]]*Tabela1[[#This Row],[QTE]]</f>
        <v>82.5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5119</v>
      </c>
      <c r="O908" s="12"/>
      <c r="P908" s="13"/>
      <c r="Q908" s="14">
        <f>Tabela1[[#This Row],[QTDE/ Fabricação]]-Tabela1[[#This Row],[QTE]]</f>
        <v>-1</v>
      </c>
      <c r="R908" s="18">
        <f t="shared" si="184"/>
        <v>0</v>
      </c>
      <c r="S908" s="18">
        <f t="shared" si="185"/>
        <v>0</v>
      </c>
      <c r="T908" s="19">
        <f t="shared" si="186"/>
        <v>-82.5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7"/>
        <v>-1</v>
      </c>
      <c r="Z908" s="20">
        <f>Tabela1[[#This Row],[PESO TOTAL]]-Tabela1[[#This Row],[Peso Expedido]]</f>
        <v>82.5</v>
      </c>
      <c r="AA908" s="17"/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5130</v>
      </c>
      <c r="B909" s="21" t="s">
        <v>5131</v>
      </c>
      <c r="C909" s="1">
        <v>1</v>
      </c>
      <c r="D909" s="1" t="s">
        <v>5133</v>
      </c>
      <c r="E909" s="7">
        <v>4564</v>
      </c>
      <c r="F909" s="7">
        <v>58</v>
      </c>
      <c r="G909" s="1">
        <v>81.86</v>
      </c>
      <c r="H909" s="34">
        <f>Tabela1[[#This Row],[PESO UNI]]*Tabela1[[#This Row],[QTE]]</f>
        <v>81.86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5119</v>
      </c>
      <c r="O909" s="12"/>
      <c r="P909" s="13"/>
      <c r="Q909" s="14">
        <f>Tabela1[[#This Row],[QTDE/ Fabricação]]-Tabela1[[#This Row],[QTE]]</f>
        <v>-1</v>
      </c>
      <c r="R909" s="18">
        <f t="shared" si="184"/>
        <v>0</v>
      </c>
      <c r="S909" s="18">
        <f t="shared" si="185"/>
        <v>0</v>
      </c>
      <c r="T909" s="19">
        <f t="shared" si="186"/>
        <v>-81.86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7"/>
        <v>-1</v>
      </c>
      <c r="Z909" s="20">
        <f>Tabela1[[#This Row],[PESO TOTAL]]-Tabela1[[#This Row],[Peso Expedido]]</f>
        <v>81.86</v>
      </c>
      <c r="AA909" s="17"/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5134</v>
      </c>
      <c r="B910" s="21" t="s">
        <v>5135</v>
      </c>
      <c r="C910" s="1">
        <v>3</v>
      </c>
      <c r="D910" s="1" t="s">
        <v>5136</v>
      </c>
      <c r="E910" s="7">
        <v>4565</v>
      </c>
      <c r="F910" s="7">
        <v>58</v>
      </c>
      <c r="G910" s="1">
        <v>83.82</v>
      </c>
      <c r="H910" s="34">
        <f>Tabela1[[#This Row],[PESO UNI]]*Tabela1[[#This Row],[QTE]]</f>
        <v>251.45999999999998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5119</v>
      </c>
      <c r="O910" s="12"/>
      <c r="P910" s="13"/>
      <c r="Q910" s="14">
        <f>Tabela1[[#This Row],[QTDE/ Fabricação]]-Tabela1[[#This Row],[QTE]]</f>
        <v>-3</v>
      </c>
      <c r="R910" s="18">
        <f t="shared" si="184"/>
        <v>0</v>
      </c>
      <c r="S910" s="18">
        <f t="shared" si="185"/>
        <v>0</v>
      </c>
      <c r="T910" s="19">
        <f t="shared" si="186"/>
        <v>-251.45999999999998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7"/>
        <v>-3</v>
      </c>
      <c r="Z910" s="20">
        <f>Tabela1[[#This Row],[PESO TOTAL]]-Tabela1[[#This Row],[Peso Expedido]]</f>
        <v>251.45999999999998</v>
      </c>
      <c r="AA910" s="17"/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5134</v>
      </c>
      <c r="B911" s="21" t="s">
        <v>5135</v>
      </c>
      <c r="C911" s="1">
        <v>2</v>
      </c>
      <c r="D911" s="1" t="s">
        <v>5137</v>
      </c>
      <c r="E911" s="7">
        <v>4566</v>
      </c>
      <c r="F911" s="7">
        <v>58</v>
      </c>
      <c r="G911" s="1">
        <v>85.1</v>
      </c>
      <c r="H911" s="34">
        <f>Tabela1[[#This Row],[PESO UNI]]*Tabela1[[#This Row],[QTE]]</f>
        <v>170.2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5119</v>
      </c>
      <c r="O911" s="12"/>
      <c r="P911" s="13"/>
      <c r="Q911" s="14">
        <f>Tabela1[[#This Row],[QTDE/ Fabricação]]-Tabela1[[#This Row],[QTE]]</f>
        <v>-2</v>
      </c>
      <c r="R911" s="18">
        <f t="shared" si="184"/>
        <v>0</v>
      </c>
      <c r="S911" s="18">
        <f t="shared" si="185"/>
        <v>0</v>
      </c>
      <c r="T911" s="19">
        <f t="shared" si="186"/>
        <v>-170.2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7"/>
        <v>-2</v>
      </c>
      <c r="Z911" s="20">
        <f>Tabela1[[#This Row],[PESO TOTAL]]-Tabela1[[#This Row],[Peso Expedido]]</f>
        <v>170.2</v>
      </c>
      <c r="AA911" s="17"/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5138</v>
      </c>
      <c r="B912" s="21" t="s">
        <v>5139</v>
      </c>
      <c r="C912" s="1">
        <v>1</v>
      </c>
      <c r="D912" s="1" t="s">
        <v>5140</v>
      </c>
      <c r="E912" s="7">
        <v>4567</v>
      </c>
      <c r="F912" s="7">
        <v>58</v>
      </c>
      <c r="G912" s="1">
        <v>86.97</v>
      </c>
      <c r="H912" s="34">
        <f>Tabela1[[#This Row],[PESO UNI]]*Tabela1[[#This Row],[QTE]]</f>
        <v>86.97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5119</v>
      </c>
      <c r="O912" s="12"/>
      <c r="P912" s="13"/>
      <c r="Q912" s="14">
        <f>Tabela1[[#This Row],[QTDE/ Fabricação]]-Tabela1[[#This Row],[QTE]]</f>
        <v>-1</v>
      </c>
      <c r="R912" s="18">
        <f t="shared" si="184"/>
        <v>0</v>
      </c>
      <c r="S912" s="18">
        <f t="shared" si="185"/>
        <v>0</v>
      </c>
      <c r="T912" s="19">
        <f t="shared" si="186"/>
        <v>-86.97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7"/>
        <v>-1</v>
      </c>
      <c r="Z912" s="20">
        <f>Tabela1[[#This Row],[PESO TOTAL]]-Tabela1[[#This Row],[Peso Expedido]]</f>
        <v>86.97</v>
      </c>
      <c r="AA912" s="17"/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5138</v>
      </c>
      <c r="B913" s="21" t="s">
        <v>5139</v>
      </c>
      <c r="C913" s="1">
        <v>1</v>
      </c>
      <c r="D913" s="1" t="s">
        <v>5141</v>
      </c>
      <c r="E913" s="7">
        <v>4568</v>
      </c>
      <c r="F913" s="7">
        <v>58</v>
      </c>
      <c r="G913" s="1">
        <v>87.61</v>
      </c>
      <c r="H913" s="34">
        <f>Tabela1[[#This Row],[PESO UNI]]*Tabela1[[#This Row],[QTE]]</f>
        <v>87.61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5119</v>
      </c>
      <c r="O913" s="12"/>
      <c r="P913" s="13"/>
      <c r="Q913" s="14">
        <f>Tabela1[[#This Row],[QTDE/ Fabricação]]-Tabela1[[#This Row],[QTE]]</f>
        <v>-1</v>
      </c>
      <c r="R913" s="18">
        <f t="shared" si="184"/>
        <v>0</v>
      </c>
      <c r="S913" s="18">
        <f t="shared" si="185"/>
        <v>0</v>
      </c>
      <c r="T913" s="19">
        <f t="shared" si="186"/>
        <v>-87.61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7"/>
        <v>-1</v>
      </c>
      <c r="Z913" s="20">
        <f>Tabela1[[#This Row],[PESO TOTAL]]-Tabela1[[#This Row],[Peso Expedido]]</f>
        <v>87.61</v>
      </c>
      <c r="AA913" s="17"/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5142</v>
      </c>
      <c r="B914" s="21" t="s">
        <v>5143</v>
      </c>
      <c r="C914" s="1">
        <v>4</v>
      </c>
      <c r="D914" s="1" t="s">
        <v>5144</v>
      </c>
      <c r="E914" s="7">
        <v>4569</v>
      </c>
      <c r="F914" s="7">
        <v>58</v>
      </c>
      <c r="G914" s="1">
        <v>26.26</v>
      </c>
      <c r="H914" s="34">
        <f>Tabela1[[#This Row],[PESO UNI]]*Tabela1[[#This Row],[QTE]]</f>
        <v>105.04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5119</v>
      </c>
      <c r="O914" s="12"/>
      <c r="P914" s="13"/>
      <c r="Q914" s="14">
        <f>Tabela1[[#This Row],[QTDE/ Fabricação]]-Tabela1[[#This Row],[QTE]]</f>
        <v>-4</v>
      </c>
      <c r="R914" s="18">
        <f t="shared" si="184"/>
        <v>0</v>
      </c>
      <c r="S914" s="18">
        <f t="shared" si="185"/>
        <v>0</v>
      </c>
      <c r="T914" s="19">
        <f t="shared" si="186"/>
        <v>-105.04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7"/>
        <v>-4</v>
      </c>
      <c r="Z914" s="20">
        <f>Tabela1[[#This Row],[PESO TOTAL]]-Tabela1[[#This Row],[Peso Expedido]]</f>
        <v>105.04</v>
      </c>
      <c r="AA914" s="17"/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5142</v>
      </c>
      <c r="B915" s="21" t="s">
        <v>5143</v>
      </c>
      <c r="C915" s="1">
        <v>4</v>
      </c>
      <c r="D915" s="1" t="s">
        <v>5145</v>
      </c>
      <c r="E915" s="7">
        <v>4570</v>
      </c>
      <c r="F915" s="7">
        <v>58</v>
      </c>
      <c r="G915" s="1">
        <v>31.82</v>
      </c>
      <c r="H915" s="34">
        <f>Tabela1[[#This Row],[PESO UNI]]*Tabela1[[#This Row],[QTE]]</f>
        <v>127.28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5119</v>
      </c>
      <c r="O915" s="12"/>
      <c r="P915" s="13"/>
      <c r="Q915" s="14">
        <f>Tabela1[[#This Row],[QTDE/ Fabricação]]-Tabela1[[#This Row],[QTE]]</f>
        <v>-4</v>
      </c>
      <c r="R915" s="18">
        <f t="shared" si="184"/>
        <v>0</v>
      </c>
      <c r="S915" s="18">
        <f t="shared" si="185"/>
        <v>0</v>
      </c>
      <c r="T915" s="19">
        <f t="shared" si="186"/>
        <v>-127.28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7"/>
        <v>-4</v>
      </c>
      <c r="Z915" s="20">
        <f>Tabela1[[#This Row],[PESO TOTAL]]-Tabela1[[#This Row],[Peso Expedido]]</f>
        <v>127.28</v>
      </c>
      <c r="AA915" s="17"/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5142</v>
      </c>
      <c r="B916" s="21" t="s">
        <v>5143</v>
      </c>
      <c r="C916" s="1">
        <v>4</v>
      </c>
      <c r="D916" s="1" t="s">
        <v>5146</v>
      </c>
      <c r="E916" s="7">
        <v>4571</v>
      </c>
      <c r="F916" s="7">
        <v>58</v>
      </c>
      <c r="G916" s="1">
        <v>30.1</v>
      </c>
      <c r="H916" s="34">
        <f>Tabela1[[#This Row],[PESO UNI]]*Tabela1[[#This Row],[QTE]]</f>
        <v>120.4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5119</v>
      </c>
      <c r="O916" s="12"/>
      <c r="P916" s="13"/>
      <c r="Q916" s="14">
        <f>Tabela1[[#This Row],[QTDE/ Fabricação]]-Tabela1[[#This Row],[QTE]]</f>
        <v>-4</v>
      </c>
      <c r="R916" s="18">
        <f t="shared" si="184"/>
        <v>0</v>
      </c>
      <c r="S916" s="18">
        <f t="shared" si="185"/>
        <v>0</v>
      </c>
      <c r="T916" s="19">
        <f t="shared" si="186"/>
        <v>-120.4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7"/>
        <v>-4</v>
      </c>
      <c r="Z916" s="20">
        <f>Tabela1[[#This Row],[PESO TOTAL]]-Tabela1[[#This Row],[Peso Expedido]]</f>
        <v>120.4</v>
      </c>
      <c r="AA916" s="17"/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5142</v>
      </c>
      <c r="B917" s="21" t="s">
        <v>5143</v>
      </c>
      <c r="C917" s="1">
        <v>4</v>
      </c>
      <c r="D917" s="1" t="s">
        <v>5147</v>
      </c>
      <c r="E917" s="7">
        <v>4572</v>
      </c>
      <c r="F917" s="7">
        <v>58</v>
      </c>
      <c r="G917" s="1">
        <v>34.200000000000003</v>
      </c>
      <c r="H917" s="34">
        <f>Tabela1[[#This Row],[PESO UNI]]*Tabela1[[#This Row],[QTE]]</f>
        <v>136.80000000000001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5119</v>
      </c>
      <c r="O917" s="12"/>
      <c r="P917" s="13"/>
      <c r="Q917" s="14">
        <f>Tabela1[[#This Row],[QTDE/ Fabricação]]-Tabela1[[#This Row],[QTE]]</f>
        <v>-4</v>
      </c>
      <c r="R917" s="18">
        <f t="shared" si="184"/>
        <v>0</v>
      </c>
      <c r="S917" s="18">
        <f t="shared" si="185"/>
        <v>0</v>
      </c>
      <c r="T917" s="19">
        <f t="shared" si="186"/>
        <v>-136.80000000000001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7"/>
        <v>-4</v>
      </c>
      <c r="Z917" s="20">
        <f>Tabela1[[#This Row],[PESO TOTAL]]-Tabela1[[#This Row],[Peso Expedido]]</f>
        <v>136.80000000000001</v>
      </c>
      <c r="AA917" s="17"/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5142</v>
      </c>
      <c r="B918" s="21" t="s">
        <v>5143</v>
      </c>
      <c r="C918" s="1">
        <v>2</v>
      </c>
      <c r="D918" s="1" t="s">
        <v>5148</v>
      </c>
      <c r="E918" s="7">
        <v>4573</v>
      </c>
      <c r="F918" s="7">
        <v>58</v>
      </c>
      <c r="G918" s="1">
        <v>29.36</v>
      </c>
      <c r="H918" s="34">
        <f>Tabela1[[#This Row],[PESO UNI]]*Tabela1[[#This Row],[QTE]]</f>
        <v>58.72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5119</v>
      </c>
      <c r="O918" s="12"/>
      <c r="P918" s="13"/>
      <c r="Q918" s="14">
        <f>Tabela1[[#This Row],[QTDE/ Fabricação]]-Tabela1[[#This Row],[QTE]]</f>
        <v>-2</v>
      </c>
      <c r="R918" s="18">
        <f t="shared" si="184"/>
        <v>0</v>
      </c>
      <c r="S918" s="18">
        <f t="shared" si="185"/>
        <v>0</v>
      </c>
      <c r="T918" s="19">
        <f t="shared" si="186"/>
        <v>-58.72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7"/>
        <v>-2</v>
      </c>
      <c r="Z918" s="20">
        <f>Tabela1[[#This Row],[PESO TOTAL]]-Tabela1[[#This Row],[Peso Expedido]]</f>
        <v>58.72</v>
      </c>
      <c r="AA918" s="17"/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5142</v>
      </c>
      <c r="B919" s="21" t="s">
        <v>5143</v>
      </c>
      <c r="C919" s="1">
        <v>2</v>
      </c>
      <c r="D919" s="1" t="s">
        <v>5149</v>
      </c>
      <c r="E919" s="7">
        <v>4574</v>
      </c>
      <c r="F919" s="7">
        <v>58</v>
      </c>
      <c r="G919" s="1">
        <v>27.46</v>
      </c>
      <c r="H919" s="34">
        <f>Tabela1[[#This Row],[PESO UNI]]*Tabela1[[#This Row],[QTE]]</f>
        <v>54.92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5119</v>
      </c>
      <c r="O919" s="12"/>
      <c r="P919" s="13"/>
      <c r="Q919" s="14">
        <f>Tabela1[[#This Row],[QTDE/ Fabricação]]-Tabela1[[#This Row],[QTE]]</f>
        <v>-2</v>
      </c>
      <c r="R919" s="18">
        <f t="shared" si="184"/>
        <v>0</v>
      </c>
      <c r="S919" s="18">
        <f t="shared" si="185"/>
        <v>0</v>
      </c>
      <c r="T919" s="19">
        <f t="shared" si="186"/>
        <v>-54.92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7"/>
        <v>-2</v>
      </c>
      <c r="Z919" s="20">
        <f>Tabela1[[#This Row],[PESO TOTAL]]-Tabela1[[#This Row],[Peso Expedido]]</f>
        <v>54.92</v>
      </c>
      <c r="AA919" s="17"/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5142</v>
      </c>
      <c r="B920" s="21" t="s">
        <v>5143</v>
      </c>
      <c r="C920" s="1">
        <v>2</v>
      </c>
      <c r="D920" s="1" t="s">
        <v>5151</v>
      </c>
      <c r="E920" s="7">
        <v>4575</v>
      </c>
      <c r="F920" s="7">
        <v>58</v>
      </c>
      <c r="G920" s="1">
        <v>71.62</v>
      </c>
      <c r="H920" s="34">
        <f>Tabela1[[#This Row],[PESO UNI]]*Tabela1[[#This Row],[QTE]]</f>
        <v>143.24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5119</v>
      </c>
      <c r="O920" s="12"/>
      <c r="P920" s="13"/>
      <c r="Q920" s="14">
        <f>Tabela1[[#This Row],[QTDE/ Fabricação]]-Tabela1[[#This Row],[QTE]]</f>
        <v>-2</v>
      </c>
      <c r="R920" s="18">
        <f t="shared" si="184"/>
        <v>0</v>
      </c>
      <c r="S920" s="18">
        <f t="shared" si="185"/>
        <v>0</v>
      </c>
      <c r="T920" s="19">
        <f t="shared" si="186"/>
        <v>-143.24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7"/>
        <v>-2</v>
      </c>
      <c r="Z920" s="20">
        <f>Tabela1[[#This Row],[PESO TOTAL]]-Tabela1[[#This Row],[Peso Expedido]]</f>
        <v>143.24</v>
      </c>
      <c r="AA920" s="17"/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5142</v>
      </c>
      <c r="B921" s="21" t="s">
        <v>5143</v>
      </c>
      <c r="C921" s="1">
        <v>2</v>
      </c>
      <c r="D921" s="1" t="s">
        <v>5150</v>
      </c>
      <c r="E921" s="7">
        <v>4576</v>
      </c>
      <c r="F921" s="7">
        <v>58</v>
      </c>
      <c r="G921" s="1">
        <v>82.73</v>
      </c>
      <c r="H921" s="34">
        <f>Tabela1[[#This Row],[PESO UNI]]*Tabela1[[#This Row],[QTE]]</f>
        <v>165.46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5119</v>
      </c>
      <c r="O921" s="12"/>
      <c r="P921" s="13"/>
      <c r="Q921" s="14">
        <f>Tabela1[[#This Row],[QTDE/ Fabricação]]-Tabela1[[#This Row],[QTE]]</f>
        <v>-2</v>
      </c>
      <c r="R921" s="18">
        <f t="shared" si="184"/>
        <v>0</v>
      </c>
      <c r="S921" s="18">
        <f t="shared" si="185"/>
        <v>0</v>
      </c>
      <c r="T921" s="19">
        <f t="shared" si="186"/>
        <v>-165.46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7"/>
        <v>-2</v>
      </c>
      <c r="Z921" s="20">
        <f>Tabela1[[#This Row],[PESO TOTAL]]-Tabela1[[#This Row],[Peso Expedido]]</f>
        <v>165.46</v>
      </c>
      <c r="AA921" s="17"/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5152</v>
      </c>
      <c r="B922" s="21" t="s">
        <v>5153</v>
      </c>
      <c r="C922" s="1">
        <v>1</v>
      </c>
      <c r="D922" s="1" t="s">
        <v>5154</v>
      </c>
      <c r="E922" s="7">
        <v>4577</v>
      </c>
      <c r="F922" s="7">
        <v>58</v>
      </c>
      <c r="G922" s="1">
        <v>92.27</v>
      </c>
      <c r="H922" s="34">
        <f>Tabela1[[#This Row],[PESO UNI]]*Tabela1[[#This Row],[QTE]]</f>
        <v>92.27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5119</v>
      </c>
      <c r="O922" s="12"/>
      <c r="P922" s="13"/>
      <c r="Q922" s="14">
        <f>Tabela1[[#This Row],[QTDE/ Fabricação]]-Tabela1[[#This Row],[QTE]]</f>
        <v>-1</v>
      </c>
      <c r="R922" s="18">
        <f t="shared" si="184"/>
        <v>0</v>
      </c>
      <c r="S922" s="18">
        <f t="shared" si="185"/>
        <v>0</v>
      </c>
      <c r="T922" s="19">
        <f t="shared" si="186"/>
        <v>-92.27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7"/>
        <v>-1</v>
      </c>
      <c r="Z922" s="20">
        <f>Tabela1[[#This Row],[PESO TOTAL]]-Tabela1[[#This Row],[Peso Expedido]]</f>
        <v>92.27</v>
      </c>
      <c r="AA922" s="17"/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5152</v>
      </c>
      <c r="B923" s="21" t="s">
        <v>5153</v>
      </c>
      <c r="C923" s="1">
        <v>1</v>
      </c>
      <c r="D923" s="1" t="s">
        <v>5155</v>
      </c>
      <c r="E923" s="7">
        <v>4578</v>
      </c>
      <c r="F923" s="7">
        <v>58</v>
      </c>
      <c r="G923" s="1">
        <v>93.32</v>
      </c>
      <c r="H923" s="34">
        <f>Tabela1[[#This Row],[PESO UNI]]*Tabela1[[#This Row],[QTE]]</f>
        <v>93.32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5119</v>
      </c>
      <c r="O923" s="12"/>
      <c r="P923" s="13"/>
      <c r="Q923" s="14">
        <f>Tabela1[[#This Row],[QTDE/ Fabricação]]-Tabela1[[#This Row],[QTE]]</f>
        <v>-1</v>
      </c>
      <c r="R923" s="18">
        <f t="shared" si="184"/>
        <v>0</v>
      </c>
      <c r="S923" s="18">
        <f t="shared" si="185"/>
        <v>0</v>
      </c>
      <c r="T923" s="19">
        <f t="shared" si="186"/>
        <v>-93.32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7"/>
        <v>-1</v>
      </c>
      <c r="Z923" s="20">
        <f>Tabela1[[#This Row],[PESO TOTAL]]-Tabela1[[#This Row],[Peso Expedido]]</f>
        <v>93.32</v>
      </c>
      <c r="AA923" s="17"/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5152</v>
      </c>
      <c r="B924" s="21" t="s">
        <v>5153</v>
      </c>
      <c r="C924" s="1">
        <v>1</v>
      </c>
      <c r="D924" s="1" t="s">
        <v>5156</v>
      </c>
      <c r="E924" s="7">
        <v>4579</v>
      </c>
      <c r="F924" s="7">
        <v>58</v>
      </c>
      <c r="G924" s="1">
        <v>60.64</v>
      </c>
      <c r="H924" s="34">
        <f>Tabela1[[#This Row],[PESO UNI]]*Tabela1[[#This Row],[QTE]]</f>
        <v>60.64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5119</v>
      </c>
      <c r="O924" s="12"/>
      <c r="P924" s="13"/>
      <c r="Q924" s="14">
        <f>Tabela1[[#This Row],[QTDE/ Fabricação]]-Tabela1[[#This Row],[QTE]]</f>
        <v>-1</v>
      </c>
      <c r="R924" s="18">
        <f t="shared" si="184"/>
        <v>0</v>
      </c>
      <c r="S924" s="18">
        <f t="shared" si="185"/>
        <v>0</v>
      </c>
      <c r="T924" s="19">
        <f t="shared" si="186"/>
        <v>-60.64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7"/>
        <v>-1</v>
      </c>
      <c r="Z924" s="20">
        <f>Tabela1[[#This Row],[PESO TOTAL]]-Tabela1[[#This Row],[Peso Expedido]]</f>
        <v>60.64</v>
      </c>
      <c r="AA924" s="17"/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5152</v>
      </c>
      <c r="B925" s="21" t="s">
        <v>5153</v>
      </c>
      <c r="C925" s="1">
        <v>2</v>
      </c>
      <c r="D925" s="1" t="s">
        <v>5157</v>
      </c>
      <c r="E925" s="7">
        <v>4580</v>
      </c>
      <c r="F925" s="7">
        <v>58</v>
      </c>
      <c r="G925" s="1">
        <v>91.98</v>
      </c>
      <c r="H925" s="34">
        <f>Tabela1[[#This Row],[PESO UNI]]*Tabela1[[#This Row],[QTE]]</f>
        <v>183.96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5119</v>
      </c>
      <c r="O925" s="12"/>
      <c r="P925" s="13"/>
      <c r="Q925" s="14">
        <f>Tabela1[[#This Row],[QTDE/ Fabricação]]-Tabela1[[#This Row],[QTE]]</f>
        <v>-2</v>
      </c>
      <c r="R925" s="18">
        <f t="shared" si="184"/>
        <v>0</v>
      </c>
      <c r="S925" s="18">
        <f t="shared" si="185"/>
        <v>0</v>
      </c>
      <c r="T925" s="19">
        <f t="shared" si="186"/>
        <v>-183.96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7"/>
        <v>-2</v>
      </c>
      <c r="Z925" s="20">
        <f>Tabela1[[#This Row],[PESO TOTAL]]-Tabela1[[#This Row],[Peso Expedido]]</f>
        <v>183.96</v>
      </c>
      <c r="AA925" s="17"/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5152</v>
      </c>
      <c r="B926" s="21" t="s">
        <v>5153</v>
      </c>
      <c r="C926" s="1">
        <v>1</v>
      </c>
      <c r="D926" s="1" t="s">
        <v>5158</v>
      </c>
      <c r="E926" s="7">
        <v>4581</v>
      </c>
      <c r="F926" s="7">
        <v>58</v>
      </c>
      <c r="G926" s="1">
        <v>26.04</v>
      </c>
      <c r="H926" s="34">
        <f>Tabela1[[#This Row],[PESO UNI]]*Tabela1[[#This Row],[QTE]]</f>
        <v>26.04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5119</v>
      </c>
      <c r="O926" s="12"/>
      <c r="P926" s="13"/>
      <c r="Q926" s="14">
        <f>Tabela1[[#This Row],[QTDE/ Fabricação]]-Tabela1[[#This Row],[QTE]]</f>
        <v>-1</v>
      </c>
      <c r="R926" s="18">
        <f t="shared" si="184"/>
        <v>0</v>
      </c>
      <c r="S926" s="18">
        <f t="shared" si="185"/>
        <v>0</v>
      </c>
      <c r="T926" s="19">
        <f t="shared" si="186"/>
        <v>-26.04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7"/>
        <v>-1</v>
      </c>
      <c r="Z926" s="20">
        <f>Tabela1[[#This Row],[PESO TOTAL]]-Tabela1[[#This Row],[Peso Expedido]]</f>
        <v>26.04</v>
      </c>
      <c r="AA926" s="17"/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5152</v>
      </c>
      <c r="B927" s="21" t="s">
        <v>5153</v>
      </c>
      <c r="C927" s="1">
        <v>1</v>
      </c>
      <c r="D927" s="1" t="s">
        <v>5159</v>
      </c>
      <c r="E927" s="7">
        <v>4582</v>
      </c>
      <c r="F927" s="7">
        <v>58</v>
      </c>
      <c r="G927" s="1">
        <v>26.04</v>
      </c>
      <c r="H927" s="34">
        <f>Tabela1[[#This Row],[PESO UNI]]*Tabela1[[#This Row],[QTE]]</f>
        <v>26.04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5119</v>
      </c>
      <c r="O927" s="12"/>
      <c r="P927" s="13"/>
      <c r="Q927" s="14">
        <f>Tabela1[[#This Row],[QTDE/ Fabricação]]-Tabela1[[#This Row],[QTE]]</f>
        <v>-1</v>
      </c>
      <c r="R927" s="18">
        <f t="shared" si="184"/>
        <v>0</v>
      </c>
      <c r="S927" s="18">
        <f t="shared" si="185"/>
        <v>0</v>
      </c>
      <c r="T927" s="19">
        <f t="shared" si="186"/>
        <v>-26.04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7"/>
        <v>-1</v>
      </c>
      <c r="Z927" s="20">
        <f>Tabela1[[#This Row],[PESO TOTAL]]-Tabela1[[#This Row],[Peso Expedido]]</f>
        <v>26.04</v>
      </c>
      <c r="AA927" s="17"/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5152</v>
      </c>
      <c r="B928" s="21" t="s">
        <v>5153</v>
      </c>
      <c r="C928" s="1">
        <v>1</v>
      </c>
      <c r="D928" s="1" t="s">
        <v>5160</v>
      </c>
      <c r="E928" s="7">
        <v>4583</v>
      </c>
      <c r="F928" s="7">
        <v>58</v>
      </c>
      <c r="G928" s="1">
        <v>177.93</v>
      </c>
      <c r="H928" s="34">
        <f>Tabela1[[#This Row],[PESO UNI]]*Tabela1[[#This Row],[QTE]]</f>
        <v>177.93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5119</v>
      </c>
      <c r="O928" s="12"/>
      <c r="P928" s="13"/>
      <c r="Q928" s="14">
        <f>Tabela1[[#This Row],[QTDE/ Fabricação]]-Tabela1[[#This Row],[QTE]]</f>
        <v>-1</v>
      </c>
      <c r="R928" s="18">
        <f t="shared" si="184"/>
        <v>0</v>
      </c>
      <c r="S928" s="18">
        <f t="shared" si="185"/>
        <v>0</v>
      </c>
      <c r="T928" s="19">
        <f t="shared" si="186"/>
        <v>-177.93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7"/>
        <v>-1</v>
      </c>
      <c r="Z928" s="20">
        <f>Tabela1[[#This Row],[PESO TOTAL]]-Tabela1[[#This Row],[Peso Expedido]]</f>
        <v>177.93</v>
      </c>
      <c r="AA928" s="17"/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5152</v>
      </c>
      <c r="B929" s="21" t="s">
        <v>5153</v>
      </c>
      <c r="C929" s="1">
        <v>1</v>
      </c>
      <c r="D929" s="1" t="s">
        <v>5161</v>
      </c>
      <c r="E929" s="7">
        <v>4584</v>
      </c>
      <c r="F929" s="7">
        <v>58</v>
      </c>
      <c r="G929" s="1">
        <v>177.93</v>
      </c>
      <c r="H929" s="34">
        <f>Tabela1[[#This Row],[PESO UNI]]*Tabela1[[#This Row],[QTE]]</f>
        <v>177.93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5119</v>
      </c>
      <c r="O929" s="12"/>
      <c r="P929" s="13"/>
      <c r="Q929" s="14">
        <f>Tabela1[[#This Row],[QTDE/ Fabricação]]-Tabela1[[#This Row],[QTE]]</f>
        <v>-1</v>
      </c>
      <c r="R929" s="18">
        <f t="shared" si="184"/>
        <v>0</v>
      </c>
      <c r="S929" s="18">
        <f t="shared" si="185"/>
        <v>0</v>
      </c>
      <c r="T929" s="19">
        <f t="shared" si="186"/>
        <v>-177.93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si="187"/>
        <v>-1</v>
      </c>
      <c r="Z929" s="20">
        <f>Tabela1[[#This Row],[PESO TOTAL]]-Tabela1[[#This Row],[Peso Expedido]]</f>
        <v>177.93</v>
      </c>
      <c r="AA929" s="17"/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5162</v>
      </c>
      <c r="B930" s="21" t="s">
        <v>5163</v>
      </c>
      <c r="C930" s="1">
        <v>2</v>
      </c>
      <c r="D930" s="1" t="s">
        <v>5164</v>
      </c>
      <c r="E930" s="7">
        <v>4585</v>
      </c>
      <c r="F930" s="7">
        <v>58</v>
      </c>
      <c r="G930" s="1">
        <v>102.33</v>
      </c>
      <c r="H930" s="34">
        <f>Tabela1[[#This Row],[PESO UNI]]*Tabela1[[#This Row],[QTE]]</f>
        <v>204.66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5119</v>
      </c>
      <c r="O930" s="12"/>
      <c r="P930" s="13"/>
      <c r="Q930" s="14">
        <f>Tabela1[[#This Row],[QTDE/ Fabricação]]-Tabela1[[#This Row],[QTE]]</f>
        <v>-2</v>
      </c>
      <c r="R930" s="18">
        <f t="shared" si="184"/>
        <v>0</v>
      </c>
      <c r="S930" s="18">
        <f t="shared" si="185"/>
        <v>0</v>
      </c>
      <c r="T930" s="19">
        <f t="shared" si="186"/>
        <v>-204.66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87"/>
        <v>-2</v>
      </c>
      <c r="Z930" s="20">
        <f>Tabela1[[#This Row],[PESO TOTAL]]-Tabela1[[#This Row],[Peso Expedido]]</f>
        <v>204.66</v>
      </c>
      <c r="AA930" s="17"/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5162</v>
      </c>
      <c r="B931" s="21" t="s">
        <v>5163</v>
      </c>
      <c r="C931" s="1">
        <v>2</v>
      </c>
      <c r="D931" s="1" t="s">
        <v>5165</v>
      </c>
      <c r="E931" s="7">
        <v>4586</v>
      </c>
      <c r="F931" s="7">
        <v>58</v>
      </c>
      <c r="G931" s="1">
        <v>111.41</v>
      </c>
      <c r="H931" s="34">
        <f>Tabela1[[#This Row],[PESO UNI]]*Tabela1[[#This Row],[QTE]]</f>
        <v>222.82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5119</v>
      </c>
      <c r="O931" s="12"/>
      <c r="P931" s="13"/>
      <c r="Q931" s="14">
        <f>Tabela1[[#This Row],[QTDE/ Fabricação]]-Tabela1[[#This Row],[QTE]]</f>
        <v>-2</v>
      </c>
      <c r="R931" s="18">
        <f t="shared" si="184"/>
        <v>0</v>
      </c>
      <c r="S931" s="18">
        <f t="shared" si="185"/>
        <v>0</v>
      </c>
      <c r="T931" s="19">
        <f t="shared" si="186"/>
        <v>-222.82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87"/>
        <v>-2</v>
      </c>
      <c r="Z931" s="20">
        <f>Tabela1[[#This Row],[PESO TOTAL]]-Tabela1[[#This Row],[Peso Expedido]]</f>
        <v>222.82</v>
      </c>
      <c r="AA931" s="17"/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5162</v>
      </c>
      <c r="B932" s="21" t="s">
        <v>5163</v>
      </c>
      <c r="C932" s="1">
        <v>1</v>
      </c>
      <c r="D932" s="1" t="s">
        <v>5166</v>
      </c>
      <c r="E932" s="7">
        <v>4587</v>
      </c>
      <c r="F932" s="7">
        <v>58</v>
      </c>
      <c r="G932" s="1">
        <v>107.64</v>
      </c>
      <c r="H932" s="34">
        <f>Tabela1[[#This Row],[PESO UNI]]*Tabela1[[#This Row],[QTE]]</f>
        <v>107.64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5119</v>
      </c>
      <c r="O932" s="12"/>
      <c r="P932" s="13"/>
      <c r="Q932" s="14">
        <f>Tabela1[[#This Row],[QTDE/ Fabricação]]-Tabela1[[#This Row],[QTE]]</f>
        <v>-1</v>
      </c>
      <c r="R932" s="18">
        <f t="shared" si="184"/>
        <v>0</v>
      </c>
      <c r="S932" s="18">
        <f t="shared" si="185"/>
        <v>0</v>
      </c>
      <c r="T932" s="19">
        <f t="shared" si="186"/>
        <v>-107.64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87"/>
        <v>-1</v>
      </c>
      <c r="Z932" s="20">
        <f>Tabela1[[#This Row],[PESO TOTAL]]-Tabela1[[#This Row],[Peso Expedido]]</f>
        <v>107.64</v>
      </c>
      <c r="AA932" s="17"/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5162</v>
      </c>
      <c r="B933" s="21" t="s">
        <v>5163</v>
      </c>
      <c r="C933" s="1">
        <v>2</v>
      </c>
      <c r="D933" s="1" t="s">
        <v>5167</v>
      </c>
      <c r="E933" s="7">
        <v>4588</v>
      </c>
      <c r="F933" s="7">
        <v>58</v>
      </c>
      <c r="G933" s="1">
        <v>148.63999999999999</v>
      </c>
      <c r="H933" s="34">
        <f>Tabela1[[#This Row],[PESO UNI]]*Tabela1[[#This Row],[QTE]]</f>
        <v>297.27999999999997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5119</v>
      </c>
      <c r="O933" s="12"/>
      <c r="P933" s="13"/>
      <c r="Q933" s="14">
        <f>Tabela1[[#This Row],[QTDE/ Fabricação]]-Tabela1[[#This Row],[QTE]]</f>
        <v>-2</v>
      </c>
      <c r="R933" s="18">
        <f t="shared" ref="R933:R964" si="188">IFERROR(H933*((AA933*0.25)+(AC933*0.25)+(AD933*0.225)+(AE933*0.225)+(AF933*0.05)),"")</f>
        <v>0</v>
      </c>
      <c r="S933" s="18">
        <f t="shared" ref="S933:S964" si="189">IFERROR(H933*AG933,"")</f>
        <v>0</v>
      </c>
      <c r="T933" s="19">
        <f t="shared" ref="T933:T964" si="190">IFERROR(S933-H933,"")</f>
        <v>-297.27999999999997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ref="Y933:Y964" si="191">U933-C933</f>
        <v>-2</v>
      </c>
      <c r="Z933" s="20">
        <f>Tabela1[[#This Row],[PESO TOTAL]]-Tabela1[[#This Row],[Peso Expedido]]</f>
        <v>297.27999999999997</v>
      </c>
      <c r="AA933" s="17"/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5162</v>
      </c>
      <c r="B934" s="21" t="s">
        <v>5163</v>
      </c>
      <c r="C934" s="1">
        <v>1</v>
      </c>
      <c r="D934" s="1" t="s">
        <v>5168</v>
      </c>
      <c r="E934" s="7">
        <v>4589</v>
      </c>
      <c r="F934" s="7">
        <v>58</v>
      </c>
      <c r="G934" s="1">
        <v>26.04</v>
      </c>
      <c r="H934" s="34">
        <f>Tabela1[[#This Row],[PESO UNI]]*Tabela1[[#This Row],[QTE]]</f>
        <v>26.04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5119</v>
      </c>
      <c r="O934" s="12"/>
      <c r="P934" s="13"/>
      <c r="Q934" s="14">
        <f>Tabela1[[#This Row],[QTDE/ Fabricação]]-Tabela1[[#This Row],[QTE]]</f>
        <v>-1</v>
      </c>
      <c r="R934" s="18">
        <f t="shared" si="188"/>
        <v>0</v>
      </c>
      <c r="S934" s="18">
        <f t="shared" si="189"/>
        <v>0</v>
      </c>
      <c r="T934" s="19">
        <f t="shared" si="190"/>
        <v>-26.04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1"/>
        <v>-1</v>
      </c>
      <c r="Z934" s="20">
        <f>Tabela1[[#This Row],[PESO TOTAL]]-Tabela1[[#This Row],[Peso Expedido]]</f>
        <v>26.04</v>
      </c>
      <c r="AA934" s="17"/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5162</v>
      </c>
      <c r="B935" s="21" t="s">
        <v>5163</v>
      </c>
      <c r="C935" s="1">
        <v>1</v>
      </c>
      <c r="D935" s="1" t="s">
        <v>5169</v>
      </c>
      <c r="E935" s="7">
        <v>4590</v>
      </c>
      <c r="F935" s="7">
        <v>58</v>
      </c>
      <c r="G935" s="1">
        <v>26.04</v>
      </c>
      <c r="H935" s="34">
        <f>Tabela1[[#This Row],[PESO UNI]]*Tabela1[[#This Row],[QTE]]</f>
        <v>26.04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5119</v>
      </c>
      <c r="O935" s="12"/>
      <c r="P935" s="13"/>
      <c r="Q935" s="14">
        <f>Tabela1[[#This Row],[QTDE/ Fabricação]]-Tabela1[[#This Row],[QTE]]</f>
        <v>-1</v>
      </c>
      <c r="R935" s="18">
        <f t="shared" si="188"/>
        <v>0</v>
      </c>
      <c r="S935" s="18">
        <f t="shared" si="189"/>
        <v>0</v>
      </c>
      <c r="T935" s="19">
        <f t="shared" si="190"/>
        <v>-26.04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si="191"/>
        <v>-1</v>
      </c>
      <c r="Z935" s="20">
        <f>Tabela1[[#This Row],[PESO TOTAL]]-Tabela1[[#This Row],[Peso Expedido]]</f>
        <v>26.04</v>
      </c>
      <c r="AA935" s="17"/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5162</v>
      </c>
      <c r="B936" s="21" t="s">
        <v>5163</v>
      </c>
      <c r="C936" s="1">
        <v>1</v>
      </c>
      <c r="D936" s="1" t="s">
        <v>5170</v>
      </c>
      <c r="E936" s="7">
        <v>4591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5119</v>
      </c>
      <c r="O936" s="12"/>
      <c r="P936" s="13"/>
      <c r="Q936" s="14">
        <f>Tabela1[[#This Row],[QTDE/ Fabricação]]-Tabela1[[#This Row],[QTE]]</f>
        <v>-1</v>
      </c>
      <c r="R936" s="18">
        <f t="shared" si="188"/>
        <v>0</v>
      </c>
      <c r="S936" s="18">
        <f t="shared" si="189"/>
        <v>0</v>
      </c>
      <c r="T936" s="19">
        <f t="shared" si="190"/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1"/>
        <v>-1</v>
      </c>
      <c r="Z936" s="20">
        <f>Tabela1[[#This Row],[PESO TOTAL]]-Tabela1[[#This Row],[Peso Expedido]]</f>
        <v>26.04</v>
      </c>
      <c r="AA936" s="17"/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5162</v>
      </c>
      <c r="B937" s="21" t="s">
        <v>5163</v>
      </c>
      <c r="C937" s="1">
        <v>1</v>
      </c>
      <c r="D937" s="1" t="s">
        <v>5171</v>
      </c>
      <c r="E937" s="7">
        <v>4592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5119</v>
      </c>
      <c r="O937" s="12"/>
      <c r="P937" s="13"/>
      <c r="Q937" s="14">
        <f>Tabela1[[#This Row],[QTDE/ Fabricação]]-Tabela1[[#This Row],[QTE]]</f>
        <v>-1</v>
      </c>
      <c r="R937" s="18">
        <f t="shared" si="188"/>
        <v>0</v>
      </c>
      <c r="S937" s="18">
        <f t="shared" si="189"/>
        <v>0</v>
      </c>
      <c r="T937" s="19">
        <f t="shared" si="190"/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1"/>
        <v>-1</v>
      </c>
      <c r="Z937" s="20">
        <f>Tabela1[[#This Row],[PESO TOTAL]]-Tabela1[[#This Row],[Peso Expedido]]</f>
        <v>26.04</v>
      </c>
      <c r="AA937" s="17"/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5162</v>
      </c>
      <c r="B938" s="21" t="s">
        <v>5163</v>
      </c>
      <c r="C938" s="1">
        <v>12</v>
      </c>
      <c r="D938" s="1" t="s">
        <v>5172</v>
      </c>
      <c r="E938" s="7">
        <v>4593</v>
      </c>
      <c r="F938" s="7">
        <v>58</v>
      </c>
      <c r="G938" s="1">
        <v>7.89</v>
      </c>
      <c r="H938" s="34">
        <f>Tabela1[[#This Row],[PESO UNI]]*Tabela1[[#This Row],[QTE]]</f>
        <v>94.679999999999993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5119</v>
      </c>
      <c r="O938" s="12"/>
      <c r="P938" s="13"/>
      <c r="Q938" s="14">
        <f>Tabela1[[#This Row],[QTDE/ Fabricação]]-Tabela1[[#This Row],[QTE]]</f>
        <v>-12</v>
      </c>
      <c r="R938" s="18">
        <f t="shared" si="188"/>
        <v>0</v>
      </c>
      <c r="S938" s="18">
        <f t="shared" si="189"/>
        <v>0</v>
      </c>
      <c r="T938" s="19">
        <f t="shared" si="190"/>
        <v>-94.679999999999993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1"/>
        <v>-12</v>
      </c>
      <c r="Z938" s="20">
        <f>Tabela1[[#This Row],[PESO TOTAL]]-Tabela1[[#This Row],[Peso Expedido]]</f>
        <v>94.679999999999993</v>
      </c>
      <c r="AA938" s="17"/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5162</v>
      </c>
      <c r="B939" s="21" t="s">
        <v>5163</v>
      </c>
      <c r="C939" s="1">
        <v>3</v>
      </c>
      <c r="D939" s="1" t="s">
        <v>5173</v>
      </c>
      <c r="E939" s="7">
        <v>4594</v>
      </c>
      <c r="F939" s="7">
        <v>58</v>
      </c>
      <c r="G939" s="1">
        <v>10.33</v>
      </c>
      <c r="H939" s="34">
        <f>Tabela1[[#This Row],[PESO UNI]]*Tabela1[[#This Row],[QTE]]</f>
        <v>30.990000000000002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5119</v>
      </c>
      <c r="O939" s="12"/>
      <c r="P939" s="13"/>
      <c r="Q939" s="14">
        <f>Tabela1[[#This Row],[QTDE/ Fabricação]]-Tabela1[[#This Row],[QTE]]</f>
        <v>-3</v>
      </c>
      <c r="R939" s="18">
        <f t="shared" si="188"/>
        <v>0</v>
      </c>
      <c r="S939" s="18">
        <f t="shared" si="189"/>
        <v>0</v>
      </c>
      <c r="T939" s="19">
        <f t="shared" si="190"/>
        <v>-30.990000000000002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1"/>
        <v>-3</v>
      </c>
      <c r="Z939" s="20">
        <f>Tabela1[[#This Row],[PESO TOTAL]]-Tabela1[[#This Row],[Peso Expedido]]</f>
        <v>30.990000000000002</v>
      </c>
      <c r="AA939" s="17"/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5162</v>
      </c>
      <c r="B940" s="21" t="s">
        <v>5163</v>
      </c>
      <c r="C940" s="1">
        <v>6</v>
      </c>
      <c r="D940" s="1" t="s">
        <v>5174</v>
      </c>
      <c r="E940" s="7">
        <v>4595</v>
      </c>
      <c r="F940" s="7">
        <v>58</v>
      </c>
      <c r="G940" s="1">
        <v>6.61</v>
      </c>
      <c r="H940" s="34">
        <f>Tabela1[[#This Row],[PESO UNI]]*Tabela1[[#This Row],[QTE]]</f>
        <v>39.660000000000004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5119</v>
      </c>
      <c r="O940" s="12"/>
      <c r="P940" s="13"/>
      <c r="Q940" s="14">
        <f>Tabela1[[#This Row],[QTDE/ Fabricação]]-Tabela1[[#This Row],[QTE]]</f>
        <v>-6</v>
      </c>
      <c r="R940" s="18">
        <f t="shared" si="188"/>
        <v>0</v>
      </c>
      <c r="S940" s="18">
        <f t="shared" si="189"/>
        <v>0</v>
      </c>
      <c r="T940" s="19">
        <f t="shared" si="190"/>
        <v>-39.660000000000004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1"/>
        <v>-6</v>
      </c>
      <c r="Z940" s="20">
        <f>Tabela1[[#This Row],[PESO TOTAL]]-Tabela1[[#This Row],[Peso Expedido]]</f>
        <v>39.660000000000004</v>
      </c>
      <c r="AA940" s="17"/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5175</v>
      </c>
      <c r="B941" s="21" t="s">
        <v>5176</v>
      </c>
      <c r="C941" s="1">
        <v>2</v>
      </c>
      <c r="D941" s="1" t="s">
        <v>5177</v>
      </c>
      <c r="E941" s="7">
        <v>4596</v>
      </c>
      <c r="F941" s="7">
        <v>58</v>
      </c>
      <c r="G941" s="1">
        <v>96.54</v>
      </c>
      <c r="H941" s="34">
        <f>Tabela1[[#This Row],[PESO UNI]]*Tabela1[[#This Row],[QTE]]</f>
        <v>193.08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5119</v>
      </c>
      <c r="O941" s="12"/>
      <c r="P941" s="13"/>
      <c r="Q941" s="14">
        <f>Tabela1[[#This Row],[QTDE/ Fabricação]]-Tabela1[[#This Row],[QTE]]</f>
        <v>-2</v>
      </c>
      <c r="R941" s="18">
        <f t="shared" si="188"/>
        <v>0</v>
      </c>
      <c r="S941" s="18">
        <f t="shared" si="189"/>
        <v>0</v>
      </c>
      <c r="T941" s="19">
        <f t="shared" si="190"/>
        <v>-193.08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1"/>
        <v>-2</v>
      </c>
      <c r="Z941" s="20">
        <f>Tabela1[[#This Row],[PESO TOTAL]]-Tabela1[[#This Row],[Peso Expedido]]</f>
        <v>193.08</v>
      </c>
      <c r="AA941" s="17"/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5175</v>
      </c>
      <c r="B942" s="21" t="s">
        <v>5176</v>
      </c>
      <c r="C942" s="1">
        <v>2</v>
      </c>
      <c r="D942" s="1" t="s">
        <v>5178</v>
      </c>
      <c r="E942" s="7">
        <v>4597</v>
      </c>
      <c r="F942" s="7">
        <v>58</v>
      </c>
      <c r="G942" s="1">
        <v>112.63</v>
      </c>
      <c r="H942" s="34">
        <f>Tabela1[[#This Row],[PESO UNI]]*Tabela1[[#This Row],[QTE]]</f>
        <v>225.26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5119</v>
      </c>
      <c r="O942" s="12"/>
      <c r="P942" s="13"/>
      <c r="Q942" s="14">
        <f>Tabela1[[#This Row],[QTDE/ Fabricação]]-Tabela1[[#This Row],[QTE]]</f>
        <v>-2</v>
      </c>
      <c r="R942" s="18">
        <f t="shared" si="188"/>
        <v>0</v>
      </c>
      <c r="S942" s="18">
        <f t="shared" si="189"/>
        <v>0</v>
      </c>
      <c r="T942" s="19">
        <f t="shared" si="190"/>
        <v>-225.26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1"/>
        <v>-2</v>
      </c>
      <c r="Z942" s="20">
        <f>Tabela1[[#This Row],[PESO TOTAL]]-Tabela1[[#This Row],[Peso Expedido]]</f>
        <v>225.26</v>
      </c>
      <c r="AA942" s="17"/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5175</v>
      </c>
      <c r="B943" s="21" t="s">
        <v>5176</v>
      </c>
      <c r="C943" s="1">
        <v>1</v>
      </c>
      <c r="D943" s="1" t="s">
        <v>5179</v>
      </c>
      <c r="E943" s="7">
        <v>4598</v>
      </c>
      <c r="F943" s="7">
        <v>58</v>
      </c>
      <c r="G943" s="1">
        <v>89.1</v>
      </c>
      <c r="H943" s="34">
        <f>Tabela1[[#This Row],[PESO UNI]]*Tabela1[[#This Row],[QTE]]</f>
        <v>89.1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5119</v>
      </c>
      <c r="O943" s="12"/>
      <c r="P943" s="13"/>
      <c r="Q943" s="14">
        <f>Tabela1[[#This Row],[QTDE/ Fabricação]]-Tabela1[[#This Row],[QTE]]</f>
        <v>-1</v>
      </c>
      <c r="R943" s="18">
        <f t="shared" si="188"/>
        <v>0</v>
      </c>
      <c r="S943" s="18">
        <f t="shared" si="189"/>
        <v>0</v>
      </c>
      <c r="T943" s="19">
        <f t="shared" si="190"/>
        <v>-89.1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1"/>
        <v>-1</v>
      </c>
      <c r="Z943" s="20">
        <f>Tabela1[[#This Row],[PESO TOTAL]]-Tabela1[[#This Row],[Peso Expedido]]</f>
        <v>89.1</v>
      </c>
      <c r="AA943" s="17"/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5175</v>
      </c>
      <c r="B944" s="21" t="s">
        <v>5176</v>
      </c>
      <c r="C944" s="1">
        <v>1</v>
      </c>
      <c r="D944" s="1" t="s">
        <v>5180</v>
      </c>
      <c r="E944" s="7">
        <v>4599</v>
      </c>
      <c r="F944" s="7">
        <v>58</v>
      </c>
      <c r="G944" s="1">
        <v>88.34</v>
      </c>
      <c r="H944" s="34">
        <f>Tabela1[[#This Row],[PESO UNI]]*Tabela1[[#This Row],[QTE]]</f>
        <v>88.34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5119</v>
      </c>
      <c r="O944" s="12"/>
      <c r="P944" s="13"/>
      <c r="Q944" s="14">
        <f>Tabela1[[#This Row],[QTDE/ Fabricação]]-Tabela1[[#This Row],[QTE]]</f>
        <v>-1</v>
      </c>
      <c r="R944" s="18">
        <f t="shared" si="188"/>
        <v>0</v>
      </c>
      <c r="S944" s="18">
        <f t="shared" si="189"/>
        <v>0</v>
      </c>
      <c r="T944" s="19">
        <f t="shared" si="190"/>
        <v>-88.34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1"/>
        <v>-1</v>
      </c>
      <c r="Z944" s="20">
        <f>Tabela1[[#This Row],[PESO TOTAL]]-Tabela1[[#This Row],[Peso Expedido]]</f>
        <v>88.34</v>
      </c>
      <c r="AA944" s="17"/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5175</v>
      </c>
      <c r="B945" s="21" t="s">
        <v>5176</v>
      </c>
      <c r="C945" s="1">
        <v>1</v>
      </c>
      <c r="D945" s="1" t="s">
        <v>5181</v>
      </c>
      <c r="E945" s="7">
        <v>4600</v>
      </c>
      <c r="F945" s="7">
        <v>58</v>
      </c>
      <c r="G945" s="1">
        <v>83.44</v>
      </c>
      <c r="H945" s="34">
        <f>Tabela1[[#This Row],[PESO UNI]]*Tabela1[[#This Row],[QTE]]</f>
        <v>83.44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5119</v>
      </c>
      <c r="O945" s="12"/>
      <c r="P945" s="13"/>
      <c r="Q945" s="14">
        <f>Tabela1[[#This Row],[QTDE/ Fabricação]]-Tabela1[[#This Row],[QTE]]</f>
        <v>-1</v>
      </c>
      <c r="R945" s="18">
        <f t="shared" si="188"/>
        <v>0</v>
      </c>
      <c r="S945" s="18">
        <f t="shared" si="189"/>
        <v>0</v>
      </c>
      <c r="T945" s="19">
        <f t="shared" si="190"/>
        <v>-83.44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1"/>
        <v>-1</v>
      </c>
      <c r="Z945" s="20">
        <f>Tabela1[[#This Row],[PESO TOTAL]]-Tabela1[[#This Row],[Peso Expedido]]</f>
        <v>83.44</v>
      </c>
      <c r="AA945" s="17"/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5175</v>
      </c>
      <c r="B946" s="21" t="s">
        <v>5176</v>
      </c>
      <c r="C946" s="1">
        <v>1</v>
      </c>
      <c r="D946" s="1" t="s">
        <v>5182</v>
      </c>
      <c r="E946" s="7">
        <v>4601</v>
      </c>
      <c r="F946" s="7">
        <v>58</v>
      </c>
      <c r="G946" s="1">
        <v>105.14</v>
      </c>
      <c r="H946" s="34">
        <f>Tabela1[[#This Row],[PESO UNI]]*Tabela1[[#This Row],[QTE]]</f>
        <v>105.14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5119</v>
      </c>
      <c r="O946" s="12"/>
      <c r="P946" s="13"/>
      <c r="Q946" s="14">
        <f>Tabela1[[#This Row],[QTDE/ Fabricação]]-Tabela1[[#This Row],[QTE]]</f>
        <v>-1</v>
      </c>
      <c r="R946" s="18">
        <f t="shared" si="188"/>
        <v>0</v>
      </c>
      <c r="S946" s="18">
        <f t="shared" si="189"/>
        <v>0</v>
      </c>
      <c r="T946" s="19">
        <f t="shared" si="190"/>
        <v>-105.14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1"/>
        <v>-1</v>
      </c>
      <c r="Z946" s="20">
        <f>Tabela1[[#This Row],[PESO TOTAL]]-Tabela1[[#This Row],[Peso Expedido]]</f>
        <v>105.14</v>
      </c>
      <c r="AA946" s="17"/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5175</v>
      </c>
      <c r="B947" s="21" t="s">
        <v>5176</v>
      </c>
      <c r="C947" s="1">
        <v>1</v>
      </c>
      <c r="D947" s="1" t="s">
        <v>5183</v>
      </c>
      <c r="E947" s="7">
        <v>4602</v>
      </c>
      <c r="F947" s="7">
        <v>58</v>
      </c>
      <c r="G947" s="1">
        <v>105.14</v>
      </c>
      <c r="H947" s="34">
        <f>Tabela1[[#This Row],[PESO UNI]]*Tabela1[[#This Row],[QTE]]</f>
        <v>105.14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5119</v>
      </c>
      <c r="O947" s="12"/>
      <c r="P947" s="13"/>
      <c r="Q947" s="14">
        <f>Tabela1[[#This Row],[QTDE/ Fabricação]]-Tabela1[[#This Row],[QTE]]</f>
        <v>-1</v>
      </c>
      <c r="R947" s="18">
        <f t="shared" si="188"/>
        <v>0</v>
      </c>
      <c r="S947" s="18">
        <f t="shared" si="189"/>
        <v>0</v>
      </c>
      <c r="T947" s="19">
        <f t="shared" si="190"/>
        <v>-105.14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1"/>
        <v>-1</v>
      </c>
      <c r="Z947" s="20">
        <f>Tabela1[[#This Row],[PESO TOTAL]]-Tabela1[[#This Row],[Peso Expedido]]</f>
        <v>105.14</v>
      </c>
      <c r="AA947" s="17"/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5175</v>
      </c>
      <c r="B948" s="21" t="s">
        <v>5176</v>
      </c>
      <c r="C948" s="1">
        <v>1</v>
      </c>
      <c r="D948" s="1" t="s">
        <v>5184</v>
      </c>
      <c r="E948" s="7">
        <v>4603</v>
      </c>
      <c r="F948" s="7">
        <v>58</v>
      </c>
      <c r="G948" s="1">
        <v>107.64</v>
      </c>
      <c r="H948" s="34">
        <f>Tabela1[[#This Row],[PESO UNI]]*Tabela1[[#This Row],[QTE]]</f>
        <v>107.64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5119</v>
      </c>
      <c r="O948" s="12"/>
      <c r="P948" s="13"/>
      <c r="Q948" s="14">
        <f>Tabela1[[#This Row],[QTDE/ Fabricação]]-Tabela1[[#This Row],[QTE]]</f>
        <v>-1</v>
      </c>
      <c r="R948" s="18">
        <f t="shared" si="188"/>
        <v>0</v>
      </c>
      <c r="S948" s="18">
        <f t="shared" si="189"/>
        <v>0</v>
      </c>
      <c r="T948" s="19">
        <f t="shared" si="190"/>
        <v>-107.64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1"/>
        <v>-1</v>
      </c>
      <c r="Z948" s="20">
        <f>Tabela1[[#This Row],[PESO TOTAL]]-Tabela1[[#This Row],[Peso Expedido]]</f>
        <v>107.64</v>
      </c>
      <c r="AA948" s="17"/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5187</v>
      </c>
      <c r="B949" s="21" t="s">
        <v>5185</v>
      </c>
      <c r="C949" s="1">
        <v>1</v>
      </c>
      <c r="D949" s="1" t="s">
        <v>5186</v>
      </c>
      <c r="E949" s="7">
        <v>4604</v>
      </c>
      <c r="F949" s="7">
        <v>58</v>
      </c>
      <c r="G949" s="1">
        <v>513.87</v>
      </c>
      <c r="H949" s="34">
        <f>Tabela1[[#This Row],[PESO UNI]]*Tabela1[[#This Row],[QTE]]</f>
        <v>513.87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5119</v>
      </c>
      <c r="O949" s="12"/>
      <c r="P949" s="13"/>
      <c r="Q949" s="14">
        <f>Tabela1[[#This Row],[QTDE/ Fabricação]]-Tabela1[[#This Row],[QTE]]</f>
        <v>-1</v>
      </c>
      <c r="R949" s="18">
        <f t="shared" si="188"/>
        <v>0</v>
      </c>
      <c r="S949" s="18">
        <f t="shared" si="189"/>
        <v>0</v>
      </c>
      <c r="T949" s="19">
        <f t="shared" si="190"/>
        <v>-513.87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1"/>
        <v>-1</v>
      </c>
      <c r="Z949" s="20">
        <f>Tabela1[[#This Row],[PESO TOTAL]]-Tabela1[[#This Row],[Peso Expedido]]</f>
        <v>513.87</v>
      </c>
      <c r="AA949" s="17"/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5188</v>
      </c>
      <c r="B950" s="21" t="s">
        <v>5189</v>
      </c>
      <c r="C950" s="1">
        <v>1</v>
      </c>
      <c r="D950" s="1" t="s">
        <v>5190</v>
      </c>
      <c r="E950" s="7">
        <v>4605</v>
      </c>
      <c r="F950" s="7">
        <v>58</v>
      </c>
      <c r="G950" s="1">
        <v>483.47</v>
      </c>
      <c r="H950" s="34">
        <f>Tabela1[[#This Row],[PESO UNI]]*Tabela1[[#This Row],[QTE]]</f>
        <v>483.47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5119</v>
      </c>
      <c r="O950" s="12"/>
      <c r="P950" s="13"/>
      <c r="Q950" s="14">
        <f>Tabela1[[#This Row],[QTDE/ Fabricação]]-Tabela1[[#This Row],[QTE]]</f>
        <v>-1</v>
      </c>
      <c r="R950" s="18">
        <f t="shared" si="188"/>
        <v>0</v>
      </c>
      <c r="S950" s="18">
        <f t="shared" si="189"/>
        <v>0</v>
      </c>
      <c r="T950" s="19">
        <f t="shared" si="190"/>
        <v>-483.47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1"/>
        <v>-1</v>
      </c>
      <c r="Z950" s="20">
        <f>Tabela1[[#This Row],[PESO TOTAL]]-Tabela1[[#This Row],[Peso Expedido]]</f>
        <v>483.47</v>
      </c>
      <c r="AA950" s="17"/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5191</v>
      </c>
      <c r="B951" s="21" t="s">
        <v>5192</v>
      </c>
      <c r="C951" s="1">
        <v>1</v>
      </c>
      <c r="D951" s="1" t="s">
        <v>5193</v>
      </c>
      <c r="E951" s="7">
        <v>4606</v>
      </c>
      <c r="F951" s="7">
        <v>58</v>
      </c>
      <c r="G951" s="1">
        <v>477.68</v>
      </c>
      <c r="H951" s="34">
        <f>Tabela1[[#This Row],[PESO UNI]]*Tabela1[[#This Row],[QTE]]</f>
        <v>477.68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5119</v>
      </c>
      <c r="O951" s="12"/>
      <c r="P951" s="13"/>
      <c r="Q951" s="14">
        <f>Tabela1[[#This Row],[QTDE/ Fabricação]]-Tabela1[[#This Row],[QTE]]</f>
        <v>-1</v>
      </c>
      <c r="R951" s="18">
        <f t="shared" si="188"/>
        <v>0</v>
      </c>
      <c r="S951" s="18">
        <f t="shared" si="189"/>
        <v>0</v>
      </c>
      <c r="T951" s="19">
        <f t="shared" si="190"/>
        <v>-477.68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1"/>
        <v>-1</v>
      </c>
      <c r="Z951" s="20">
        <f>Tabela1[[#This Row],[PESO TOTAL]]-Tabela1[[#This Row],[Peso Expedido]]</f>
        <v>477.68</v>
      </c>
      <c r="AA951" s="17"/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5194</v>
      </c>
      <c r="B952" s="21" t="s">
        <v>5195</v>
      </c>
      <c r="C952" s="1">
        <v>1</v>
      </c>
      <c r="D952" s="1" t="s">
        <v>5196</v>
      </c>
      <c r="E952" s="7">
        <v>4607</v>
      </c>
      <c r="F952" s="7">
        <v>58</v>
      </c>
      <c r="G952" s="1">
        <v>499.5</v>
      </c>
      <c r="H952" s="34">
        <f>Tabela1[[#This Row],[PESO UNI]]*Tabela1[[#This Row],[QTE]]</f>
        <v>499.5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5119</v>
      </c>
      <c r="O952" s="12"/>
      <c r="P952" s="13"/>
      <c r="Q952" s="14">
        <f>Tabela1[[#This Row],[QTDE/ Fabricação]]-Tabela1[[#This Row],[QTE]]</f>
        <v>-1</v>
      </c>
      <c r="R952" s="18">
        <f t="shared" si="188"/>
        <v>0</v>
      </c>
      <c r="S952" s="18">
        <f t="shared" si="189"/>
        <v>0</v>
      </c>
      <c r="T952" s="19">
        <f t="shared" si="190"/>
        <v>-499.5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1"/>
        <v>-1</v>
      </c>
      <c r="Z952" s="20">
        <f>Tabela1[[#This Row],[PESO TOTAL]]-Tabela1[[#This Row],[Peso Expedido]]</f>
        <v>499.5</v>
      </c>
      <c r="AA952" s="17"/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5197</v>
      </c>
      <c r="B953" s="21" t="s">
        <v>5198</v>
      </c>
      <c r="C953" s="1">
        <v>3</v>
      </c>
      <c r="D953" s="1" t="s">
        <v>5199</v>
      </c>
      <c r="E953" s="7">
        <v>4608</v>
      </c>
      <c r="F953" s="7">
        <v>59</v>
      </c>
      <c r="G953" s="1">
        <v>499.5</v>
      </c>
      <c r="H953" s="34">
        <f>Tabela1[[#This Row],[PESO UNI]]*Tabela1[[#This Row],[QTE]]</f>
        <v>1498.5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5119</v>
      </c>
      <c r="O953" s="12"/>
      <c r="P953" s="13"/>
      <c r="Q953" s="14">
        <f>Tabela1[[#This Row],[QTDE/ Fabricação]]-Tabela1[[#This Row],[QTE]]</f>
        <v>-3</v>
      </c>
      <c r="R953" s="18">
        <f t="shared" si="188"/>
        <v>0</v>
      </c>
      <c r="S953" s="18">
        <f t="shared" si="189"/>
        <v>0</v>
      </c>
      <c r="T953" s="19">
        <f t="shared" si="190"/>
        <v>-1498.5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1"/>
        <v>-3</v>
      </c>
      <c r="Z953" s="20">
        <f>Tabela1[[#This Row],[PESO TOTAL]]-Tabela1[[#This Row],[Peso Expedido]]</f>
        <v>1498.5</v>
      </c>
      <c r="AA953" s="17"/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5197</v>
      </c>
      <c r="B954" s="21" t="s">
        <v>5198</v>
      </c>
      <c r="C954" s="1">
        <v>1</v>
      </c>
      <c r="D954" s="1" t="s">
        <v>5200</v>
      </c>
      <c r="E954" s="7">
        <v>4609</v>
      </c>
      <c r="F954" s="7">
        <v>59</v>
      </c>
      <c r="G954" s="1">
        <v>114.46</v>
      </c>
      <c r="H954" s="34">
        <f>Tabela1[[#This Row],[PESO UNI]]*Tabela1[[#This Row],[QTE]]</f>
        <v>114.46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5119</v>
      </c>
      <c r="O954" s="12"/>
      <c r="P954" s="13"/>
      <c r="Q954" s="14">
        <f>Tabela1[[#This Row],[QTDE/ Fabricação]]-Tabela1[[#This Row],[QTE]]</f>
        <v>-1</v>
      </c>
      <c r="R954" s="18">
        <f t="shared" si="188"/>
        <v>0</v>
      </c>
      <c r="S954" s="18">
        <f t="shared" si="189"/>
        <v>0</v>
      </c>
      <c r="T954" s="19">
        <f t="shared" si="190"/>
        <v>-114.46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1"/>
        <v>-1</v>
      </c>
      <c r="Z954" s="20">
        <f>Tabela1[[#This Row],[PESO TOTAL]]-Tabela1[[#This Row],[Peso Expedido]]</f>
        <v>114.46</v>
      </c>
      <c r="AA954" s="17"/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5197</v>
      </c>
      <c r="B955" s="21" t="s">
        <v>5198</v>
      </c>
      <c r="C955" s="1">
        <v>1</v>
      </c>
      <c r="D955" s="1" t="s">
        <v>5201</v>
      </c>
      <c r="E955" s="7">
        <v>4610</v>
      </c>
      <c r="F955" s="7">
        <v>59</v>
      </c>
      <c r="G955" s="1">
        <v>80.17</v>
      </c>
      <c r="H955" s="34">
        <f>Tabela1[[#This Row],[PESO UNI]]*Tabela1[[#This Row],[QTE]]</f>
        <v>80.17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5119</v>
      </c>
      <c r="O955" s="12"/>
      <c r="P955" s="13"/>
      <c r="Q955" s="14">
        <f>Tabela1[[#This Row],[QTDE/ Fabricação]]-Tabela1[[#This Row],[QTE]]</f>
        <v>-1</v>
      </c>
      <c r="R955" s="18">
        <f t="shared" si="188"/>
        <v>0</v>
      </c>
      <c r="S955" s="18">
        <f t="shared" si="189"/>
        <v>0</v>
      </c>
      <c r="T955" s="19">
        <f t="shared" si="190"/>
        <v>-80.17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1"/>
        <v>-1</v>
      </c>
      <c r="Z955" s="20">
        <f>Tabela1[[#This Row],[PESO TOTAL]]-Tabela1[[#This Row],[Peso Expedido]]</f>
        <v>80.17</v>
      </c>
      <c r="AA955" s="17"/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5197</v>
      </c>
      <c r="B956" s="21" t="s">
        <v>5198</v>
      </c>
      <c r="C956" s="1">
        <v>1</v>
      </c>
      <c r="D956" s="1" t="s">
        <v>5202</v>
      </c>
      <c r="E956" s="7">
        <v>4611</v>
      </c>
      <c r="F956" s="7">
        <v>59</v>
      </c>
      <c r="G956" s="1">
        <v>113.7</v>
      </c>
      <c r="H956" s="34">
        <f>Tabela1[[#This Row],[PESO UNI]]*Tabela1[[#This Row],[QTE]]</f>
        <v>113.7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5119</v>
      </c>
      <c r="O956" s="12"/>
      <c r="P956" s="13"/>
      <c r="Q956" s="14">
        <f>Tabela1[[#This Row],[QTDE/ Fabricação]]-Tabela1[[#This Row],[QTE]]</f>
        <v>-1</v>
      </c>
      <c r="R956" s="18">
        <f t="shared" si="188"/>
        <v>0</v>
      </c>
      <c r="S956" s="18">
        <f t="shared" si="189"/>
        <v>0</v>
      </c>
      <c r="T956" s="19">
        <f t="shared" si="190"/>
        <v>-113.7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1"/>
        <v>-1</v>
      </c>
      <c r="Z956" s="20">
        <f>Tabela1[[#This Row],[PESO TOTAL]]-Tabela1[[#This Row],[Peso Expedido]]</f>
        <v>113.7</v>
      </c>
      <c r="AA956" s="17"/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5197</v>
      </c>
      <c r="B957" s="21" t="s">
        <v>5198</v>
      </c>
      <c r="C957" s="1">
        <v>3</v>
      </c>
      <c r="D957" s="1" t="s">
        <v>5203</v>
      </c>
      <c r="E957" s="7">
        <v>4612</v>
      </c>
      <c r="F957" s="7">
        <v>59</v>
      </c>
      <c r="G957" s="1">
        <v>46.8</v>
      </c>
      <c r="H957" s="34">
        <f>Tabela1[[#This Row],[PESO UNI]]*Tabela1[[#This Row],[QTE]]</f>
        <v>140.39999999999998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5119</v>
      </c>
      <c r="O957" s="12"/>
      <c r="P957" s="13"/>
      <c r="Q957" s="14">
        <f>Tabela1[[#This Row],[QTDE/ Fabricação]]-Tabela1[[#This Row],[QTE]]</f>
        <v>-3</v>
      </c>
      <c r="R957" s="18">
        <f t="shared" si="188"/>
        <v>0</v>
      </c>
      <c r="S957" s="18">
        <f t="shared" si="189"/>
        <v>0</v>
      </c>
      <c r="T957" s="19">
        <f t="shared" si="190"/>
        <v>-140.39999999999998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1"/>
        <v>-3</v>
      </c>
      <c r="Z957" s="20">
        <f>Tabela1[[#This Row],[PESO TOTAL]]-Tabela1[[#This Row],[Peso Expedido]]</f>
        <v>140.39999999999998</v>
      </c>
      <c r="AA957" s="17"/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5204</v>
      </c>
      <c r="B958" s="21" t="s">
        <v>5205</v>
      </c>
      <c r="C958" s="1">
        <v>1</v>
      </c>
      <c r="D958" s="1" t="s">
        <v>5208</v>
      </c>
      <c r="E958" s="7">
        <v>4613</v>
      </c>
      <c r="F958" s="7">
        <v>59</v>
      </c>
      <c r="G958" s="1">
        <v>134.07</v>
      </c>
      <c r="H958" s="34">
        <f>Tabela1[[#This Row],[PESO UNI]]*Tabela1[[#This Row],[QTE]]</f>
        <v>134.07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5119</v>
      </c>
      <c r="O958" s="12"/>
      <c r="P958" s="13"/>
      <c r="Q958" s="14">
        <f>Tabela1[[#This Row],[QTDE/ Fabricação]]-Tabela1[[#This Row],[QTE]]</f>
        <v>-1</v>
      </c>
      <c r="R958" s="18">
        <f t="shared" si="188"/>
        <v>0</v>
      </c>
      <c r="S958" s="18">
        <f t="shared" si="189"/>
        <v>0</v>
      </c>
      <c r="T958" s="19">
        <f t="shared" si="190"/>
        <v>-134.07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1"/>
        <v>-1</v>
      </c>
      <c r="Z958" s="20">
        <f>Tabela1[[#This Row],[PESO TOTAL]]-Tabela1[[#This Row],[Peso Expedido]]</f>
        <v>134.07</v>
      </c>
      <c r="AA958" s="17"/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5206</v>
      </c>
      <c r="B959" s="21" t="s">
        <v>5207</v>
      </c>
      <c r="C959" s="1">
        <v>1</v>
      </c>
      <c r="D959" s="1" t="s">
        <v>5209</v>
      </c>
      <c r="E959" s="7">
        <v>4614</v>
      </c>
      <c r="F959" s="7">
        <v>59</v>
      </c>
      <c r="G959" s="1">
        <v>149.56</v>
      </c>
      <c r="H959" s="34">
        <f>Tabela1[[#This Row],[PESO UNI]]*Tabela1[[#This Row],[QTE]]</f>
        <v>149.56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5119</v>
      </c>
      <c r="O959" s="12"/>
      <c r="P959" s="13"/>
      <c r="Q959" s="14">
        <f>Tabela1[[#This Row],[QTDE/ Fabricação]]-Tabela1[[#This Row],[QTE]]</f>
        <v>-1</v>
      </c>
      <c r="R959" s="18">
        <f t="shared" si="188"/>
        <v>0</v>
      </c>
      <c r="S959" s="18">
        <f t="shared" si="189"/>
        <v>0</v>
      </c>
      <c r="T959" s="19">
        <f t="shared" si="190"/>
        <v>-149.56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1"/>
        <v>-1</v>
      </c>
      <c r="Z959" s="20">
        <f>Tabela1[[#This Row],[PESO TOTAL]]-Tabela1[[#This Row],[Peso Expedido]]</f>
        <v>149.56</v>
      </c>
      <c r="AA959" s="17"/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5210</v>
      </c>
      <c r="B960" s="21" t="s">
        <v>5211</v>
      </c>
      <c r="C960" s="1">
        <v>1</v>
      </c>
      <c r="D960" s="1" t="s">
        <v>5212</v>
      </c>
      <c r="E960" s="7">
        <v>4615</v>
      </c>
      <c r="F960" s="7">
        <v>59</v>
      </c>
      <c r="G960" s="1">
        <v>151.88</v>
      </c>
      <c r="H960" s="34">
        <f>Tabela1[[#This Row],[PESO UNI]]*Tabela1[[#This Row],[QTE]]</f>
        <v>151.88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5119</v>
      </c>
      <c r="O960" s="12"/>
      <c r="P960" s="13"/>
      <c r="Q960" s="14">
        <f>Tabela1[[#This Row],[QTDE/ Fabricação]]-Tabela1[[#This Row],[QTE]]</f>
        <v>-1</v>
      </c>
      <c r="R960" s="18">
        <f t="shared" si="188"/>
        <v>0</v>
      </c>
      <c r="S960" s="18">
        <f t="shared" si="189"/>
        <v>0</v>
      </c>
      <c r="T960" s="19">
        <f t="shared" si="190"/>
        <v>-151.88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1"/>
        <v>-1</v>
      </c>
      <c r="Z960" s="20">
        <f>Tabela1[[#This Row],[PESO TOTAL]]-Tabela1[[#This Row],[Peso Expedido]]</f>
        <v>151.88</v>
      </c>
      <c r="AA960" s="17"/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5213</v>
      </c>
      <c r="B961" s="21" t="s">
        <v>5214</v>
      </c>
      <c r="C961" s="1">
        <v>2</v>
      </c>
      <c r="D961" s="1" t="s">
        <v>5215</v>
      </c>
      <c r="E961" s="7">
        <v>4616</v>
      </c>
      <c r="F961" s="7">
        <v>59</v>
      </c>
      <c r="G961" s="1">
        <v>190.64</v>
      </c>
      <c r="H961" s="34">
        <f>Tabela1[[#This Row],[PESO UNI]]*Tabela1[[#This Row],[QTE]]</f>
        <v>381.28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5119</v>
      </c>
      <c r="O961" s="12"/>
      <c r="P961" s="13"/>
      <c r="Q961" s="14">
        <f>Tabela1[[#This Row],[QTDE/ Fabricação]]-Tabela1[[#This Row],[QTE]]</f>
        <v>-2</v>
      </c>
      <c r="R961" s="18">
        <f t="shared" si="188"/>
        <v>0</v>
      </c>
      <c r="S961" s="18">
        <f t="shared" si="189"/>
        <v>0</v>
      </c>
      <c r="T961" s="19">
        <f t="shared" si="190"/>
        <v>-381.28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1"/>
        <v>-2</v>
      </c>
      <c r="Z961" s="20">
        <f>Tabela1[[#This Row],[PESO TOTAL]]-Tabela1[[#This Row],[Peso Expedido]]</f>
        <v>381.28</v>
      </c>
      <c r="AA961" s="17"/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5216</v>
      </c>
      <c r="B962" s="21" t="s">
        <v>5217</v>
      </c>
      <c r="C962" s="1">
        <v>2</v>
      </c>
      <c r="D962" s="1" t="s">
        <v>5218</v>
      </c>
      <c r="E962" s="7">
        <v>4617</v>
      </c>
      <c r="F962" s="7">
        <v>59</v>
      </c>
      <c r="G962" s="1">
        <v>110.01</v>
      </c>
      <c r="H962" s="34">
        <f>Tabela1[[#This Row],[PESO UNI]]*Tabela1[[#This Row],[QTE]]</f>
        <v>220.02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5119</v>
      </c>
      <c r="O962" s="12"/>
      <c r="P962" s="13"/>
      <c r="Q962" s="14">
        <f>Tabela1[[#This Row],[QTDE/ Fabricação]]-Tabela1[[#This Row],[QTE]]</f>
        <v>-2</v>
      </c>
      <c r="R962" s="18">
        <f t="shared" si="188"/>
        <v>0</v>
      </c>
      <c r="S962" s="18">
        <f t="shared" si="189"/>
        <v>0</v>
      </c>
      <c r="T962" s="19">
        <f t="shared" si="190"/>
        <v>-220.02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1"/>
        <v>-2</v>
      </c>
      <c r="Z962" s="20">
        <f>Tabela1[[#This Row],[PESO TOTAL]]-Tabela1[[#This Row],[Peso Expedido]]</f>
        <v>220.02</v>
      </c>
      <c r="AA962" s="17"/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5216</v>
      </c>
      <c r="B963" s="21" t="s">
        <v>5217</v>
      </c>
      <c r="C963" s="1">
        <v>1</v>
      </c>
      <c r="D963" s="1" t="s">
        <v>5219</v>
      </c>
      <c r="E963" s="7">
        <v>4618</v>
      </c>
      <c r="F963" s="7">
        <v>59</v>
      </c>
      <c r="G963" s="1">
        <v>109.4</v>
      </c>
      <c r="H963" s="34">
        <f>Tabela1[[#This Row],[PESO UNI]]*Tabela1[[#This Row],[QTE]]</f>
        <v>109.4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5119</v>
      </c>
      <c r="O963" s="12"/>
      <c r="P963" s="13"/>
      <c r="Q963" s="14">
        <f>Tabela1[[#This Row],[QTDE/ Fabricação]]-Tabela1[[#This Row],[QTE]]</f>
        <v>-1</v>
      </c>
      <c r="R963" s="18">
        <f t="shared" si="188"/>
        <v>0</v>
      </c>
      <c r="S963" s="18">
        <f t="shared" si="189"/>
        <v>0</v>
      </c>
      <c r="T963" s="19">
        <f t="shared" si="190"/>
        <v>-109.4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1"/>
        <v>-1</v>
      </c>
      <c r="Z963" s="20">
        <f>Tabela1[[#This Row],[PESO TOTAL]]-Tabela1[[#This Row],[Peso Expedido]]</f>
        <v>109.4</v>
      </c>
      <c r="AA963" s="17"/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5220</v>
      </c>
      <c r="B964" s="21" t="s">
        <v>5221</v>
      </c>
      <c r="C964" s="1">
        <v>1</v>
      </c>
      <c r="D964" s="1" t="s">
        <v>5222</v>
      </c>
      <c r="E964" s="7">
        <v>4619</v>
      </c>
      <c r="F964" s="7">
        <v>59</v>
      </c>
      <c r="G964" s="1">
        <v>186.84</v>
      </c>
      <c r="H964" s="34">
        <f>Tabela1[[#This Row],[PESO UNI]]*Tabela1[[#This Row],[QTE]]</f>
        <v>186.84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5119</v>
      </c>
      <c r="O964" s="12"/>
      <c r="P964" s="13"/>
      <c r="Q964" s="14">
        <f>Tabela1[[#This Row],[QTDE/ Fabricação]]-Tabela1[[#This Row],[QTE]]</f>
        <v>-1</v>
      </c>
      <c r="R964" s="18">
        <f t="shared" si="188"/>
        <v>0</v>
      </c>
      <c r="S964" s="18">
        <f t="shared" si="189"/>
        <v>0</v>
      </c>
      <c r="T964" s="19">
        <f t="shared" si="190"/>
        <v>-186.84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1"/>
        <v>-1</v>
      </c>
      <c r="Z964" s="20">
        <f>Tabela1[[#This Row],[PESO TOTAL]]-Tabela1[[#This Row],[Peso Expedido]]</f>
        <v>186.84</v>
      </c>
      <c r="AA964" s="17"/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5223</v>
      </c>
      <c r="B965" s="21" t="s">
        <v>5224</v>
      </c>
      <c r="C965" s="1">
        <v>1</v>
      </c>
      <c r="D965" s="1" t="s">
        <v>5225</v>
      </c>
      <c r="E965" s="7">
        <v>4620</v>
      </c>
      <c r="F965" s="7">
        <v>59</v>
      </c>
      <c r="G965" s="1">
        <v>145.27000000000001</v>
      </c>
      <c r="H965" s="34">
        <f>Tabela1[[#This Row],[PESO UNI]]*Tabela1[[#This Row],[QTE]]</f>
        <v>145.27000000000001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5119</v>
      </c>
      <c r="O965" s="12"/>
      <c r="P965" s="13"/>
      <c r="Q965" s="14">
        <f>Tabela1[[#This Row],[QTDE/ Fabricação]]-Tabela1[[#This Row],[QTE]]</f>
        <v>-1</v>
      </c>
      <c r="R965" s="18">
        <f t="shared" ref="R965:R996" si="192">IFERROR(H965*((AA965*0.25)+(AC965*0.25)+(AD965*0.225)+(AE965*0.225)+(AF965*0.05)),"")</f>
        <v>0</v>
      </c>
      <c r="S965" s="18">
        <f t="shared" ref="S965:S996" si="193">IFERROR(H965*AG965,"")</f>
        <v>0</v>
      </c>
      <c r="T965" s="19">
        <f t="shared" ref="T965:T996" si="194">IFERROR(S965-H965,"")</f>
        <v>-145.27000000000001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ref="Y965:Y996" si="195">U965-C965</f>
        <v>-1</v>
      </c>
      <c r="Z965" s="20">
        <f>Tabela1[[#This Row],[PESO TOTAL]]-Tabela1[[#This Row],[Peso Expedido]]</f>
        <v>145.27000000000001</v>
      </c>
      <c r="AA965" s="17"/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5223</v>
      </c>
      <c r="B966" s="21" t="s">
        <v>5224</v>
      </c>
      <c r="C966" s="1">
        <v>4</v>
      </c>
      <c r="D966" s="1" t="s">
        <v>5226</v>
      </c>
      <c r="E966" s="7">
        <v>4621</v>
      </c>
      <c r="F966" s="7">
        <v>59</v>
      </c>
      <c r="G966" s="1">
        <v>1.53</v>
      </c>
      <c r="H966" s="34">
        <f>Tabela1[[#This Row],[PESO UNI]]*Tabela1[[#This Row],[QTE]]</f>
        <v>6.12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5119</v>
      </c>
      <c r="O966" s="12"/>
      <c r="P966" s="13"/>
      <c r="Q966" s="14">
        <f>Tabela1[[#This Row],[QTDE/ Fabricação]]-Tabela1[[#This Row],[QTE]]</f>
        <v>-4</v>
      </c>
      <c r="R966" s="18">
        <f t="shared" si="192"/>
        <v>0</v>
      </c>
      <c r="S966" s="18">
        <f t="shared" si="193"/>
        <v>0</v>
      </c>
      <c r="T966" s="19">
        <f t="shared" si="194"/>
        <v>-6.12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5"/>
        <v>-4</v>
      </c>
      <c r="Z966" s="20">
        <f>Tabela1[[#This Row],[PESO TOTAL]]-Tabela1[[#This Row],[Peso Expedido]]</f>
        <v>6.12</v>
      </c>
      <c r="AA966" s="17"/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5223</v>
      </c>
      <c r="B967" s="21" t="s">
        <v>5224</v>
      </c>
      <c r="C967" s="1">
        <v>2</v>
      </c>
      <c r="D967" s="1" t="s">
        <v>5227</v>
      </c>
      <c r="E967" s="7">
        <v>4622</v>
      </c>
      <c r="F967" s="7">
        <v>59</v>
      </c>
      <c r="G967" s="1">
        <v>1.56</v>
      </c>
      <c r="H967" s="34">
        <f>Tabela1[[#This Row],[PESO UNI]]*Tabela1[[#This Row],[QTE]]</f>
        <v>3.12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5119</v>
      </c>
      <c r="O967" s="12"/>
      <c r="P967" s="13"/>
      <c r="Q967" s="14">
        <f>Tabela1[[#This Row],[QTDE/ Fabricação]]-Tabela1[[#This Row],[QTE]]</f>
        <v>-2</v>
      </c>
      <c r="R967" s="18">
        <f t="shared" si="192"/>
        <v>0</v>
      </c>
      <c r="S967" s="18">
        <f t="shared" si="193"/>
        <v>0</v>
      </c>
      <c r="T967" s="19">
        <f t="shared" si="194"/>
        <v>-3.12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5"/>
        <v>-2</v>
      </c>
      <c r="Z967" s="20">
        <f>Tabela1[[#This Row],[PESO TOTAL]]-Tabela1[[#This Row],[Peso Expedido]]</f>
        <v>3.12</v>
      </c>
      <c r="AA967" s="17"/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5228</v>
      </c>
      <c r="B968" s="21" t="s">
        <v>5229</v>
      </c>
      <c r="C968" s="1">
        <v>2</v>
      </c>
      <c r="D968" s="1" t="s">
        <v>5230</v>
      </c>
      <c r="E968" s="7">
        <v>4623</v>
      </c>
      <c r="F968" s="7">
        <v>59</v>
      </c>
      <c r="G968" s="1">
        <v>150.6</v>
      </c>
      <c r="H968" s="34">
        <f>Tabela1[[#This Row],[PESO UNI]]*Tabela1[[#This Row],[QTE]]</f>
        <v>301.2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5119</v>
      </c>
      <c r="O968" s="12"/>
      <c r="P968" s="13"/>
      <c r="Q968" s="14">
        <f>Tabela1[[#This Row],[QTDE/ Fabricação]]-Tabela1[[#This Row],[QTE]]</f>
        <v>-2</v>
      </c>
      <c r="R968" s="18">
        <f t="shared" si="192"/>
        <v>0</v>
      </c>
      <c r="S968" s="18">
        <f t="shared" si="193"/>
        <v>0</v>
      </c>
      <c r="T968" s="19">
        <f t="shared" si="194"/>
        <v>-301.2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5"/>
        <v>-2</v>
      </c>
      <c r="Z968" s="20">
        <f>Tabela1[[#This Row],[PESO TOTAL]]-Tabela1[[#This Row],[Peso Expedido]]</f>
        <v>301.2</v>
      </c>
      <c r="AA968" s="17"/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5228</v>
      </c>
      <c r="B969" s="21" t="s">
        <v>5229</v>
      </c>
      <c r="C969" s="1">
        <v>3</v>
      </c>
      <c r="D969" s="1" t="s">
        <v>5231</v>
      </c>
      <c r="E969" s="7">
        <v>4624</v>
      </c>
      <c r="F969" s="7">
        <v>59</v>
      </c>
      <c r="G969" s="1">
        <v>50.54</v>
      </c>
      <c r="H969" s="34">
        <f>Tabela1[[#This Row],[PESO UNI]]*Tabela1[[#This Row],[QTE]]</f>
        <v>151.62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5119</v>
      </c>
      <c r="O969" s="12"/>
      <c r="P969" s="13"/>
      <c r="Q969" s="14">
        <f>Tabela1[[#This Row],[QTDE/ Fabricação]]-Tabela1[[#This Row],[QTE]]</f>
        <v>-3</v>
      </c>
      <c r="R969" s="18">
        <f t="shared" si="192"/>
        <v>0</v>
      </c>
      <c r="S969" s="18">
        <f t="shared" si="193"/>
        <v>0</v>
      </c>
      <c r="T969" s="19">
        <f t="shared" si="194"/>
        <v>-151.62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5"/>
        <v>-3</v>
      </c>
      <c r="Z969" s="20">
        <f>Tabela1[[#This Row],[PESO TOTAL]]-Tabela1[[#This Row],[Peso Expedido]]</f>
        <v>151.62</v>
      </c>
      <c r="AA969" s="17"/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5228</v>
      </c>
      <c r="B970" s="21" t="s">
        <v>5229</v>
      </c>
      <c r="C970" s="1">
        <v>1</v>
      </c>
      <c r="D970" s="1" t="s">
        <v>5232</v>
      </c>
      <c r="E970" s="7">
        <v>4625</v>
      </c>
      <c r="F970" s="7">
        <v>59</v>
      </c>
      <c r="G970" s="1">
        <v>116.11</v>
      </c>
      <c r="H970" s="34">
        <f>Tabela1[[#This Row],[PESO UNI]]*Tabela1[[#This Row],[QTE]]</f>
        <v>116.11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5119</v>
      </c>
      <c r="O970" s="12"/>
      <c r="P970" s="13"/>
      <c r="Q970" s="14">
        <f>Tabela1[[#This Row],[QTDE/ Fabricação]]-Tabela1[[#This Row],[QTE]]</f>
        <v>-1</v>
      </c>
      <c r="R970" s="18">
        <f t="shared" si="192"/>
        <v>0</v>
      </c>
      <c r="S970" s="18">
        <f t="shared" si="193"/>
        <v>0</v>
      </c>
      <c r="T970" s="19">
        <f t="shared" si="194"/>
        <v>-116.11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5"/>
        <v>-1</v>
      </c>
      <c r="Z970" s="20">
        <f>Tabela1[[#This Row],[PESO TOTAL]]-Tabela1[[#This Row],[Peso Expedido]]</f>
        <v>116.11</v>
      </c>
      <c r="AA970" s="17"/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5228</v>
      </c>
      <c r="B971" s="21" t="s">
        <v>5229</v>
      </c>
      <c r="C971" s="1">
        <v>1</v>
      </c>
      <c r="D971" s="1" t="s">
        <v>5233</v>
      </c>
      <c r="E971" s="7">
        <v>4626</v>
      </c>
      <c r="F971" s="7">
        <v>59</v>
      </c>
      <c r="G971" s="1">
        <v>112.71</v>
      </c>
      <c r="H971" s="34">
        <f>Tabela1[[#This Row],[PESO UNI]]*Tabela1[[#This Row],[QTE]]</f>
        <v>112.71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5119</v>
      </c>
      <c r="O971" s="12"/>
      <c r="P971" s="13"/>
      <c r="Q971" s="14">
        <f>Tabela1[[#This Row],[QTDE/ Fabricação]]-Tabela1[[#This Row],[QTE]]</f>
        <v>-1</v>
      </c>
      <c r="R971" s="18">
        <f t="shared" si="192"/>
        <v>0</v>
      </c>
      <c r="S971" s="18">
        <f t="shared" si="193"/>
        <v>0</v>
      </c>
      <c r="T971" s="19">
        <f t="shared" si="194"/>
        <v>-112.71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5"/>
        <v>-1</v>
      </c>
      <c r="Z971" s="20">
        <f>Tabela1[[#This Row],[PESO TOTAL]]-Tabela1[[#This Row],[Peso Expedido]]</f>
        <v>112.71</v>
      </c>
      <c r="AA971" s="17"/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5234</v>
      </c>
      <c r="B972" s="21" t="s">
        <v>5235</v>
      </c>
      <c r="C972" s="1">
        <v>1</v>
      </c>
      <c r="D972" s="1" t="s">
        <v>5236</v>
      </c>
      <c r="E972" s="7">
        <v>4627</v>
      </c>
      <c r="F972" s="7">
        <v>61</v>
      </c>
      <c r="G972" s="1">
        <v>372</v>
      </c>
      <c r="H972" s="34">
        <f>Tabela1[[#This Row],[PESO UNI]]*Tabela1[[#This Row],[QTE]]</f>
        <v>372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5119</v>
      </c>
      <c r="O972" s="12"/>
      <c r="P972" s="13"/>
      <c r="Q972" s="14">
        <f>Tabela1[[#This Row],[QTDE/ Fabricação]]-Tabela1[[#This Row],[QTE]]</f>
        <v>-1</v>
      </c>
      <c r="R972" s="18">
        <f t="shared" si="192"/>
        <v>0</v>
      </c>
      <c r="S972" s="18">
        <f t="shared" si="193"/>
        <v>0</v>
      </c>
      <c r="T972" s="19">
        <f t="shared" si="194"/>
        <v>-372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5"/>
        <v>-1</v>
      </c>
      <c r="Z972" s="20">
        <f>Tabela1[[#This Row],[PESO TOTAL]]-Tabela1[[#This Row],[Peso Expedido]]</f>
        <v>372</v>
      </c>
      <c r="AA972" s="17"/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5234</v>
      </c>
      <c r="B973" s="21" t="s">
        <v>5235</v>
      </c>
      <c r="C973" s="1">
        <v>4</v>
      </c>
      <c r="D973" s="1" t="s">
        <v>5237</v>
      </c>
      <c r="E973" s="7">
        <v>4628</v>
      </c>
      <c r="F973" s="7">
        <v>61</v>
      </c>
      <c r="G973" s="1">
        <v>6.5</v>
      </c>
      <c r="H973" s="34">
        <f>Tabela1[[#This Row],[PESO UNI]]*Tabela1[[#This Row],[QTE]]</f>
        <v>26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5119</v>
      </c>
      <c r="O973" s="12"/>
      <c r="P973" s="13"/>
      <c r="Q973" s="14">
        <f>Tabela1[[#This Row],[QTDE/ Fabricação]]-Tabela1[[#This Row],[QTE]]</f>
        <v>-4</v>
      </c>
      <c r="R973" s="18">
        <f t="shared" si="192"/>
        <v>0</v>
      </c>
      <c r="S973" s="18">
        <f t="shared" si="193"/>
        <v>0</v>
      </c>
      <c r="T973" s="19">
        <f t="shared" si="194"/>
        <v>-26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5"/>
        <v>-4</v>
      </c>
      <c r="Z973" s="20">
        <f>Tabela1[[#This Row],[PESO TOTAL]]-Tabela1[[#This Row],[Peso Expedido]]</f>
        <v>26</v>
      </c>
      <c r="AA973" s="17"/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5234</v>
      </c>
      <c r="B974" s="21" t="s">
        <v>5235</v>
      </c>
      <c r="C974" s="1">
        <v>8</v>
      </c>
      <c r="D974" s="1" t="s">
        <v>5238</v>
      </c>
      <c r="E974" s="7">
        <v>4629</v>
      </c>
      <c r="F974" s="7">
        <v>61</v>
      </c>
      <c r="G974" s="1">
        <v>2.1</v>
      </c>
      <c r="H974" s="34">
        <f>Tabela1[[#This Row],[PESO UNI]]*Tabela1[[#This Row],[QTE]]</f>
        <v>16.8</v>
      </c>
      <c r="I974" s="7">
        <v>0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5119</v>
      </c>
      <c r="O974" s="12"/>
      <c r="P974" s="13"/>
      <c r="Q974" s="14">
        <f>Tabela1[[#This Row],[QTDE/ Fabricação]]-Tabela1[[#This Row],[QTE]]</f>
        <v>-8</v>
      </c>
      <c r="R974" s="18">
        <f t="shared" si="192"/>
        <v>0</v>
      </c>
      <c r="S974" s="18">
        <f t="shared" si="193"/>
        <v>0</v>
      </c>
      <c r="T974" s="19">
        <f t="shared" si="194"/>
        <v>-16.8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5"/>
        <v>-8</v>
      </c>
      <c r="Z974" s="20">
        <f>Tabela1[[#This Row],[PESO TOTAL]]-Tabela1[[#This Row],[Peso Expedido]]</f>
        <v>16.8</v>
      </c>
      <c r="AA974" s="17"/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5234</v>
      </c>
      <c r="B975" s="21" t="s">
        <v>5235</v>
      </c>
      <c r="C975" s="1">
        <v>2</v>
      </c>
      <c r="D975" s="1" t="s">
        <v>5239</v>
      </c>
      <c r="E975" s="7">
        <v>4630</v>
      </c>
      <c r="F975" s="7">
        <v>61</v>
      </c>
      <c r="G975" s="1">
        <v>1.6</v>
      </c>
      <c r="H975" s="34">
        <f>Tabela1[[#This Row],[PESO UNI]]*Tabela1[[#This Row],[QTE]]</f>
        <v>3.2</v>
      </c>
      <c r="I975" s="7">
        <v>0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5119</v>
      </c>
      <c r="O975" s="12"/>
      <c r="P975" s="13"/>
      <c r="Q975" s="14">
        <f>Tabela1[[#This Row],[QTDE/ Fabricação]]-Tabela1[[#This Row],[QTE]]</f>
        <v>-2</v>
      </c>
      <c r="R975" s="18">
        <f t="shared" si="192"/>
        <v>0</v>
      </c>
      <c r="S975" s="18">
        <f t="shared" si="193"/>
        <v>0</v>
      </c>
      <c r="T975" s="19">
        <f t="shared" si="194"/>
        <v>-3.2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5"/>
        <v>-2</v>
      </c>
      <c r="Z975" s="20">
        <f>Tabela1[[#This Row],[PESO TOTAL]]-Tabela1[[#This Row],[Peso Expedido]]</f>
        <v>3.2</v>
      </c>
      <c r="AA975" s="17"/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5234</v>
      </c>
      <c r="B976" s="21" t="s">
        <v>5235</v>
      </c>
      <c r="C976" s="1">
        <v>4</v>
      </c>
      <c r="D976" s="1" t="s">
        <v>5240</v>
      </c>
      <c r="E976" s="7">
        <v>4631</v>
      </c>
      <c r="F976" s="7">
        <v>61</v>
      </c>
      <c r="G976" s="1">
        <v>0.3</v>
      </c>
      <c r="H976" s="34">
        <f>Tabela1[[#This Row],[PESO UNI]]*Tabela1[[#This Row],[QTE]]</f>
        <v>1.2</v>
      </c>
      <c r="I976" s="7">
        <v>0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5119</v>
      </c>
      <c r="O976" s="12"/>
      <c r="P976" s="13"/>
      <c r="Q976" s="14">
        <f>Tabela1[[#This Row],[QTDE/ Fabricação]]-Tabela1[[#This Row],[QTE]]</f>
        <v>-4</v>
      </c>
      <c r="R976" s="18">
        <f t="shared" si="192"/>
        <v>0</v>
      </c>
      <c r="S976" s="18">
        <f t="shared" si="193"/>
        <v>0</v>
      </c>
      <c r="T976" s="19">
        <f t="shared" si="194"/>
        <v>-1.2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5"/>
        <v>-4</v>
      </c>
      <c r="Z976" s="20">
        <f>Tabela1[[#This Row],[PESO TOTAL]]-Tabela1[[#This Row],[Peso Expedido]]</f>
        <v>1.2</v>
      </c>
      <c r="AA976" s="17"/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5234</v>
      </c>
      <c r="B977" s="21" t="s">
        <v>5235</v>
      </c>
      <c r="C977" s="1">
        <v>2</v>
      </c>
      <c r="D977" s="1" t="s">
        <v>5241</v>
      </c>
      <c r="E977" s="7">
        <v>4632</v>
      </c>
      <c r="F977" s="7">
        <v>61</v>
      </c>
      <c r="G977" s="1">
        <v>14.4</v>
      </c>
      <c r="H977" s="34">
        <f>Tabela1[[#This Row],[PESO UNI]]*Tabela1[[#This Row],[QTE]]</f>
        <v>28.8</v>
      </c>
      <c r="I977" s="7">
        <v>0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5119</v>
      </c>
      <c r="O977" s="12"/>
      <c r="P977" s="13"/>
      <c r="Q977" s="14">
        <f>Tabela1[[#This Row],[QTDE/ Fabricação]]-Tabela1[[#This Row],[QTE]]</f>
        <v>-2</v>
      </c>
      <c r="R977" s="18">
        <f t="shared" si="192"/>
        <v>0</v>
      </c>
      <c r="S977" s="18">
        <f t="shared" si="193"/>
        <v>0</v>
      </c>
      <c r="T977" s="19">
        <f t="shared" si="194"/>
        <v>-28.8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5"/>
        <v>-2</v>
      </c>
      <c r="Z977" s="20">
        <f>Tabela1[[#This Row],[PESO TOTAL]]-Tabela1[[#This Row],[Peso Expedido]]</f>
        <v>28.8</v>
      </c>
      <c r="AA977" s="17"/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5242</v>
      </c>
      <c r="B978" s="21" t="s">
        <v>5243</v>
      </c>
      <c r="C978" s="1">
        <v>1</v>
      </c>
      <c r="D978" s="1" t="s">
        <v>5244</v>
      </c>
      <c r="E978" s="7">
        <v>4633</v>
      </c>
      <c r="F978" s="7">
        <v>61</v>
      </c>
      <c r="G978" s="1">
        <v>408.6</v>
      </c>
      <c r="H978" s="34">
        <f>Tabela1[[#This Row],[PESO UNI]]*Tabela1[[#This Row],[QTE]]</f>
        <v>408.6</v>
      </c>
      <c r="I978" s="7">
        <v>0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5119</v>
      </c>
      <c r="O978" s="12"/>
      <c r="P978" s="13"/>
      <c r="Q978" s="14">
        <f>Tabela1[[#This Row],[QTDE/ Fabricação]]-Tabela1[[#This Row],[QTE]]</f>
        <v>-1</v>
      </c>
      <c r="R978" s="18">
        <f t="shared" si="192"/>
        <v>0</v>
      </c>
      <c r="S978" s="18">
        <f t="shared" si="193"/>
        <v>0</v>
      </c>
      <c r="T978" s="19">
        <f t="shared" si="194"/>
        <v>-408.6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5"/>
        <v>-1</v>
      </c>
      <c r="Z978" s="20">
        <f>Tabela1[[#This Row],[PESO TOTAL]]-Tabela1[[#This Row],[Peso Expedido]]</f>
        <v>408.6</v>
      </c>
      <c r="AA978" s="17"/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5245</v>
      </c>
      <c r="B979" s="21" t="s">
        <v>5246</v>
      </c>
      <c r="C979" s="1">
        <v>2</v>
      </c>
      <c r="D979" s="1" t="s">
        <v>5247</v>
      </c>
      <c r="E979" s="7">
        <v>4634</v>
      </c>
      <c r="F979" s="7">
        <v>61</v>
      </c>
      <c r="G979" s="1">
        <v>31.3</v>
      </c>
      <c r="H979" s="34">
        <f>Tabela1[[#This Row],[PESO UNI]]*Tabela1[[#This Row],[QTE]]</f>
        <v>62.6</v>
      </c>
      <c r="I979" s="7">
        <v>0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5119</v>
      </c>
      <c r="O979" s="12"/>
      <c r="P979" s="13"/>
      <c r="Q979" s="14">
        <f>Tabela1[[#This Row],[QTDE/ Fabricação]]-Tabela1[[#This Row],[QTE]]</f>
        <v>-2</v>
      </c>
      <c r="R979" s="18">
        <f t="shared" si="192"/>
        <v>0</v>
      </c>
      <c r="S979" s="18">
        <f t="shared" si="193"/>
        <v>0</v>
      </c>
      <c r="T979" s="19">
        <f t="shared" si="194"/>
        <v>-62.6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5"/>
        <v>-2</v>
      </c>
      <c r="Z979" s="20">
        <f>Tabela1[[#This Row],[PESO TOTAL]]-Tabela1[[#This Row],[Peso Expedido]]</f>
        <v>62.6</v>
      </c>
      <c r="AA979" s="17"/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5245</v>
      </c>
      <c r="B980" s="21" t="s">
        <v>5246</v>
      </c>
      <c r="C980" s="1">
        <v>1</v>
      </c>
      <c r="D980" s="1" t="s">
        <v>5248</v>
      </c>
      <c r="E980" s="7">
        <v>4635</v>
      </c>
      <c r="F980" s="7">
        <v>61</v>
      </c>
      <c r="G980" s="1">
        <v>37.200000000000003</v>
      </c>
      <c r="H980" s="34">
        <f>Tabela1[[#This Row],[PESO UNI]]*Tabela1[[#This Row],[QTE]]</f>
        <v>37.200000000000003</v>
      </c>
      <c r="I980" s="7">
        <v>0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5119</v>
      </c>
      <c r="O980" s="12"/>
      <c r="P980" s="13"/>
      <c r="Q980" s="14">
        <f>Tabela1[[#This Row],[QTDE/ Fabricação]]-Tabela1[[#This Row],[QTE]]</f>
        <v>-1</v>
      </c>
      <c r="R980" s="18">
        <f t="shared" si="192"/>
        <v>0</v>
      </c>
      <c r="S980" s="18">
        <f t="shared" si="193"/>
        <v>0</v>
      </c>
      <c r="T980" s="19">
        <f t="shared" si="194"/>
        <v>-37.200000000000003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5"/>
        <v>-1</v>
      </c>
      <c r="Z980" s="20">
        <f>Tabela1[[#This Row],[PESO TOTAL]]-Tabela1[[#This Row],[Peso Expedido]]</f>
        <v>37.200000000000003</v>
      </c>
      <c r="AA980" s="17"/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5245</v>
      </c>
      <c r="B981" s="21" t="s">
        <v>5246</v>
      </c>
      <c r="C981" s="1">
        <v>2</v>
      </c>
      <c r="D981" s="1" t="s">
        <v>5249</v>
      </c>
      <c r="E981" s="7">
        <v>4636</v>
      </c>
      <c r="F981" s="7">
        <v>61</v>
      </c>
      <c r="G981" s="1">
        <v>230.4</v>
      </c>
      <c r="H981" s="34">
        <f>Tabela1[[#This Row],[PESO UNI]]*Tabela1[[#This Row],[QTE]]</f>
        <v>460.8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5119</v>
      </c>
      <c r="O981" s="12"/>
      <c r="P981" s="13"/>
      <c r="Q981" s="14">
        <f>Tabela1[[#This Row],[QTDE/ Fabricação]]-Tabela1[[#This Row],[QTE]]</f>
        <v>-2</v>
      </c>
      <c r="R981" s="18">
        <f t="shared" si="192"/>
        <v>0</v>
      </c>
      <c r="S981" s="18">
        <f t="shared" si="193"/>
        <v>0</v>
      </c>
      <c r="T981" s="19">
        <f t="shared" si="194"/>
        <v>-460.8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5"/>
        <v>-2</v>
      </c>
      <c r="Z981" s="20">
        <f>Tabela1[[#This Row],[PESO TOTAL]]-Tabela1[[#This Row],[Peso Expedido]]</f>
        <v>460.8</v>
      </c>
      <c r="AA981" s="17"/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5245</v>
      </c>
      <c r="B982" s="21" t="s">
        <v>5246</v>
      </c>
      <c r="C982" s="1">
        <v>2</v>
      </c>
      <c r="D982" s="1" t="s">
        <v>5250</v>
      </c>
      <c r="E982" s="7">
        <v>4637</v>
      </c>
      <c r="F982" s="7">
        <v>61</v>
      </c>
      <c r="G982" s="1">
        <v>8.9</v>
      </c>
      <c r="H982" s="34">
        <f>Tabela1[[#This Row],[PESO UNI]]*Tabela1[[#This Row],[QTE]]</f>
        <v>17.8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5119</v>
      </c>
      <c r="O982" s="12"/>
      <c r="P982" s="13"/>
      <c r="Q982" s="14">
        <f>Tabela1[[#This Row],[QTDE/ Fabricação]]-Tabela1[[#This Row],[QTE]]</f>
        <v>-2</v>
      </c>
      <c r="R982" s="18">
        <f t="shared" si="192"/>
        <v>0</v>
      </c>
      <c r="S982" s="18">
        <f t="shared" si="193"/>
        <v>0</v>
      </c>
      <c r="T982" s="19">
        <f t="shared" si="194"/>
        <v>-17.8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5"/>
        <v>-2</v>
      </c>
      <c r="Z982" s="20">
        <f>Tabela1[[#This Row],[PESO TOTAL]]-Tabela1[[#This Row],[Peso Expedido]]</f>
        <v>17.8</v>
      </c>
      <c r="AA982" s="17"/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5245</v>
      </c>
      <c r="B983" s="21" t="s">
        <v>5246</v>
      </c>
      <c r="C983" s="1">
        <v>2</v>
      </c>
      <c r="D983" s="1" t="s">
        <v>5251</v>
      </c>
      <c r="E983" s="7">
        <v>4638</v>
      </c>
      <c r="F983" s="7">
        <v>61</v>
      </c>
      <c r="G983" s="1">
        <v>1.6</v>
      </c>
      <c r="H983" s="34">
        <f>Tabela1[[#This Row],[PESO UNI]]*Tabela1[[#This Row],[QTE]]</f>
        <v>3.2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5119</v>
      </c>
      <c r="O983" s="12"/>
      <c r="P983" s="13"/>
      <c r="Q983" s="14">
        <f>Tabela1[[#This Row],[QTDE/ Fabricação]]-Tabela1[[#This Row],[QTE]]</f>
        <v>-2</v>
      </c>
      <c r="R983" s="18">
        <f t="shared" si="192"/>
        <v>0</v>
      </c>
      <c r="S983" s="18">
        <f t="shared" si="193"/>
        <v>0</v>
      </c>
      <c r="T983" s="19">
        <f t="shared" si="194"/>
        <v>-3.2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5"/>
        <v>-2</v>
      </c>
      <c r="Z983" s="20">
        <f>Tabela1[[#This Row],[PESO TOTAL]]-Tabela1[[#This Row],[Peso Expedido]]</f>
        <v>3.2</v>
      </c>
      <c r="AA983" s="17"/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5245</v>
      </c>
      <c r="B984" s="21" t="s">
        <v>5246</v>
      </c>
      <c r="C984" s="1">
        <v>4</v>
      </c>
      <c r="D984" s="1" t="s">
        <v>5252</v>
      </c>
      <c r="E984" s="7">
        <v>4639</v>
      </c>
      <c r="F984" s="7">
        <v>61</v>
      </c>
      <c r="G984" s="1">
        <v>0.3</v>
      </c>
      <c r="H984" s="34">
        <f>Tabela1[[#This Row],[PESO UNI]]*Tabela1[[#This Row],[QTE]]</f>
        <v>1.2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5119</v>
      </c>
      <c r="O984" s="12"/>
      <c r="P984" s="13"/>
      <c r="Q984" s="14">
        <f>Tabela1[[#This Row],[QTDE/ Fabricação]]-Tabela1[[#This Row],[QTE]]</f>
        <v>-4</v>
      </c>
      <c r="R984" s="18">
        <f t="shared" si="192"/>
        <v>0</v>
      </c>
      <c r="S984" s="18">
        <f t="shared" si="193"/>
        <v>0</v>
      </c>
      <c r="T984" s="19">
        <f t="shared" si="194"/>
        <v>-1.2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5"/>
        <v>-4</v>
      </c>
      <c r="Z984" s="20">
        <f>Tabela1[[#This Row],[PESO TOTAL]]-Tabela1[[#This Row],[Peso Expedido]]</f>
        <v>1.2</v>
      </c>
      <c r="AA984" s="17"/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5234</v>
      </c>
      <c r="B985" s="21" t="s">
        <v>5253</v>
      </c>
      <c r="C985" s="1">
        <v>1</v>
      </c>
      <c r="D985" s="1" t="s">
        <v>5254</v>
      </c>
      <c r="E985" s="7">
        <v>4640</v>
      </c>
      <c r="F985" s="7">
        <v>61</v>
      </c>
      <c r="G985" s="1">
        <v>200</v>
      </c>
      <c r="H985" s="34">
        <f>Tabela1[[#This Row],[PESO UNI]]*Tabela1[[#This Row],[QTE]]</f>
        <v>200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5119</v>
      </c>
      <c r="O985" s="12"/>
      <c r="P985" s="13"/>
      <c r="Q985" s="14">
        <f>Tabela1[[#This Row],[QTDE/ Fabricação]]-Tabela1[[#This Row],[QTE]]</f>
        <v>-1</v>
      </c>
      <c r="R985" s="18">
        <f t="shared" si="192"/>
        <v>0</v>
      </c>
      <c r="S985" s="18">
        <f t="shared" si="193"/>
        <v>0</v>
      </c>
      <c r="T985" s="19">
        <f t="shared" si="194"/>
        <v>-200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5"/>
        <v>-1</v>
      </c>
      <c r="Z985" s="20">
        <f>Tabela1[[#This Row],[PESO TOTAL]]-Tabela1[[#This Row],[Peso Expedido]]</f>
        <v>200</v>
      </c>
      <c r="AA985" s="17"/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5234</v>
      </c>
      <c r="B986" s="21" t="s">
        <v>5253</v>
      </c>
      <c r="C986" s="1">
        <v>1</v>
      </c>
      <c r="D986" s="1" t="s">
        <v>5255</v>
      </c>
      <c r="E986" s="7">
        <v>4661</v>
      </c>
      <c r="F986" s="7">
        <v>61</v>
      </c>
      <c r="G986" s="1">
        <v>164.6</v>
      </c>
      <c r="H986" s="34">
        <f>Tabela1[[#This Row],[PESO UNI]]*Tabela1[[#This Row],[QTE]]</f>
        <v>164.6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5119</v>
      </c>
      <c r="O986" s="12"/>
      <c r="P986" s="13"/>
      <c r="Q986" s="14">
        <f>Tabela1[[#This Row],[QTDE/ Fabricação]]-Tabela1[[#This Row],[QTE]]</f>
        <v>-1</v>
      </c>
      <c r="R986" s="18">
        <f t="shared" si="192"/>
        <v>0</v>
      </c>
      <c r="S986" s="18">
        <f t="shared" si="193"/>
        <v>0</v>
      </c>
      <c r="T986" s="19">
        <f t="shared" si="194"/>
        <v>-164.6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5"/>
        <v>-1</v>
      </c>
      <c r="Z986" s="20">
        <f>Tabela1[[#This Row],[PESO TOTAL]]-Tabela1[[#This Row],[Peso Expedido]]</f>
        <v>164.6</v>
      </c>
      <c r="AA986" s="17"/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5242</v>
      </c>
      <c r="B987" s="21" t="s">
        <v>5256</v>
      </c>
      <c r="C987" s="1">
        <v>4</v>
      </c>
      <c r="D987" s="1" t="s">
        <v>5257</v>
      </c>
      <c r="E987" s="7">
        <v>4662</v>
      </c>
      <c r="F987" s="7">
        <v>62</v>
      </c>
      <c r="G987" s="1">
        <v>28.1</v>
      </c>
      <c r="H987" s="34">
        <f>Tabela1[[#This Row],[PESO UNI]]*Tabela1[[#This Row],[QTE]]</f>
        <v>112.4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5119</v>
      </c>
      <c r="O987" s="12"/>
      <c r="P987" s="13"/>
      <c r="Q987" s="14">
        <f>Tabela1[[#This Row],[QTDE/ Fabricação]]-Tabela1[[#This Row],[QTE]]</f>
        <v>-4</v>
      </c>
      <c r="R987" s="18">
        <f t="shared" si="192"/>
        <v>0</v>
      </c>
      <c r="S987" s="18">
        <f t="shared" si="193"/>
        <v>0</v>
      </c>
      <c r="T987" s="19">
        <f t="shared" si="194"/>
        <v>-112.4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5"/>
        <v>-4</v>
      </c>
      <c r="Z987" s="20">
        <f>Tabela1[[#This Row],[PESO TOTAL]]-Tabela1[[#This Row],[Peso Expedido]]</f>
        <v>112.4</v>
      </c>
      <c r="AA987" s="17"/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5242</v>
      </c>
      <c r="B988" s="21" t="s">
        <v>5256</v>
      </c>
      <c r="C988" s="1">
        <v>4</v>
      </c>
      <c r="D988" s="1" t="s">
        <v>5258</v>
      </c>
      <c r="E988" s="7">
        <v>4663</v>
      </c>
      <c r="F988" s="7">
        <v>62</v>
      </c>
      <c r="G988" s="1">
        <v>38.299999999999997</v>
      </c>
      <c r="H988" s="34">
        <f>Tabela1[[#This Row],[PESO UNI]]*Tabela1[[#This Row],[QTE]]</f>
        <v>153.19999999999999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5119</v>
      </c>
      <c r="O988" s="12"/>
      <c r="P988" s="13"/>
      <c r="Q988" s="14">
        <f>Tabela1[[#This Row],[QTDE/ Fabricação]]-Tabela1[[#This Row],[QTE]]</f>
        <v>-4</v>
      </c>
      <c r="R988" s="18">
        <f t="shared" si="192"/>
        <v>0</v>
      </c>
      <c r="S988" s="18">
        <f t="shared" si="193"/>
        <v>0</v>
      </c>
      <c r="T988" s="19">
        <f t="shared" si="194"/>
        <v>-153.19999999999999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5"/>
        <v>-4</v>
      </c>
      <c r="Z988" s="20">
        <f>Tabela1[[#This Row],[PESO TOTAL]]-Tabela1[[#This Row],[Peso Expedido]]</f>
        <v>153.19999999999999</v>
      </c>
      <c r="AA988" s="17"/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5242</v>
      </c>
      <c r="B989" s="21" t="s">
        <v>5256</v>
      </c>
      <c r="C989" s="1">
        <v>2</v>
      </c>
      <c r="D989" s="1" t="s">
        <v>5259</v>
      </c>
      <c r="E989" s="7">
        <v>4664</v>
      </c>
      <c r="F989" s="7">
        <v>62</v>
      </c>
      <c r="G989" s="1">
        <v>15.8</v>
      </c>
      <c r="H989" s="34">
        <f>Tabela1[[#This Row],[PESO UNI]]*Tabela1[[#This Row],[QTE]]</f>
        <v>31.6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5119</v>
      </c>
      <c r="O989" s="12"/>
      <c r="P989" s="13"/>
      <c r="Q989" s="14">
        <f>Tabela1[[#This Row],[QTDE/ Fabricação]]-Tabela1[[#This Row],[QTE]]</f>
        <v>-2</v>
      </c>
      <c r="R989" s="18">
        <f t="shared" si="192"/>
        <v>0</v>
      </c>
      <c r="S989" s="18">
        <f t="shared" si="193"/>
        <v>0</v>
      </c>
      <c r="T989" s="19">
        <f t="shared" si="194"/>
        <v>-31.6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5"/>
        <v>-2</v>
      </c>
      <c r="Z989" s="20">
        <f>Tabela1[[#This Row],[PESO TOTAL]]-Tabela1[[#This Row],[Peso Expedido]]</f>
        <v>31.6</v>
      </c>
      <c r="AA989" s="17"/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5242</v>
      </c>
      <c r="B990" s="21" t="s">
        <v>5256</v>
      </c>
      <c r="C990" s="1">
        <v>4</v>
      </c>
      <c r="D990" s="1" t="s">
        <v>5260</v>
      </c>
      <c r="E990" s="7">
        <v>4665</v>
      </c>
      <c r="F990" s="7">
        <v>62</v>
      </c>
      <c r="G990" s="1">
        <v>28.4</v>
      </c>
      <c r="H990" s="34">
        <f>Tabela1[[#This Row],[PESO UNI]]*Tabela1[[#This Row],[QTE]]</f>
        <v>113.6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5119</v>
      </c>
      <c r="O990" s="12"/>
      <c r="P990" s="13"/>
      <c r="Q990" s="14">
        <f>Tabela1[[#This Row],[QTDE/ Fabricação]]-Tabela1[[#This Row],[QTE]]</f>
        <v>-4</v>
      </c>
      <c r="R990" s="18">
        <f t="shared" si="192"/>
        <v>0</v>
      </c>
      <c r="S990" s="18">
        <f t="shared" si="193"/>
        <v>0</v>
      </c>
      <c r="T990" s="19">
        <f t="shared" si="194"/>
        <v>-113.6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5"/>
        <v>-4</v>
      </c>
      <c r="Z990" s="20">
        <f>Tabela1[[#This Row],[PESO TOTAL]]-Tabela1[[#This Row],[Peso Expedido]]</f>
        <v>113.6</v>
      </c>
      <c r="AA990" s="17"/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5242</v>
      </c>
      <c r="B991" s="21" t="s">
        <v>5256</v>
      </c>
      <c r="C991" s="1">
        <v>4</v>
      </c>
      <c r="D991" s="1" t="s">
        <v>5261</v>
      </c>
      <c r="E991" s="7">
        <v>4666</v>
      </c>
      <c r="F991" s="7">
        <v>62</v>
      </c>
      <c r="G991" s="1">
        <v>29.4</v>
      </c>
      <c r="H991" s="34">
        <f>Tabela1[[#This Row],[PESO UNI]]*Tabela1[[#This Row],[QTE]]</f>
        <v>117.6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5119</v>
      </c>
      <c r="O991" s="12"/>
      <c r="P991" s="13"/>
      <c r="Q991" s="14">
        <f>Tabela1[[#This Row],[QTDE/ Fabricação]]-Tabela1[[#This Row],[QTE]]</f>
        <v>-4</v>
      </c>
      <c r="R991" s="18">
        <f t="shared" si="192"/>
        <v>0</v>
      </c>
      <c r="S991" s="18">
        <f t="shared" si="193"/>
        <v>0</v>
      </c>
      <c r="T991" s="19">
        <f t="shared" si="194"/>
        <v>-117.6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5"/>
        <v>-4</v>
      </c>
      <c r="Z991" s="20">
        <f>Tabela1[[#This Row],[PESO TOTAL]]-Tabela1[[#This Row],[Peso Expedido]]</f>
        <v>117.6</v>
      </c>
      <c r="AA991" s="17"/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5242</v>
      </c>
      <c r="B992" s="21" t="s">
        <v>5256</v>
      </c>
      <c r="C992" s="1">
        <v>5</v>
      </c>
      <c r="D992" s="1" t="s">
        <v>5262</v>
      </c>
      <c r="E992" s="7">
        <v>4667</v>
      </c>
      <c r="F992" s="7">
        <v>62</v>
      </c>
      <c r="G992" s="1">
        <v>28.9</v>
      </c>
      <c r="H992" s="34">
        <f>Tabela1[[#This Row],[PESO UNI]]*Tabela1[[#This Row],[QTE]]</f>
        <v>144.5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5119</v>
      </c>
      <c r="O992" s="12"/>
      <c r="P992" s="13"/>
      <c r="Q992" s="14">
        <f>Tabela1[[#This Row],[QTDE/ Fabricação]]-Tabela1[[#This Row],[QTE]]</f>
        <v>-5</v>
      </c>
      <c r="R992" s="18">
        <f t="shared" si="192"/>
        <v>0</v>
      </c>
      <c r="S992" s="18">
        <f t="shared" si="193"/>
        <v>0</v>
      </c>
      <c r="T992" s="19">
        <f t="shared" si="194"/>
        <v>-144.5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5"/>
        <v>-5</v>
      </c>
      <c r="Z992" s="20">
        <f>Tabela1[[#This Row],[PESO TOTAL]]-Tabela1[[#This Row],[Peso Expedido]]</f>
        <v>144.5</v>
      </c>
      <c r="AA992" s="17"/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5242</v>
      </c>
      <c r="B993" s="21" t="s">
        <v>5256</v>
      </c>
      <c r="C993" s="1">
        <v>8</v>
      </c>
      <c r="D993" s="1" t="s">
        <v>5263</v>
      </c>
      <c r="E993" s="7">
        <v>4668</v>
      </c>
      <c r="F993" s="7">
        <v>62</v>
      </c>
      <c r="G993" s="1">
        <v>0.2</v>
      </c>
      <c r="H993" s="34">
        <f>Tabela1[[#This Row],[PESO UNI]]*Tabela1[[#This Row],[QTE]]</f>
        <v>1.6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5119</v>
      </c>
      <c r="O993" s="12"/>
      <c r="P993" s="13"/>
      <c r="Q993" s="14">
        <f>Tabela1[[#This Row],[QTDE/ Fabricação]]-Tabela1[[#This Row],[QTE]]</f>
        <v>-8</v>
      </c>
      <c r="R993" s="18">
        <f t="shared" si="192"/>
        <v>0</v>
      </c>
      <c r="S993" s="18">
        <f t="shared" si="193"/>
        <v>0</v>
      </c>
      <c r="T993" s="19">
        <f t="shared" si="194"/>
        <v>-1.6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5"/>
        <v>-8</v>
      </c>
      <c r="Z993" s="20">
        <f>Tabela1[[#This Row],[PESO TOTAL]]-Tabela1[[#This Row],[Peso Expedido]]</f>
        <v>1.6</v>
      </c>
      <c r="AA993" s="17"/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76</v>
      </c>
      <c r="B994" s="21"/>
      <c r="C994" s="1">
        <v>40</v>
      </c>
      <c r="D994" s="1" t="s">
        <v>5264</v>
      </c>
      <c r="E994" s="7">
        <v>4669</v>
      </c>
      <c r="F994" s="7">
        <v>1</v>
      </c>
      <c r="G994" s="1">
        <v>6</v>
      </c>
      <c r="H994" s="34">
        <f>Tabela1[[#This Row],[PESO UNI]]*Tabela1[[#This Row],[QTE]]</f>
        <v>240</v>
      </c>
      <c r="I994" s="7" t="s">
        <v>5265</v>
      </c>
      <c r="J994" s="8" t="s">
        <v>5266</v>
      </c>
      <c r="K994" s="8" t="s">
        <v>23</v>
      </c>
      <c r="L994" s="9" t="s">
        <v>5267</v>
      </c>
      <c r="M994" s="10">
        <v>46252</v>
      </c>
      <c r="N994" s="8" t="s">
        <v>38</v>
      </c>
      <c r="O994" s="12"/>
      <c r="P994" s="13"/>
      <c r="Q994" s="14">
        <f>Tabela1[[#This Row],[QTDE/ Fabricação]]-Tabela1[[#This Row],[QTE]]</f>
        <v>-40</v>
      </c>
      <c r="R994" s="18">
        <f t="shared" si="192"/>
        <v>0</v>
      </c>
      <c r="S994" s="18">
        <f t="shared" si="193"/>
        <v>0</v>
      </c>
      <c r="T994" s="19">
        <f t="shared" si="194"/>
        <v>-240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195"/>
        <v>-40</v>
      </c>
      <c r="Z994" s="20">
        <f>Tabela1[[#This Row],[PESO TOTAL]]-Tabela1[[#This Row],[Peso Expedido]]</f>
        <v>240</v>
      </c>
      <c r="AA994" s="17"/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5268</v>
      </c>
      <c r="B995" s="21"/>
      <c r="C995" s="1">
        <v>126</v>
      </c>
      <c r="D995" s="1" t="s">
        <v>5269</v>
      </c>
      <c r="E995" s="7">
        <v>4670</v>
      </c>
      <c r="F995" s="7">
        <v>3</v>
      </c>
      <c r="G995" s="1">
        <v>97.6</v>
      </c>
      <c r="H995" s="34">
        <f>Tabela1[[#This Row],[PESO UNI]]*Tabela1[[#This Row],[QTE]]</f>
        <v>12297.599999999999</v>
      </c>
      <c r="I995" s="7">
        <v>0</v>
      </c>
      <c r="J995" s="8" t="s">
        <v>5270</v>
      </c>
      <c r="K995" s="8" t="s">
        <v>4320</v>
      </c>
      <c r="L995" s="9" t="s">
        <v>5271</v>
      </c>
      <c r="M995" s="10">
        <v>46254</v>
      </c>
      <c r="N995" s="8" t="s">
        <v>38</v>
      </c>
      <c r="O995" s="12"/>
      <c r="P995" s="13"/>
      <c r="Q995" s="14">
        <f>Tabela1[[#This Row],[QTDE/ Fabricação]]-Tabela1[[#This Row],[QTE]]</f>
        <v>-126</v>
      </c>
      <c r="R995" s="18">
        <f t="shared" si="192"/>
        <v>0</v>
      </c>
      <c r="S995" s="18">
        <f t="shared" si="193"/>
        <v>0</v>
      </c>
      <c r="T995" s="19">
        <f t="shared" si="194"/>
        <v>-12297.599999999999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195"/>
        <v>-126</v>
      </c>
      <c r="Z995" s="20">
        <f>Tabela1[[#This Row],[PESO TOTAL]]-Tabela1[[#This Row],[Peso Expedido]]</f>
        <v>12297.599999999999</v>
      </c>
      <c r="AA995" s="17"/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5272</v>
      </c>
      <c r="B996" s="21"/>
      <c r="C996" s="1">
        <v>6</v>
      </c>
      <c r="D996" s="1" t="s">
        <v>5273</v>
      </c>
      <c r="E996" s="7">
        <v>4671</v>
      </c>
      <c r="F996" s="7">
        <v>3</v>
      </c>
      <c r="G996" s="1">
        <v>289.7</v>
      </c>
      <c r="H996" s="34">
        <f>Tabela1[[#This Row],[PESO UNI]]*Tabela1[[#This Row],[QTE]]</f>
        <v>1738.1999999999998</v>
      </c>
      <c r="I996" s="7">
        <v>0</v>
      </c>
      <c r="J996" s="8" t="s">
        <v>5270</v>
      </c>
      <c r="K996" s="8" t="s">
        <v>4320</v>
      </c>
      <c r="L996" s="9" t="s">
        <v>5271</v>
      </c>
      <c r="M996" s="10">
        <v>46254</v>
      </c>
      <c r="N996" s="8" t="s">
        <v>5292</v>
      </c>
      <c r="O996" s="12"/>
      <c r="P996" s="13"/>
      <c r="Q996" s="14">
        <f>Tabela1[[#This Row],[QTDE/ Fabricação]]-Tabela1[[#This Row],[QTE]]</f>
        <v>-6</v>
      </c>
      <c r="R996" s="18">
        <f t="shared" si="192"/>
        <v>0</v>
      </c>
      <c r="S996" s="18">
        <f t="shared" si="193"/>
        <v>0</v>
      </c>
      <c r="T996" s="19">
        <f t="shared" si="194"/>
        <v>-1738.1999999999998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195"/>
        <v>-6</v>
      </c>
      <c r="Z996" s="20">
        <f>Tabela1[[#This Row],[PESO TOTAL]]-Tabela1[[#This Row],[Peso Expedido]]</f>
        <v>1738.1999999999998</v>
      </c>
      <c r="AA996" s="17"/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5274</v>
      </c>
      <c r="B997" s="21"/>
      <c r="C997" s="1">
        <v>2</v>
      </c>
      <c r="D997" s="1" t="s">
        <v>5275</v>
      </c>
      <c r="E997" s="7">
        <v>4672</v>
      </c>
      <c r="F997" s="7">
        <v>3</v>
      </c>
      <c r="G997" s="1">
        <v>289.7</v>
      </c>
      <c r="H997" s="34">
        <f>Tabela1[[#This Row],[PESO UNI]]*Tabela1[[#This Row],[QTE]]</f>
        <v>579.4</v>
      </c>
      <c r="I997" s="7">
        <v>0</v>
      </c>
      <c r="J997" s="8" t="s">
        <v>5270</v>
      </c>
      <c r="K997" s="8" t="s">
        <v>4320</v>
      </c>
      <c r="L997" s="9" t="s">
        <v>5271</v>
      </c>
      <c r="M997" s="10">
        <v>46254</v>
      </c>
      <c r="N997" s="8" t="s">
        <v>5292</v>
      </c>
      <c r="O997" s="12"/>
      <c r="P997" s="13"/>
      <c r="Q997" s="14">
        <f>Tabela1[[#This Row],[QTDE/ Fabricação]]-Tabela1[[#This Row],[QTE]]</f>
        <v>-2</v>
      </c>
      <c r="R997" s="18">
        <f t="shared" ref="R997:R1004" si="196">IFERROR(H997*((AA997*0.25)+(AC997*0.25)+(AD997*0.225)+(AE997*0.225)+(AF997*0.05)),"")</f>
        <v>0</v>
      </c>
      <c r="S997" s="18">
        <f t="shared" ref="S997:S1004" si="197">IFERROR(H997*AG997,"")</f>
        <v>0</v>
      </c>
      <c r="T997" s="19">
        <f t="shared" ref="T997:T1004" si="198">IFERROR(S997-H997,"")</f>
        <v>-579.4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ref="Y997:Y1004" si="199">U997-C997</f>
        <v>-2</v>
      </c>
      <c r="Z997" s="20">
        <f>Tabela1[[#This Row],[PESO TOTAL]]-Tabela1[[#This Row],[Peso Expedido]]</f>
        <v>579.4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5276</v>
      </c>
      <c r="B998" s="21"/>
      <c r="C998" s="1">
        <v>1</v>
      </c>
      <c r="D998" s="1" t="s">
        <v>5277</v>
      </c>
      <c r="E998" s="7">
        <v>4673</v>
      </c>
      <c r="F998" s="7">
        <v>3</v>
      </c>
      <c r="G998" s="1">
        <v>588</v>
      </c>
      <c r="H998" s="34">
        <f>Tabela1[[#This Row],[PESO UNI]]*Tabela1[[#This Row],[QTE]]</f>
        <v>588</v>
      </c>
      <c r="I998" s="7">
        <v>0</v>
      </c>
      <c r="J998" s="8" t="s">
        <v>5270</v>
      </c>
      <c r="K998" s="8" t="s">
        <v>4320</v>
      </c>
      <c r="L998" s="9" t="s">
        <v>5271</v>
      </c>
      <c r="M998" s="10">
        <v>46254</v>
      </c>
      <c r="N998" s="8" t="s">
        <v>5292</v>
      </c>
      <c r="O998" s="12"/>
      <c r="P998" s="13"/>
      <c r="Q998" s="14">
        <f>Tabela1[[#This Row],[QTDE/ Fabricação]]-Tabela1[[#This Row],[QTE]]</f>
        <v>-1</v>
      </c>
      <c r="R998" s="18">
        <f t="shared" si="196"/>
        <v>0</v>
      </c>
      <c r="S998" s="18">
        <f t="shared" si="197"/>
        <v>0</v>
      </c>
      <c r="T998" s="19">
        <f t="shared" si="198"/>
        <v>-588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199"/>
        <v>-1</v>
      </c>
      <c r="Z998" s="20">
        <f>Tabela1[[#This Row],[PESO TOTAL]]-Tabela1[[#This Row],[Peso Expedido]]</f>
        <v>588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5278</v>
      </c>
      <c r="B999" s="21"/>
      <c r="C999" s="1">
        <v>1</v>
      </c>
      <c r="D999" s="1" t="s">
        <v>5280</v>
      </c>
      <c r="E999" s="7">
        <v>4674</v>
      </c>
      <c r="F999" s="7">
        <v>3</v>
      </c>
      <c r="G999" s="1">
        <v>743</v>
      </c>
      <c r="H999" s="34">
        <f>Tabela1[[#This Row],[PESO UNI]]*Tabela1[[#This Row],[QTE]]</f>
        <v>743</v>
      </c>
      <c r="I999" s="7">
        <v>2</v>
      </c>
      <c r="J999" s="8" t="s">
        <v>5270</v>
      </c>
      <c r="K999" s="8" t="s">
        <v>4320</v>
      </c>
      <c r="L999" s="9" t="s">
        <v>5271</v>
      </c>
      <c r="M999" s="10">
        <v>46254</v>
      </c>
      <c r="N999" s="8" t="s">
        <v>5292</v>
      </c>
      <c r="O999" s="12"/>
      <c r="P999" s="13"/>
      <c r="Q999" s="14">
        <f>Tabela1[[#This Row],[QTDE/ Fabricação]]-Tabela1[[#This Row],[QTE]]</f>
        <v>-1</v>
      </c>
      <c r="R999" s="18">
        <f t="shared" si="196"/>
        <v>0</v>
      </c>
      <c r="S999" s="18">
        <f t="shared" si="197"/>
        <v>0</v>
      </c>
      <c r="T999" s="19">
        <f t="shared" si="198"/>
        <v>-743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199"/>
        <v>-1</v>
      </c>
      <c r="Z999" s="20">
        <f>Tabela1[[#This Row],[PESO TOTAL]]-Tabela1[[#This Row],[Peso Expedido]]</f>
        <v>743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5279</v>
      </c>
      <c r="B1000" s="21"/>
      <c r="C1000" s="1">
        <v>6</v>
      </c>
      <c r="D1000" s="1" t="s">
        <v>5281</v>
      </c>
      <c r="E1000" s="7">
        <v>4675</v>
      </c>
      <c r="F1000" s="7">
        <v>3</v>
      </c>
      <c r="G1000" s="1">
        <v>503.8</v>
      </c>
      <c r="H1000" s="34">
        <f>Tabela1[[#This Row],[PESO UNI]]*Tabela1[[#This Row],[QTE]]</f>
        <v>3022.8</v>
      </c>
      <c r="I1000" s="7">
        <v>0</v>
      </c>
      <c r="J1000" s="8" t="s">
        <v>5270</v>
      </c>
      <c r="K1000" s="8" t="s">
        <v>4320</v>
      </c>
      <c r="L1000" s="9" t="s">
        <v>5271</v>
      </c>
      <c r="M1000" s="10">
        <v>46254</v>
      </c>
      <c r="N1000" s="8" t="s">
        <v>5292</v>
      </c>
      <c r="O1000" s="12"/>
      <c r="P1000" s="13"/>
      <c r="Q1000" s="14">
        <f>Tabela1[[#This Row],[QTDE/ Fabricação]]-Tabela1[[#This Row],[QTE]]</f>
        <v>-6</v>
      </c>
      <c r="R1000" s="18">
        <f t="shared" si="196"/>
        <v>0</v>
      </c>
      <c r="S1000" s="18">
        <f t="shared" si="197"/>
        <v>0</v>
      </c>
      <c r="T1000" s="19">
        <f t="shared" si="198"/>
        <v>-3022.8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199"/>
        <v>-6</v>
      </c>
      <c r="Z1000" s="20">
        <f>Tabela1[[#This Row],[PESO TOTAL]]-Tabela1[[#This Row],[Peso Expedido]]</f>
        <v>3022.8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1" t="s">
        <v>5282</v>
      </c>
      <c r="B1001" s="21"/>
      <c r="C1001" s="1">
        <v>64</v>
      </c>
      <c r="D1001" s="1" t="s">
        <v>5284</v>
      </c>
      <c r="E1001" s="7">
        <v>4676</v>
      </c>
      <c r="F1001" s="7">
        <v>3</v>
      </c>
      <c r="G1001" s="1">
        <v>8.6</v>
      </c>
      <c r="H1001" s="34">
        <f>Tabela1[[#This Row],[PESO UNI]]*Tabela1[[#This Row],[QTE]]</f>
        <v>550.4</v>
      </c>
      <c r="I1001" s="7">
        <v>0</v>
      </c>
      <c r="J1001" s="8" t="s">
        <v>5270</v>
      </c>
      <c r="K1001" s="8" t="s">
        <v>4320</v>
      </c>
      <c r="L1001" s="9" t="s">
        <v>5271</v>
      </c>
      <c r="M1001" s="10">
        <v>46254</v>
      </c>
      <c r="N1001" s="8" t="s">
        <v>5292</v>
      </c>
      <c r="O1001" s="12"/>
      <c r="P1001" s="13"/>
      <c r="Q1001" s="14">
        <f>Tabela1[[#This Row],[QTDE/ Fabricação]]-Tabela1[[#This Row],[QTE]]</f>
        <v>-64</v>
      </c>
      <c r="R1001" s="18">
        <f t="shared" si="196"/>
        <v>0</v>
      </c>
      <c r="S1001" s="18">
        <f t="shared" si="197"/>
        <v>0</v>
      </c>
      <c r="T1001" s="19">
        <f t="shared" si="198"/>
        <v>-550.4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199"/>
        <v>-64</v>
      </c>
      <c r="Z1001" s="20">
        <f>Tabela1[[#This Row],[PESO TOTAL]]-Tabela1[[#This Row],[Peso Expedido]]</f>
        <v>550.4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5283</v>
      </c>
      <c r="B1002" s="21"/>
      <c r="C1002" s="1">
        <v>1</v>
      </c>
      <c r="D1002" s="1" t="s">
        <v>5285</v>
      </c>
      <c r="E1002" s="7">
        <v>4677</v>
      </c>
      <c r="F1002" s="7">
        <v>3</v>
      </c>
      <c r="G1002" s="1">
        <v>503.8</v>
      </c>
      <c r="H1002" s="34">
        <f>Tabela1[[#This Row],[PESO UNI]]*Tabela1[[#This Row],[QTE]]</f>
        <v>503.8</v>
      </c>
      <c r="I1002" s="7">
        <v>0</v>
      </c>
      <c r="J1002" s="8" t="s">
        <v>5270</v>
      </c>
      <c r="K1002" s="8" t="s">
        <v>4320</v>
      </c>
      <c r="L1002" s="9" t="s">
        <v>5271</v>
      </c>
      <c r="M1002" s="10">
        <v>46254</v>
      </c>
      <c r="N1002" s="8" t="s">
        <v>5292</v>
      </c>
      <c r="O1002" s="12"/>
      <c r="P1002" s="13"/>
      <c r="Q1002" s="14">
        <f>Tabela1[[#This Row],[QTDE/ Fabricação]]-Tabela1[[#This Row],[QTE]]</f>
        <v>-1</v>
      </c>
      <c r="R1002" s="18">
        <f t="shared" si="196"/>
        <v>0</v>
      </c>
      <c r="S1002" s="18">
        <f t="shared" si="197"/>
        <v>0</v>
      </c>
      <c r="T1002" s="19">
        <f t="shared" si="198"/>
        <v>-503.8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199"/>
        <v>-1</v>
      </c>
      <c r="Z1002" s="20">
        <f>Tabela1[[#This Row],[PESO TOTAL]]-Tabela1[[#This Row],[Peso Expedido]]</f>
        <v>503.8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1" t="s">
        <v>5286</v>
      </c>
      <c r="B1003" s="21"/>
      <c r="C1003" s="1">
        <v>3</v>
      </c>
      <c r="D1003" s="1" t="s">
        <v>5287</v>
      </c>
      <c r="E1003" s="7">
        <v>4678</v>
      </c>
      <c r="F1003" s="7">
        <v>3</v>
      </c>
      <c r="G1003" s="1">
        <v>406.1</v>
      </c>
      <c r="H1003" s="34">
        <f>Tabela1[[#This Row],[PESO UNI]]*Tabela1[[#This Row],[QTE]]</f>
        <v>1218.3000000000002</v>
      </c>
      <c r="I1003" s="7">
        <v>0</v>
      </c>
      <c r="J1003" s="8" t="s">
        <v>5270</v>
      </c>
      <c r="K1003" s="8" t="s">
        <v>4320</v>
      </c>
      <c r="L1003" s="9" t="s">
        <v>5271</v>
      </c>
      <c r="M1003" s="10">
        <v>46254</v>
      </c>
      <c r="N1003" s="8" t="s">
        <v>5292</v>
      </c>
      <c r="O1003" s="12"/>
      <c r="P1003" s="13"/>
      <c r="Q1003" s="14">
        <f>Tabela1[[#This Row],[QTDE/ Fabricação]]-Tabela1[[#This Row],[QTE]]</f>
        <v>-3</v>
      </c>
      <c r="R1003" s="18">
        <f t="shared" si="196"/>
        <v>0</v>
      </c>
      <c r="S1003" s="18">
        <f t="shared" si="197"/>
        <v>0</v>
      </c>
      <c r="T1003" s="19">
        <f t="shared" si="198"/>
        <v>-1218.3000000000002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199"/>
        <v>-3</v>
      </c>
      <c r="Z1003" s="20">
        <f>Tabela1[[#This Row],[PESO TOTAL]]-Tabela1[[#This Row],[Peso Expedido]]</f>
        <v>1218.3000000000002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1" t="s">
        <v>5288</v>
      </c>
      <c r="B1004" s="21"/>
      <c r="C1004" s="1">
        <v>252</v>
      </c>
      <c r="D1004" s="1" t="s">
        <v>5289</v>
      </c>
      <c r="E1004" s="7">
        <v>4679</v>
      </c>
      <c r="F1004" s="7">
        <v>3</v>
      </c>
      <c r="G1004" s="1">
        <v>11.8</v>
      </c>
      <c r="H1004" s="34">
        <f>Tabela1[[#This Row],[PESO UNI]]*Tabela1[[#This Row],[QTE]]</f>
        <v>2973.6000000000004</v>
      </c>
      <c r="I1004" s="7">
        <v>0</v>
      </c>
      <c r="J1004" s="8" t="s">
        <v>5270</v>
      </c>
      <c r="K1004" s="8" t="s">
        <v>4320</v>
      </c>
      <c r="L1004" s="9" t="s">
        <v>5271</v>
      </c>
      <c r="M1004" s="10">
        <v>46254</v>
      </c>
      <c r="N1004" s="8" t="s">
        <v>38</v>
      </c>
      <c r="O1004" s="12"/>
      <c r="P1004" s="13"/>
      <c r="Q1004" s="14">
        <f>Tabela1[[#This Row],[QTDE/ Fabricação]]-Tabela1[[#This Row],[QTE]]</f>
        <v>-252</v>
      </c>
      <c r="R1004" s="18">
        <f t="shared" si="196"/>
        <v>0</v>
      </c>
      <c r="S1004" s="18">
        <f t="shared" si="197"/>
        <v>0</v>
      </c>
      <c r="T1004" s="19">
        <f t="shared" si="198"/>
        <v>-2973.6000000000004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199"/>
        <v>-252</v>
      </c>
      <c r="Z1004" s="20">
        <f>Tabela1[[#This Row],[PESO TOTAL]]-Tabela1[[#This Row],[Peso Expedido]]</f>
        <v>2973.6000000000004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</sheetData>
  <phoneticPr fontId="6" type="noConversion"/>
  <conditionalFormatting sqref="E2:E458 AA29:AH449 AI29:AI459 AA452:AD453 AA454:AB458 AD454:AD458 AA486:AH604 E556:E604 L605 J605:J1004 E606:E1004 AA762:AJ762 AC762:AE763 AA763:AI1004">
    <cfRule type="expression" dxfId="63" priority="415">
      <formula>$AI2="OK"</formula>
    </cfRule>
  </conditionalFormatting>
  <conditionalFormatting sqref="F564:F1004 B606:B1004 H606:I1004 K764:O1004">
    <cfRule type="expression" dxfId="62" priority="299">
      <formula>#REF!="OK"</formula>
    </cfRule>
  </conditionalFormatting>
  <conditionalFormatting sqref="H419">
    <cfRule type="expression" dxfId="61" priority="27208">
      <formula>$AI449="OK"</formula>
    </cfRule>
  </conditionalFormatting>
  <conditionalFormatting sqref="H420:H438">
    <cfRule type="expression" dxfId="60" priority="27198">
      <formula>$AI459="OK"</formula>
    </cfRule>
  </conditionalFormatting>
  <conditionalFormatting sqref="H576">
    <cfRule type="expression" dxfId="59" priority="27175">
      <formula>$AI604="OK"</formula>
    </cfRule>
  </conditionalFormatting>
  <conditionalFormatting sqref="K153:K438 K445:K458 L448:L449 L762:O763">
    <cfRule type="expression" dxfId="58" priority="424">
      <formula>#REF!="OK"</formula>
    </cfRule>
  </conditionalFormatting>
  <conditionalFormatting sqref="K762:K763">
    <cfRule type="expression" dxfId="57" priority="307">
      <formula>$AI1024="OK"</formula>
    </cfRule>
  </conditionalFormatting>
  <conditionalFormatting sqref="L2:L27 H415:H417">
    <cfRule type="expression" dxfId="56" priority="26951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5" priority="421">
      <formula>$AI72="OK"</formula>
    </cfRule>
  </conditionalFormatting>
  <conditionalFormatting sqref="L408">
    <cfRule type="expression" dxfId="54" priority="27200">
      <formula>$AI449="OK"</formula>
    </cfRule>
  </conditionalFormatting>
  <conditionalFormatting sqref="L409:L438">
    <cfRule type="expression" dxfId="53" priority="27053">
      <formula>$AI459="OK"</formula>
    </cfRule>
  </conditionalFormatting>
  <conditionalFormatting sqref="N2:N458">
    <cfRule type="expression" dxfId="52" priority="305">
      <formula>#REF!="OK"</formula>
    </cfRule>
  </conditionalFormatting>
  <conditionalFormatting sqref="O450:O458">
    <cfRule type="cellIs" dxfId="51" priority="370" operator="lessThan">
      <formula>0</formula>
    </cfRule>
  </conditionalFormatting>
  <conditionalFormatting sqref="O450:P452 H449 R449 A450:D452 F450:F452 M450:M452 H450:J458 P457:P458">
    <cfRule type="expression" dxfId="50" priority="27009">
      <formula>$AI503="OK"</formula>
    </cfRule>
  </conditionalFormatting>
  <conditionalFormatting sqref="O453:P453">
    <cfRule type="expression" dxfId="49" priority="381">
      <formula>#REF!="OK"</formula>
    </cfRule>
  </conditionalFormatting>
  <conditionalFormatting sqref="O2:Z27 A2:D27 F2:F27 H2:K27 M2:M27 H153:H413 H459:H571">
    <cfRule type="expression" dxfId="48" priority="26984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47" priority="26682">
      <formula>$AI73="OK"</formula>
    </cfRule>
  </conditionalFormatting>
  <conditionalFormatting sqref="O108:Z108 A108:D108 F108 H108:K108 M108 L109">
    <cfRule type="expression" dxfId="46" priority="27317">
      <formula>#REF!="OK"</formula>
    </cfRule>
  </conditionalFormatting>
  <conditionalFormatting sqref="O402:Z402 O406:Z406 A402:D402 F402 I402:J402 M402 L403 A406:D406 F406 I406:J406 M406 L407 H414 H418">
    <cfRule type="expression" dxfId="45" priority="27201">
      <formula>#REF!="OK"</formula>
    </cfRule>
  </conditionalFormatting>
  <conditionalFormatting sqref="O403:Z405 L110:L152 L214:L256 L396:L402 A403:D405 F403:F405 I403:J405 M403:M405">
    <cfRule type="expression" dxfId="44" priority="26888">
      <formula>$AI153="OK"</formula>
    </cfRule>
  </conditionalFormatting>
  <conditionalFormatting sqref="O407:Z407 L404:L406 A407:D407 F407 I407:J407 M407">
    <cfRule type="expression" dxfId="43" priority="27210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2" priority="27023">
      <formula>$AI499="OK"</formula>
    </cfRule>
  </conditionalFormatting>
  <conditionalFormatting sqref="O559:Z562 Z560:Z563 B559:B562 F559:F562 I559:I562 M559:M562 H572:H575">
    <cfRule type="expression" dxfId="41" priority="27138">
      <formula>#REF!="OK"</formula>
    </cfRule>
  </conditionalFormatting>
  <conditionalFormatting sqref="O563:Z563 B563 F563 I563 M563">
    <cfRule type="expression" dxfId="40" priority="27052">
      <formula>$AI604="OK"</formula>
    </cfRule>
  </conditionalFormatting>
  <conditionalFormatting sqref="P762:Z834">
    <cfRule type="expression" dxfId="39" priority="27337">
      <formula>$AI1034="OK"</formula>
    </cfRule>
  </conditionalFormatting>
  <conditionalFormatting sqref="P835:Z1004">
    <cfRule type="expression" dxfId="38" priority="27392">
      <formula>$AI1105="OK"</formula>
    </cfRule>
  </conditionalFormatting>
  <conditionalFormatting sqref="P837:Z1004">
    <cfRule type="expression" dxfId="37" priority="27394">
      <formula>$AI1106="OK"</formula>
    </cfRule>
  </conditionalFormatting>
  <conditionalFormatting sqref="Q2:Q456 Q459:Q1004">
    <cfRule type="cellIs" dxfId="36" priority="26650" operator="lessThan">
      <formula>0</formula>
    </cfRule>
  </conditionalFormatting>
  <conditionalFormatting sqref="Q2:Q456">
    <cfRule type="cellIs" dxfId="35" priority="26651" operator="greaterThanOrEqual">
      <formula>0</formula>
    </cfRule>
  </conditionalFormatting>
  <conditionalFormatting sqref="S211">
    <cfRule type="expression" dxfId="34" priority="422">
      <formula>#REF!="OK"</formula>
    </cfRule>
  </conditionalFormatting>
  <conditionalFormatting sqref="S393">
    <cfRule type="expression" dxfId="33" priority="423">
      <formula>#REF!="OK"</formula>
    </cfRule>
  </conditionalFormatting>
  <conditionalFormatting sqref="S447:Z447 O447:Q447 A447:D447 F447 J447 M447 A453:D453 F453 M453 L454:L458">
    <cfRule type="expression" dxfId="32" priority="27008">
      <formula>#REF!="OK"</formula>
    </cfRule>
  </conditionalFormatting>
  <conditionalFormatting sqref="T2:T1004 Y2:Z1004 O450:O458 Q459:Q1004">
    <cfRule type="cellIs" dxfId="31" priority="371" operator="greaterThanOrEqual">
      <formula>0</formula>
    </cfRule>
  </conditionalFormatting>
  <conditionalFormatting sqref="T2:T1004 Y2:Z1004">
    <cfRule type="cellIs" dxfId="30" priority="26652" operator="lessThan">
      <formula>0</formula>
    </cfRule>
  </conditionalFormatting>
  <conditionalFormatting sqref="T212:Z212 O212:R212 A212:D212 F212 I212:J212 M212">
    <cfRule type="expression" dxfId="29" priority="26862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8" priority="26750">
      <formula>$AI257="OK"</formula>
    </cfRule>
  </conditionalFormatting>
  <conditionalFormatting sqref="T394:Z394 O394:R394 A394:D394 F394 I394:J394 M394 L395">
    <cfRule type="expression" dxfId="27" priority="26913">
      <formula>#REF!="OK"</formula>
    </cfRule>
  </conditionalFormatting>
  <conditionalFormatting sqref="T408:Z438 O408:R438 S408:S437 A408:D438 F408:F438 I408:J438 M408:M438 L439:L445">
    <cfRule type="expression" dxfId="26" priority="27294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5" priority="27203">
      <formula>$AI490="OK"</formula>
    </cfRule>
  </conditionalFormatting>
  <conditionalFormatting sqref="T605:Z605 Q605:R605 H605">
    <cfRule type="expression" dxfId="24" priority="27190">
      <formula>$AI669="OK"</formula>
    </cfRule>
  </conditionalFormatting>
  <conditionalFormatting sqref="V450:Y451 R450:T458 V452:Z458">
    <cfRule type="expression" dxfId="23" priority="27108">
      <formula>$AI487="OK"</formula>
    </cfRule>
  </conditionalFormatting>
  <conditionalFormatting sqref="Z450:Z451 O564:Z622 K623:Z761 K556:K622 B564:B603 I564:I603 M564:M603 H577:H603 A604:D605 H604:J605 L604:N622">
    <cfRule type="expression" dxfId="22" priority="27177">
      <formula>#REF!="OK"</formula>
    </cfRule>
  </conditionalFormatting>
  <conditionalFormatting sqref="Z450:Z451">
    <cfRule type="expression" dxfId="21" priority="354">
      <formula>$AI494="OK"</formula>
    </cfRule>
  </conditionalFormatting>
  <conditionalFormatting sqref="Z564">
    <cfRule type="expression" dxfId="20" priority="27168">
      <formula>$AI604="OK"</formula>
    </cfRule>
  </conditionalFormatting>
  <conditionalFormatting sqref="Z605">
    <cfRule type="expression" dxfId="19" priority="27193">
      <formula>$AI668="OK"</formula>
    </cfRule>
  </conditionalFormatting>
  <conditionalFormatting sqref="AA606:AH761">
    <cfRule type="expression" dxfId="18" priority="339">
      <formula>$AI606="OK"</formula>
    </cfRule>
    <cfRule type="cellIs" dxfId="17" priority="338" operator="greaterThanOrEqual">
      <formula>1</formula>
    </cfRule>
  </conditionalFormatting>
  <conditionalFormatting sqref="AA2:AI28 AA450:AE451 AE452:AG452 AF453:AG458 AA459:AH459 A459:G555 I459:N555 AA460:AI603 J556:J603 L556:L603">
    <cfRule type="expression" dxfId="16" priority="26648">
      <formula>$AI2="OK"</formula>
    </cfRule>
  </conditionalFormatting>
  <conditionalFormatting sqref="AA2:AI28 AA29:AH451 AI29:AI459 AJ153:AW153 AE452:AG452 AA452:AD453 AE453 AF453:AG458 AA454:AB458 AD454:AG458 AA459:AH459 AI606:AI761 AA762:AJ1004">
    <cfRule type="cellIs" dxfId="15" priority="26649" operator="greaterThanOrEqual">
      <formula>1</formula>
    </cfRule>
  </conditionalFormatting>
  <conditionalFormatting sqref="AA460:AI605">
    <cfRule type="cellIs" dxfId="14" priority="348" operator="greaterThanOrEqual">
      <formula>1</formula>
    </cfRule>
  </conditionalFormatting>
  <conditionalFormatting sqref="AA605:AI605">
    <cfRule type="expression" dxfId="13" priority="349">
      <formula>$AI605="OK"</formula>
    </cfRule>
  </conditionalFormatting>
  <conditionalFormatting sqref="AC454:AC458">
    <cfRule type="cellIs" dxfId="12" priority="289" operator="greaterThanOrEqual">
      <formula>1</formula>
    </cfRule>
    <cfRule type="expression" dxfId="11" priority="288">
      <formula>$AI454="OK"</formula>
    </cfRule>
  </conditionalFormatting>
  <conditionalFormatting sqref="AE453:AE458">
    <cfRule type="expression" dxfId="10" priority="287">
      <formula>$AI453="OK"</formula>
    </cfRule>
  </conditionalFormatting>
  <conditionalFormatting sqref="AF454:AF458">
    <cfRule type="expression" dxfId="9" priority="286">
      <formula>$AI454="OK"</formula>
    </cfRule>
  </conditionalFormatting>
  <conditionalFormatting sqref="AF450:AH451">
    <cfRule type="expression" dxfId="8" priority="237">
      <formula>$AI450="OK"</formula>
    </cfRule>
  </conditionalFormatting>
  <conditionalFormatting sqref="AG454:AG458">
    <cfRule type="expression" dxfId="7" priority="285">
      <formula>$AI454="OK"</formula>
    </cfRule>
  </conditionalFormatting>
  <conditionalFormatting sqref="AI486:AI761 N556:N603">
    <cfRule type="expression" dxfId="6" priority="355">
      <formula>$AI486="OK"</formula>
    </cfRule>
  </conditionalFormatting>
  <conditionalFormatting sqref="AJ153:AW153">
    <cfRule type="expression" dxfId="5" priority="426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3"/>
  <sheetViews>
    <sheetView topLeftCell="A14" workbookViewId="0">
      <selection activeCell="B21" sqref="B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  <row r="21" spans="1:6" ht="45" x14ac:dyDescent="0.25">
      <c r="A21" s="225">
        <v>214</v>
      </c>
      <c r="B21" s="191" t="s">
        <v>5040</v>
      </c>
      <c r="C21" s="189">
        <v>46268</v>
      </c>
      <c r="D21" s="189"/>
      <c r="E21" s="190" t="s">
        <v>4972</v>
      </c>
      <c r="F21" s="188" t="s">
        <v>5041</v>
      </c>
    </row>
    <row r="22" spans="1:6" x14ac:dyDescent="0.25">
      <c r="A22" s="225">
        <v>899</v>
      </c>
      <c r="B22" s="188" t="s">
        <v>5047</v>
      </c>
      <c r="C22" s="189">
        <v>46270</v>
      </c>
      <c r="D22" s="189"/>
      <c r="E22" s="190" t="s">
        <v>4972</v>
      </c>
      <c r="F22" s="188" t="s">
        <v>4442</v>
      </c>
    </row>
    <row r="23" spans="1:6" ht="240" x14ac:dyDescent="0.25">
      <c r="A23" s="226">
        <v>206</v>
      </c>
      <c r="B23" s="191" t="s">
        <v>5290</v>
      </c>
      <c r="C23" s="189"/>
      <c r="D23" s="189"/>
      <c r="E23" s="227" t="s">
        <v>4972</v>
      </c>
      <c r="F23" s="228" t="s">
        <v>5291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3" t="e" vm="1">
        <v>#VALUE!</v>
      </c>
      <c r="D2" s="284"/>
      <c r="E2" s="287" t="s">
        <v>320</v>
      </c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288"/>
      <c r="U2" s="291" t="s">
        <v>246</v>
      </c>
      <c r="V2" s="28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5"/>
      <c r="D3" s="286"/>
      <c r="E3" s="289"/>
      <c r="F3" s="289"/>
      <c r="G3" s="289"/>
      <c r="H3" s="289"/>
      <c r="I3" s="289"/>
      <c r="J3" s="289"/>
      <c r="K3" s="289"/>
      <c r="L3" s="289"/>
      <c r="M3" s="289"/>
      <c r="N3" s="289"/>
      <c r="O3" s="289"/>
      <c r="P3" s="289"/>
      <c r="Q3" s="289"/>
      <c r="R3" s="289"/>
      <c r="S3" s="289"/>
      <c r="T3" s="290"/>
      <c r="U3" s="292"/>
      <c r="V3" s="28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6" t="s">
        <v>2070</v>
      </c>
      <c r="D6" s="249" t="s">
        <v>2069</v>
      </c>
      <c r="E6" s="252" t="s">
        <v>2071</v>
      </c>
      <c r="F6" s="255">
        <v>46183</v>
      </c>
      <c r="G6" s="293">
        <v>46220</v>
      </c>
      <c r="H6" s="27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40">
        <f>T9/T6</f>
        <v>0.88949747289203585</v>
      </c>
      <c r="V6" s="24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7"/>
      <c r="D7" s="250"/>
      <c r="E7" s="253"/>
      <c r="F7" s="256"/>
      <c r="G7" s="294"/>
      <c r="H7" s="27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41"/>
      <c r="V7" s="24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7"/>
      <c r="D8" s="250"/>
      <c r="E8" s="253"/>
      <c r="F8" s="256"/>
      <c r="G8" s="294"/>
      <c r="H8" s="27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1"/>
      <c r="V8" s="24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7"/>
      <c r="D9" s="250"/>
      <c r="E9" s="253"/>
      <c r="F9" s="256"/>
      <c r="G9" s="294"/>
      <c r="H9" s="27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1"/>
      <c r="V9" s="24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8"/>
      <c r="D10" s="251"/>
      <c r="E10" s="254"/>
      <c r="F10" s="257"/>
      <c r="G10" s="295"/>
      <c r="H10" s="27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42"/>
      <c r="V10" s="24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6" t="s">
        <v>2987</v>
      </c>
      <c r="D12" s="249" t="s">
        <v>2551</v>
      </c>
      <c r="E12" s="252" t="s">
        <v>2986</v>
      </c>
      <c r="F12" s="255">
        <v>46205</v>
      </c>
      <c r="G12" s="293"/>
      <c r="H12" s="27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0">
        <f>T15/T12</f>
        <v>0.76586952907929418</v>
      </c>
      <c r="V12" s="24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7"/>
      <c r="D13" s="250"/>
      <c r="E13" s="253"/>
      <c r="F13" s="256"/>
      <c r="G13" s="294"/>
      <c r="H13" s="27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1"/>
      <c r="V13" s="24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7"/>
      <c r="D14" s="250"/>
      <c r="E14" s="253"/>
      <c r="F14" s="256"/>
      <c r="G14" s="294"/>
      <c r="H14" s="27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1"/>
      <c r="V14" s="24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7"/>
      <c r="D15" s="250"/>
      <c r="E15" s="253"/>
      <c r="F15" s="256"/>
      <c r="G15" s="294"/>
      <c r="H15" s="27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1"/>
      <c r="V15" s="24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8"/>
      <c r="D16" s="251"/>
      <c r="E16" s="254"/>
      <c r="F16" s="257"/>
      <c r="G16" s="295"/>
      <c r="H16" s="28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42"/>
      <c r="V16" s="24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6" t="s">
        <v>2983</v>
      </c>
      <c r="D18" s="249" t="s">
        <v>2984</v>
      </c>
      <c r="E18" s="252" t="s">
        <v>2985</v>
      </c>
      <c r="F18" s="255">
        <v>46289</v>
      </c>
      <c r="G18" s="293"/>
      <c r="H18" s="261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40">
        <f>T21/T18</f>
        <v>0.66276680266907229</v>
      </c>
      <c r="V18" s="24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7"/>
      <c r="D19" s="250"/>
      <c r="E19" s="253"/>
      <c r="F19" s="256"/>
      <c r="G19" s="294"/>
      <c r="H19" s="262"/>
      <c r="I19" s="129" t="s">
        <v>3028</v>
      </c>
      <c r="J19" s="130">
        <f t="shared" ref="J19" si="17">J18-J20</f>
        <v>6.931899999999998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9.9084000000000003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31.631799999999998</v>
      </c>
      <c r="U19" s="241"/>
      <c r="V19" s="24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7"/>
      <c r="D20" s="250"/>
      <c r="E20" s="253"/>
      <c r="F20" s="256"/>
      <c r="G20" s="294"/>
      <c r="H20" s="262"/>
      <c r="I20" s="129" t="s">
        <v>3030</v>
      </c>
      <c r="J20" s="131">
        <f>SUMIF(PERFORMANCE!$N:$N,W18,PERFORMANCE!$Q:$Q)/1000</f>
        <v>1.1772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1.8479999999999999</v>
      </c>
      <c r="U20" s="241"/>
      <c r="V20" s="24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7"/>
      <c r="D21" s="250"/>
      <c r="E21" s="253"/>
      <c r="F21" s="256"/>
      <c r="G21" s="294"/>
      <c r="H21" s="262"/>
      <c r="I21" s="132" t="s">
        <v>315</v>
      </c>
      <c r="J21" s="131">
        <f>SUMIF(PERFORMANCE!$N:$N,MACRO!W18,PERFORMANCE!$R:$R)/1000</f>
        <v>3.0653000000000001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9.9084000000000003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22.189300000000003</v>
      </c>
      <c r="U21" s="241"/>
      <c r="V21" s="24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8"/>
      <c r="D22" s="251"/>
      <c r="E22" s="254"/>
      <c r="F22" s="257"/>
      <c r="G22" s="295"/>
      <c r="H22" s="263"/>
      <c r="I22" s="133" t="s">
        <v>3029</v>
      </c>
      <c r="J22" s="134">
        <f t="shared" ref="J22:R22" si="28">J18-J21</f>
        <v>5.0437999999999974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11.290499999999994</v>
      </c>
      <c r="U22" s="242"/>
      <c r="V22" s="24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6" t="s">
        <v>3292</v>
      </c>
      <c r="D24" s="249" t="s">
        <v>3291</v>
      </c>
      <c r="E24" s="252" t="s">
        <v>3293</v>
      </c>
      <c r="F24" s="255">
        <v>46336</v>
      </c>
      <c r="G24" s="258"/>
      <c r="H24" s="26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0">
        <v>0</v>
      </c>
      <c r="V24" s="24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7"/>
      <c r="D25" s="250"/>
      <c r="E25" s="253"/>
      <c r="F25" s="256"/>
      <c r="G25" s="259"/>
      <c r="H25" s="26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1"/>
      <c r="V25" s="24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7"/>
      <c r="D26" s="250"/>
      <c r="E26" s="253"/>
      <c r="F26" s="256"/>
      <c r="G26" s="259"/>
      <c r="H26" s="26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1"/>
      <c r="V26" s="24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7"/>
      <c r="D27" s="250"/>
      <c r="E27" s="253"/>
      <c r="F27" s="256"/>
      <c r="G27" s="259"/>
      <c r="H27" s="26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1"/>
      <c r="V27" s="24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8"/>
      <c r="D28" s="251"/>
      <c r="E28" s="254"/>
      <c r="F28" s="257"/>
      <c r="G28" s="260"/>
      <c r="H28" s="26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42"/>
      <c r="V28" s="24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6" t="s">
        <v>2993</v>
      </c>
      <c r="D30" s="249" t="s">
        <v>2989</v>
      </c>
      <c r="E30" s="252" t="s">
        <v>2994</v>
      </c>
      <c r="F30" s="255">
        <v>46219</v>
      </c>
      <c r="G30" s="258"/>
      <c r="H30" s="27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0">
        <v>0</v>
      </c>
      <c r="V30" s="24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7"/>
      <c r="D31" s="250"/>
      <c r="E31" s="253"/>
      <c r="F31" s="256"/>
      <c r="G31" s="259"/>
      <c r="H31" s="27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1"/>
      <c r="V31" s="24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7"/>
      <c r="D32" s="250"/>
      <c r="E32" s="253"/>
      <c r="F32" s="256"/>
      <c r="G32" s="259"/>
      <c r="H32" s="27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1"/>
      <c r="V32" s="24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7"/>
      <c r="D33" s="250"/>
      <c r="E33" s="253"/>
      <c r="F33" s="256"/>
      <c r="G33" s="259"/>
      <c r="H33" s="27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1"/>
      <c r="V33" s="24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8"/>
      <c r="D34" s="251"/>
      <c r="E34" s="254"/>
      <c r="F34" s="257"/>
      <c r="G34" s="260"/>
      <c r="H34" s="27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42"/>
      <c r="V34" s="24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6" t="s">
        <v>2995</v>
      </c>
      <c r="D36" s="249" t="s">
        <v>2990</v>
      </c>
      <c r="E36" s="252" t="s">
        <v>2992</v>
      </c>
      <c r="F36" s="255">
        <v>46198</v>
      </c>
      <c r="G36" s="275"/>
      <c r="H36" s="27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0">
        <v>0</v>
      </c>
      <c r="V36" s="24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7"/>
      <c r="D37" s="250"/>
      <c r="E37" s="253"/>
      <c r="F37" s="256"/>
      <c r="G37" s="276"/>
      <c r="H37" s="27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41"/>
      <c r="V37" s="24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7"/>
      <c r="D38" s="250"/>
      <c r="E38" s="253"/>
      <c r="F38" s="256"/>
      <c r="G38" s="276"/>
      <c r="H38" s="27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41"/>
      <c r="V38" s="24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7"/>
      <c r="D39" s="250"/>
      <c r="E39" s="253"/>
      <c r="F39" s="256"/>
      <c r="G39" s="276"/>
      <c r="H39" s="27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41"/>
      <c r="V39" s="24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8"/>
      <c r="D40" s="251"/>
      <c r="E40" s="254"/>
      <c r="F40" s="257"/>
      <c r="G40" s="277"/>
      <c r="H40" s="28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42"/>
      <c r="V40" s="24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6" t="s">
        <v>3006</v>
      </c>
      <c r="D42" s="249" t="s">
        <v>3004</v>
      </c>
      <c r="E42" s="252" t="s">
        <v>3007</v>
      </c>
      <c r="F42" s="255">
        <v>46188</v>
      </c>
      <c r="G42" s="275">
        <v>46220</v>
      </c>
      <c r="H42" s="272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0">
        <v>0</v>
      </c>
      <c r="V42" s="24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7"/>
      <c r="D43" s="250"/>
      <c r="E43" s="253"/>
      <c r="F43" s="256"/>
      <c r="G43" s="276"/>
      <c r="H43" s="27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41"/>
      <c r="V43" s="24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7"/>
      <c r="D44" s="250"/>
      <c r="E44" s="253"/>
      <c r="F44" s="256"/>
      <c r="G44" s="276"/>
      <c r="H44" s="27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41"/>
      <c r="V44" s="24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7"/>
      <c r="D45" s="250"/>
      <c r="E45" s="253"/>
      <c r="F45" s="256"/>
      <c r="G45" s="276"/>
      <c r="H45" s="27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41"/>
      <c r="V45" s="24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8"/>
      <c r="D46" s="251"/>
      <c r="E46" s="254"/>
      <c r="F46" s="257"/>
      <c r="G46" s="277"/>
      <c r="H46" s="27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42"/>
      <c r="V46" s="24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6" t="s">
        <v>3009</v>
      </c>
      <c r="D48" s="249" t="s">
        <v>3005</v>
      </c>
      <c r="E48" s="252" t="s">
        <v>3008</v>
      </c>
      <c r="F48" s="255">
        <v>46202</v>
      </c>
      <c r="G48" s="275">
        <v>46233</v>
      </c>
      <c r="H48" s="272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0">
        <v>0</v>
      </c>
      <c r="V48" s="24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7"/>
      <c r="D49" s="250"/>
      <c r="E49" s="253"/>
      <c r="F49" s="256"/>
      <c r="G49" s="276"/>
      <c r="H49" s="27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41"/>
      <c r="V49" s="24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7"/>
      <c r="D50" s="250"/>
      <c r="E50" s="253"/>
      <c r="F50" s="256"/>
      <c r="G50" s="276"/>
      <c r="H50" s="27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41"/>
      <c r="V50" s="24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7"/>
      <c r="D51" s="250"/>
      <c r="E51" s="253"/>
      <c r="F51" s="256"/>
      <c r="G51" s="276"/>
      <c r="H51" s="27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41"/>
      <c r="V51" s="24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8"/>
      <c r="D52" s="251"/>
      <c r="E52" s="254"/>
      <c r="F52" s="257"/>
      <c r="G52" s="277"/>
      <c r="H52" s="27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42"/>
      <c r="V52" s="24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6" t="s">
        <v>3009</v>
      </c>
      <c r="D54" s="249" t="s">
        <v>3111</v>
      </c>
      <c r="E54" s="252" t="s">
        <v>3164</v>
      </c>
      <c r="F54" s="255">
        <v>46226</v>
      </c>
      <c r="G54" s="258"/>
      <c r="H54" s="27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0">
        <v>0</v>
      </c>
      <c r="V54" s="24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7"/>
      <c r="D55" s="250"/>
      <c r="E55" s="253"/>
      <c r="F55" s="256"/>
      <c r="G55" s="259"/>
      <c r="H55" s="27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41"/>
      <c r="V55" s="24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7"/>
      <c r="D56" s="250"/>
      <c r="E56" s="253"/>
      <c r="F56" s="256"/>
      <c r="G56" s="259"/>
      <c r="H56" s="27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41"/>
      <c r="V56" s="24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7"/>
      <c r="D57" s="250"/>
      <c r="E57" s="253"/>
      <c r="F57" s="256"/>
      <c r="G57" s="259"/>
      <c r="H57" s="27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41"/>
      <c r="V57" s="24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8"/>
      <c r="D58" s="251"/>
      <c r="E58" s="254"/>
      <c r="F58" s="257"/>
      <c r="G58" s="260"/>
      <c r="H58" s="27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42"/>
      <c r="V58" s="24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6" t="s">
        <v>3165</v>
      </c>
      <c r="D60" s="249" t="s">
        <v>3163</v>
      </c>
      <c r="E60" s="252" t="s">
        <v>3166</v>
      </c>
      <c r="F60" s="255">
        <v>46235</v>
      </c>
      <c r="G60" s="258"/>
      <c r="H60" s="26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0">
        <v>0</v>
      </c>
      <c r="V60" s="24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7"/>
      <c r="D61" s="250"/>
      <c r="E61" s="253"/>
      <c r="F61" s="256"/>
      <c r="G61" s="259"/>
      <c r="H61" s="26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41"/>
      <c r="V61" s="24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7"/>
      <c r="D62" s="250"/>
      <c r="E62" s="253"/>
      <c r="F62" s="256"/>
      <c r="G62" s="259"/>
      <c r="H62" s="26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41"/>
      <c r="V62" s="24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7"/>
      <c r="D63" s="250"/>
      <c r="E63" s="253"/>
      <c r="F63" s="256"/>
      <c r="G63" s="259"/>
      <c r="H63" s="26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41"/>
      <c r="V63" s="24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8"/>
      <c r="D64" s="251"/>
      <c r="E64" s="254"/>
      <c r="F64" s="257"/>
      <c r="G64" s="260"/>
      <c r="H64" s="26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42"/>
      <c r="V64" s="24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6" t="s">
        <v>4307</v>
      </c>
      <c r="D66" s="249" t="s">
        <v>4299</v>
      </c>
      <c r="E66" s="252" t="s">
        <v>4308</v>
      </c>
      <c r="F66" s="255">
        <v>46233</v>
      </c>
      <c r="G66" s="258"/>
      <c r="H66" s="26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0">
        <v>0</v>
      </c>
      <c r="V66" s="24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7"/>
      <c r="D67" s="250"/>
      <c r="E67" s="253"/>
      <c r="F67" s="256"/>
      <c r="G67" s="259"/>
      <c r="H67" s="26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41"/>
      <c r="V67" s="24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7"/>
      <c r="D68" s="250"/>
      <c r="E68" s="253"/>
      <c r="F68" s="256"/>
      <c r="G68" s="259"/>
      <c r="H68" s="26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41"/>
      <c r="V68" s="24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7"/>
      <c r="D69" s="250"/>
      <c r="E69" s="253"/>
      <c r="F69" s="256"/>
      <c r="G69" s="259"/>
      <c r="H69" s="26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1"/>
      <c r="V69" s="24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8"/>
      <c r="D70" s="251"/>
      <c r="E70" s="254"/>
      <c r="F70" s="257"/>
      <c r="G70" s="260"/>
      <c r="H70" s="26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42"/>
      <c r="V70" s="24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6" t="s">
        <v>3165</v>
      </c>
      <c r="D72" s="249" t="s">
        <v>4306</v>
      </c>
      <c r="E72" s="252" t="s">
        <v>4309</v>
      </c>
      <c r="F72" s="255">
        <v>46280</v>
      </c>
      <c r="G72" s="258"/>
      <c r="H72" s="26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0">
        <v>0</v>
      </c>
      <c r="V72" s="24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7"/>
      <c r="D73" s="250"/>
      <c r="E73" s="253"/>
      <c r="F73" s="256"/>
      <c r="G73" s="259"/>
      <c r="H73" s="26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1"/>
      <c r="V73" s="24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7"/>
      <c r="D74" s="250"/>
      <c r="E74" s="253"/>
      <c r="F74" s="256"/>
      <c r="G74" s="259"/>
      <c r="H74" s="26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1"/>
      <c r="V74" s="24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7"/>
      <c r="D75" s="250"/>
      <c r="E75" s="253"/>
      <c r="F75" s="256"/>
      <c r="G75" s="259"/>
      <c r="H75" s="26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1"/>
      <c r="V75" s="24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8"/>
      <c r="D76" s="251"/>
      <c r="E76" s="254"/>
      <c r="F76" s="257"/>
      <c r="G76" s="260"/>
      <c r="H76" s="263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42"/>
      <c r="V76" s="24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4" t="s">
        <v>326</v>
      </c>
      <c r="E79" s="266" t="s">
        <v>891</v>
      </c>
      <c r="F79" s="267"/>
      <c r="G79" s="267"/>
      <c r="H79" s="267"/>
      <c r="I79" s="267"/>
      <c r="J79" s="268"/>
      <c r="K79" s="269" t="s">
        <v>331</v>
      </c>
      <c r="L79" s="270"/>
      <c r="M79" s="270"/>
      <c r="N79" s="27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6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7.9078999999999979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10.046400000000002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34.033299999999997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17.277200000000001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63.565199999999997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16.941300000000002</v>
      </c>
      <c r="F86" s="98">
        <f t="shared" si="235"/>
        <v>0</v>
      </c>
      <c r="G86" s="98">
        <f t="shared" si="235"/>
        <v>3.3136999999999999</v>
      </c>
      <c r="H86" s="98">
        <f t="shared" si="235"/>
        <v>12.960799999999999</v>
      </c>
      <c r="I86" s="98">
        <f t="shared" si="235"/>
        <v>11.9184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77.304200000000009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7.8437999999999972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6.5799999999999415E-2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19.787699999999994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38"/>
  <sheetViews>
    <sheetView topLeftCell="C1" zoomScaleNormal="100" workbookViewId="0">
      <pane ySplit="1" topLeftCell="A5125" activePane="bottomLeft" state="frozen"/>
      <selection pane="bottomLeft" activeCell="F5137" sqref="F5137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5048</v>
      </c>
      <c r="J5136" s="1">
        <v>19.8</v>
      </c>
      <c r="K5136" s="1">
        <v>99</v>
      </c>
      <c r="L5136" s="42">
        <v>1</v>
      </c>
      <c r="M5136" s="223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3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5050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3">
        <v>46247</v>
      </c>
      <c r="N5138" s="1" t="str">
        <f>VLOOKUP(B5138,MICRO!E:L,8,0)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38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2819.3</v>
      </c>
      <c r="L357" s="114">
        <f t="shared" si="131"/>
        <v>0.43856947296372362</v>
      </c>
      <c r="M357" s="113">
        <f t="shared" si="132"/>
        <v>3609.0999999999985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1177.2</v>
      </c>
      <c r="R357">
        <f>SUMIF(MICRO!AP:AP,O:O,MICRO!AU:AU)</f>
        <v>2824.9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240.4</v>
      </c>
      <c r="L359" s="114">
        <f t="shared" si="131"/>
        <v>0.14303563991194146</v>
      </c>
      <c r="M359" s="113">
        <f t="shared" si="132"/>
        <v>1440.3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240.4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2026-08-21T12:49:25Z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