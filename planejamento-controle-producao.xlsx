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520" documentId="8_{FDD42E6F-94E1-48F3-8613-54A91AB43A68}" xr6:coauthVersionLast="47" xr6:coauthVersionMax="47" xr10:uidLastSave="{2AFC85BE-60F0-4C5F-AFA1-00DDB939E5BD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48" i="6" l="1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115" i="1" l="1"/>
  <c r="T115" i="1" s="1"/>
  <c r="AU115" i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<sst xmlns="http://schemas.openxmlformats.org/spreadsheetml/2006/main" count="32039" uniqueCount="5496">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</sst>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  <font>
      <b/>
      <sz val="14"/>
      <name val="Arial Narrow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93" fillId="0" borderId="18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75" totalsRowShown="0" headerRowDxfId="187" tableBorderDxfId="186">
  <autoFilter ref="A1:AW1075" xr:uid="{00000000-000C-0000-FFFF-FFFF00000000}">
    <filterColumn colId="11">
      <filters>
        <filter val="P-900"/>
      </filters>
    </filterColumn>
  </autoFilter>
  <tableColumns count="49">
    <tableColumn id="1" xr3:uid="{00000000-0010-0000-0000-000001000000}" name="DESENHO_x000a_MDE" dataDxfId="185"/>
    <tableColumn id="43" xr3:uid="{56981E1B-CD3E-434D-AB02-C5F83A6F3E43}" name="DESENHO_x000a_CLIENTE" dataDxfId="184"/>
    <tableColumn id="2" xr3:uid="{00000000-0010-0000-0000-000002000000}" name="QTE" dataDxfId="183"/>
    <tableColumn id="3" xr3:uid="{00000000-0010-0000-0000-000003000000}" name="DESCRIÇÃO" dataDxfId="182"/>
    <tableColumn id="41" xr3:uid="{00000000-0010-0000-0000-000029000000}" name="COD.MDE" dataDxfId="181"/>
    <tableColumn id="40" xr3:uid="{00000000-0010-0000-0000-000028000000}" name="REMESSA" dataDxfId="180"/>
    <tableColumn id="4" xr3:uid="{00000000-0010-0000-0000-000004000000}" name="PESO UNI" dataDxfId="179"/>
    <tableColumn id="5" xr3:uid="{00000000-0010-0000-0000-000005000000}" name="PESO TOTAL" dataDxfId="178"/>
    <tableColumn id="6" xr3:uid="{00000000-0010-0000-0000-000006000000}" name="Revisão" dataDxfId="177"/>
    <tableColumn id="7" xr3:uid="{00000000-0010-0000-0000-000007000000}" name="TAG" dataDxfId="176"/>
    <tableColumn id="38" xr3:uid="{00000000-0010-0000-0000-000026000000}" name="PRODUTO" dataDxfId="175"/>
    <tableColumn id="8" xr3:uid="{00000000-0010-0000-0000-000008000000}" name="PEDIDO" dataDxfId="174"/>
    <tableColumn id="9" xr3:uid="{00000000-0010-0000-0000-000009000000}" name="Engenharia" dataDxfId="173"/>
    <tableColumn id="10" xr3:uid="{00000000-0010-0000-0000-00000A000000}" name="FORNECEDOR" dataDxfId="172"/>
    <tableColumn id="11" xr3:uid="{00000000-0010-0000-0000-00000B000000}" name="QTDE/ Fabricação" dataDxfId="171"/>
    <tableColumn id="12" xr3:uid="{00000000-0010-0000-0000-00000C000000}" name="DATA/Fabricação" dataDxfId="170"/>
    <tableColumn id="13" xr3:uid="{00000000-0010-0000-0000-00000D000000}" name="SALDO PENDENTE/Fabricação" dataDxfId="169"/>
    <tableColumn id="14" xr3:uid="{00000000-0010-0000-0000-00000E000000}" name="EVOLUÇÃO PRETO / Fabricação_x000a_(kg)" dataDxfId="168"/>
    <tableColumn id="15" xr3:uid="{00000000-0010-0000-0000-00000F000000}" name="PRONTO ACABADO kg" dataDxfId="167">
      <calculatedColumnFormula>IFERROR(H2*AG2,"")</calculatedColumnFormula>
    </tableColumn>
    <tableColumn id="16" xr3:uid="{00000000-0010-0000-0000-000010000000}" name="Pendencia  / Fabricação_x000a_EM KG" dataDxfId="166"/>
    <tableColumn id="17" xr3:uid="{00000000-0010-0000-0000-000011000000}" name="QIANTIDADE EXPEDIDA" dataDxfId="165"/>
    <tableColumn id="18" xr3:uid="{00000000-0010-0000-0000-000012000000}" name="ROMANEIO " dataDxfId="164"/>
    <tableColumn id="19" xr3:uid="{00000000-0010-0000-0000-000013000000}" name="DATA EXPEDIÇÃO" dataDxfId="163"/>
    <tableColumn id="20" xr3:uid="{00000000-0010-0000-0000-000014000000}" name="Peso Expedido" dataDxfId="162"/>
    <tableColumn id="21" xr3:uid="{00000000-0010-0000-0000-000015000000}" name="QUANTIDADE PENDENTE/Expedição" dataDxfId="161"/>
    <tableColumn id="22" xr3:uid="{00000000-0010-0000-0000-000016000000}" name="PESO PENDENTE/Expedição" dataDxfId="160"/>
    <tableColumn id="23" xr3:uid="{00000000-0010-0000-0000-000017000000}" name="MATÉRIA PRIMA" dataDxfId="159"/>
    <tableColumn id="24" xr3:uid="{00000000-0010-0000-0000-000018000000}" name="RELATORIO" dataDxfId="158"/>
    <tableColumn id="25" xr3:uid="{00000000-0010-0000-0000-000019000000}" name="PREPARAÇÃO " dataDxfId="157"/>
    <tableColumn id="26" xr3:uid="{00000000-0010-0000-0000-00001A000000}" name="CALDEIRARIA" dataDxfId="156"/>
    <tableColumn id="27" xr3:uid="{00000000-0010-0000-0000-00001B000000}" name="SOLDA" dataDxfId="155"/>
    <tableColumn id="28" xr3:uid="{00000000-0010-0000-0000-00001C000000}" name="ACABAMENTO" dataDxfId="154"/>
    <tableColumn id="29" xr3:uid="{00000000-0010-0000-0000-00001D000000}" name="PRONTO ACABADO" dataDxfId="153"/>
    <tableColumn id="30" xr3:uid="{00000000-0010-0000-0000-00001E000000}" name="EXPEDIÇÃO " dataDxfId="152"/>
    <tableColumn id="31" xr3:uid="{00000000-0010-0000-0000-00001F000000}" name="FINALIZADO " dataDxfId="151"/>
    <tableColumn id="32" xr3:uid="{00000000-0010-0000-0000-000020000000}" name="Coluna1" dataDxfId="150"/>
    <tableColumn id="33" xr3:uid="{00000000-0010-0000-0000-000021000000}" name="Coluna2" dataDxfId="149"/>
    <tableColumn id="34" xr3:uid="{00000000-0010-0000-0000-000022000000}" name="Coluna3" dataDxfId="148"/>
    <tableColumn id="35" xr3:uid="{00000000-0010-0000-0000-000023000000}" name="Coluna4" dataDxfId="14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46"/>
    <tableColumn id="42" xr3:uid="{44772FB5-94B9-4683-9D51-42A525419432}" name="Colunas7" dataDxfId="145"/>
    <tableColumn id="44" xr3:uid="{7DBCA215-A831-41EC-8668-4217050D7CEF}" name="Coluna5" dataDxfId="144"/>
    <tableColumn id="52" xr3:uid="{0F1E3E30-ACD2-41A7-9FEB-CFC4141C720F}" name="PRONTO NO PRETO" dataDxfId="143"/>
    <tableColumn id="53" xr3:uid="{7B42991E-C57D-449B-9CA4-FF51ED3B7EE1}" name="PRONTO ACABADO3" dataDxfId="142"/>
    <tableColumn id="54" xr3:uid="{B185D57F-2904-41B4-A913-414AD30553DC}" name="PESO EXPEDIDO2" dataDxfId="141"/>
    <tableColumn id="55" xr3:uid="{216FC5C0-1E81-4ACF-B1FE-D38AAA1F26E6}" name="PRONTO ACABADO2" dataDxfId="140"/>
    <tableColumn id="57" xr3:uid="{58807113-78D0-4422-B88A-8E66792B9681}" name="Coluna7" dataDxfId="13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38" headerRowBorderDxfId="137" tableBorderDxfId="136" totalsRowBorderDxfId="135">
  <autoFilter ref="A1:F26" xr:uid="{9E04BDB3-7991-400D-A075-6EF4E207F167}"/>
  <tableColumns count="6">
    <tableColumn id="1" xr3:uid="{0986BF72-EBA9-4CAA-A22C-20021A2F0193}" name="PEDIDO" dataDxfId="134"/>
    <tableColumn id="2" xr3:uid="{1E29E510-3230-4D4A-9101-BF1603DA1959}" name="EQUIPAMENTO" dataDxfId="133"/>
    <tableColumn id="3" xr3:uid="{27EA8246-98FE-4DF0-AB4F-2563340E3A33}" name="DATA PREVISTA " dataDxfId="132"/>
    <tableColumn id="4" xr3:uid="{178705E0-20E1-4EA8-BD6A-04EDA09B960F}" name="DATA REPROGRAMADA" dataDxfId="131"/>
    <tableColumn id="5" xr3:uid="{D69E8AE6-FCF7-4D70-8443-DFF41092DBA5}" name="Observação" dataDxfId="130"/>
    <tableColumn id="6" xr3:uid="{7ED96CF2-6F65-4A02-A0B9-FFDE23E894EB}" name="CLIENTE" dataDxfId="12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8">
  <autoFilter ref="D3:R395" xr:uid="{D635AFD0-01A4-4F4C-B4BB-2C0A84AFA373}"/>
  <tableColumns count="15">
    <tableColumn id="1" xr3:uid="{71019319-E348-41C4-90A8-BD800AFA385A}" name="TAG" dataDxfId="127"/>
    <tableColumn id="2" xr3:uid="{6205B1F5-4B96-401E-A8F0-D0B582A87E91}" name="PEDIDO" dataDxfId="126">
      <calculatedColumnFormula>VLOOKUP(Tabela2[[#This Row],[TAG]],MICRO!J:L,3,0)</calculatedColumnFormula>
    </tableColumn>
    <tableColumn id="3" xr3:uid="{EBC41BBB-459B-4DB5-8152-2C7C2C7ADFAA}" name="FORNECEDOR" dataDxfId="125" dataCellStyle="Normal 2"/>
    <tableColumn id="4" xr3:uid="{EE719B42-3B82-4AC6-AB4D-66A5AF76AAFC}" name="RECEBIDO ENGENHARIA (kg)" dataDxfId="124">
      <calculatedColumnFormula>SUMIF(MICRO!AP:AP,O:O,MICRO!H:H)</calculatedColumnFormula>
    </tableColumn>
    <tableColumn id="5" xr3:uid="{F8EF71F0-2467-40E6-8596-0C50AE8B2E56}" name="EM AVANÇO NO PRETO (kg)" dataDxfId="123">
      <calculatedColumnFormula>SUMIF(MICRO!AP:AP,O:O,MICRO!R:R)</calculatedColumnFormula>
    </tableColumn>
    <tableColumn id="6" xr3:uid="{70FA8036-1726-409E-865E-BBD68DD0CF2B}" name="Pendencia  / Fabricação_x000a_EM KG _x000a_(Kg)" dataDxfId="122">
      <calculatedColumnFormula>SUMIF(MICRO!AP:AP,O:O,MICRO!T:T)</calculatedColumnFormula>
    </tableColumn>
    <tableColumn id="7" xr3:uid="{2EDBF5C8-B6A0-4234-9B37-F4D245CBE335}" name="EVOLUÇÃO %" dataDxfId="121">
      <calculatedColumnFormula>IF(G4 = 0,0,H4/G4)</calculatedColumnFormula>
    </tableColumn>
    <tableColumn id="8" xr3:uid="{981D372E-5C81-43AA-82CF-C526D0CD7BC5}" name="PESO EXPEDIDO" dataDxfId="120">
      <calculatedColumnFormula>SUMIF(MICRO!AP:AP,O:O,MICRO!X:X)</calculatedColumnFormula>
    </tableColumn>
    <tableColumn id="9" xr3:uid="{9581E1B5-4976-4A66-B050-5EDFF64499FF}" name="% EXPEDIDO" dataDxfId="119">
      <calculatedColumnFormula>IF(G4&lt;&gt;0,SUM(K4/G4*1),"0%")</calculatedColumnFormula>
    </tableColumn>
    <tableColumn id="10" xr3:uid="{5A0DEF47-FBD5-46D6-A019-DB5E3CF46E5B}" name="PESO PENDENTE4" dataDxfId="118">
      <calculatedColumnFormula>G4-K4</calculatedColumnFormula>
    </tableColumn>
    <tableColumn id="11" xr3:uid="{AD13F8E0-0652-4176-B922-E74BEC175E7A}" name="Coluna1" dataDxfId="117">
      <calculatedColumnFormula>E4&amp;F4</calculatedColumnFormula>
    </tableColumn>
    <tableColumn id="12" xr3:uid="{9AB5E2D8-1AD6-4B63-A9ED-66372E94A48F}" name="Coluna2" dataDxfId="116">
      <calculatedColumnFormula>D4&amp;E4&amp;F4</calculatedColumnFormula>
    </tableColumn>
    <tableColumn id="13" xr3:uid="{ED15B1A8-5672-4E4D-9246-3BC797332C64}" name="PRONTO NO PRETO" dataDxfId="115">
      <calculatedColumnFormula>SUMIF(MICRO!AP:AP,O4,MICRO!AS:AS)</calculatedColumnFormula>
    </tableColumn>
    <tableColumn id="14" xr3:uid="{986427E9-0E8F-46D1-987F-01DBA908B397}" name="PRONTO ACABADO" dataDxfId="114">
      <calculatedColumnFormula>SUMIF(MICRO!AP:AP,O4,MICRO!AT:AT)</calculatedColumnFormula>
    </tableColumn>
    <tableColumn id="15" xr3:uid="{4361E9F4-014E-4677-9D4A-8DBAE707BA31}" name="PESO EXPEDIDO2" dataDxfId="11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39" t="s">
        <v>326</v>
      </c>
      <c r="B1" s="241" t="s">
        <v>891</v>
      </c>
      <c r="C1" s="242"/>
      <c r="D1" s="242"/>
      <c r="E1" s="242"/>
      <c r="F1" s="242"/>
      <c r="G1" s="243"/>
      <c r="H1" s="236" t="s">
        <v>331</v>
      </c>
      <c r="I1" s="237"/>
      <c r="J1" s="237"/>
      <c r="K1" s="238"/>
    </row>
    <row r="2" spans="1:11" x14ac:dyDescent="0.25">
      <c r="A2" s="240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5110</v>
      </c>
      <c r="J2" s="181" t="s">
        <v>5282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3"/>
      <c r="B5" s="234"/>
      <c r="C5" s="234"/>
      <c r="D5" s="234"/>
      <c r="E5" s="234"/>
      <c r="F5" s="234"/>
      <c r="G5" s="234"/>
      <c r="H5" s="234"/>
      <c r="I5" s="234"/>
      <c r="J5" s="234"/>
      <c r="K5" s="235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75"/>
  <sheetViews>
    <sheetView showGridLines="0" topLeftCell="M1" zoomScale="77" zoomScaleNormal="77" workbookViewId="0">
      <pane ySplit="1" topLeftCell="A873" activePane="bottomLeft" state="frozen"/>
      <selection activeCell="N1072" sqref="N1070:N1072"/>
      <selection pane="bottomLeft" activeCell="Z1087" sqref="Y1086:Z1087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f>Tabela1[[#This Row],[PESO TOTAL]]-Tabela1[[#This Row],[Peso Expedido]]</f>
        <v>-119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f>Tabela1[[#This Row],[PESO TOTAL]]-Tabela1[[#This Row],[Peso Expedido]]</f>
        <v>-39.600000000000023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44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44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44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44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4865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576.94499999999994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4865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177.93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5392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5392</v>
      </c>
      <c r="O611" s="12"/>
      <c r="P611" s="13"/>
      <c r="Q611" s="14">
        <f>Tabela1[[#This Row],[QTDE/ Fabricação]]-Tabela1[[#This Row],[QTE]]</f>
        <v>-1</v>
      </c>
      <c r="R611" s="18">
        <f t="shared" si="121"/>
        <v>31.675000000000001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339.255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72.989999999999995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6.08</v>
      </c>
      <c r="S762" s="18">
        <f t="shared" ref="S762" si="141">IFERROR(H762*AG762,"")</f>
        <v>0</v>
      </c>
      <c r="T762" s="19">
        <f t="shared" ref="T762" si="142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5021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5388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5388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5388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5388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5388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5388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5388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5388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5388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5388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5388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5388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5388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5388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5388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5388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5388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5388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5388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5388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5388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5388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5388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5388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5388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5388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5388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5388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5388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5388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5388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5388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5388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5388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5388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5388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5388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5392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5392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5392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5392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5489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5392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5489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5392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5489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5392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5392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5392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5392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5392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5392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5392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5392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5421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5392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5305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5392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5305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5305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5392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5305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5392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5418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5417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22</v>
      </c>
      <c r="D844" s="1" t="s">
        <v>5419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880</v>
      </c>
      <c r="I844" s="7" t="s">
        <v>5417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-22</v>
      </c>
      <c r="R844" s="18">
        <f>IFERROR(H844*((AA844*0.25)+(AC844*0.25)+(AD844*0.225)+(AE844*0.225)+(AF844*0.05)),"")</f>
        <v>308</v>
      </c>
      <c r="S844" s="18">
        <f>IFERROR(H844*AG844,"")</f>
        <v>308</v>
      </c>
      <c r="T844" s="19">
        <f>IFERROR(S844-H844,"")</f>
        <v>-572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-22</v>
      </c>
      <c r="Z844" s="20">
        <f>Tabela1[[#This Row],[PESO TOTAL]]-Tabela1[[#This Row],[Peso Expedido]]</f>
        <v>880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5420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5417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5417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5417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5417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5417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5417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5305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5392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5024</v>
      </c>
      <c r="B869" s="21"/>
      <c r="C869" s="1">
        <v>6</v>
      </c>
      <c r="D869" s="1" t="s">
        <v>5025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5026</v>
      </c>
      <c r="K869" s="8" t="s">
        <v>23</v>
      </c>
      <c r="L869" s="9" t="s">
        <v>5027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5028</v>
      </c>
      <c r="B870" s="21"/>
      <c r="C870" s="1">
        <v>10</v>
      </c>
      <c r="D870" s="1" t="s">
        <v>5029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5026</v>
      </c>
      <c r="K870" s="8" t="s">
        <v>23</v>
      </c>
      <c r="L870" s="9" t="s">
        <v>5027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5030</v>
      </c>
      <c r="B871" s="21"/>
      <c r="C871" s="1">
        <v>5</v>
      </c>
      <c r="D871" s="1" t="s">
        <v>5031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5026</v>
      </c>
      <c r="K871" s="8" t="s">
        <v>23</v>
      </c>
      <c r="L871" s="9" t="s">
        <v>5027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5034</v>
      </c>
      <c r="B872" s="21"/>
      <c r="C872" s="1">
        <v>710</v>
      </c>
      <c r="D872" s="1" t="s">
        <v>5035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414</v>
      </c>
      <c r="B873" s="21"/>
      <c r="C873" s="1">
        <v>10</v>
      </c>
      <c r="D873" s="1" t="s">
        <v>5036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5037</v>
      </c>
      <c r="K873" s="8" t="s">
        <v>23</v>
      </c>
      <c r="L873" s="9" t="s">
        <v>5038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5042</v>
      </c>
      <c r="B874" s="21" t="s">
        <v>5043</v>
      </c>
      <c r="C874" s="1">
        <v>1</v>
      </c>
      <c r="D874" s="1" t="s">
        <v>5044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5110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5042</v>
      </c>
      <c r="B875" s="21" t="s">
        <v>5043</v>
      </c>
      <c r="C875" s="1">
        <v>1</v>
      </c>
      <c r="D875" s="1" t="s">
        <v>5045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5110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5046</v>
      </c>
      <c r="B876" s="21" t="s">
        <v>5047</v>
      </c>
      <c r="C876" s="1">
        <v>1</v>
      </c>
      <c r="D876" s="1" t="s">
        <v>5048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5110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5049</v>
      </c>
      <c r="B877" s="21" t="s">
        <v>5050</v>
      </c>
      <c r="C877" s="1">
        <v>1</v>
      </c>
      <c r="D877" s="1" t="s">
        <v>5051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5110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5052</v>
      </c>
      <c r="B878" s="21" t="s">
        <v>5053</v>
      </c>
      <c r="C878" s="1">
        <v>1</v>
      </c>
      <c r="D878" s="1" t="s">
        <v>5054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5110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5052</v>
      </c>
      <c r="B879" s="21" t="s">
        <v>5053</v>
      </c>
      <c r="C879" s="1">
        <v>1</v>
      </c>
      <c r="D879" s="1" t="s">
        <v>5055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5110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5056</v>
      </c>
      <c r="B880" s="21" t="s">
        <v>5057</v>
      </c>
      <c r="C880" s="1">
        <v>4</v>
      </c>
      <c r="D880" s="1" t="s">
        <v>5058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5110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5056</v>
      </c>
      <c r="B881" s="21" t="s">
        <v>5057</v>
      </c>
      <c r="C881" s="1">
        <v>1</v>
      </c>
      <c r="D881" s="1" t="s">
        <v>5061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5110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5059</v>
      </c>
      <c r="B882" s="21" t="s">
        <v>5060</v>
      </c>
      <c r="C882" s="1">
        <v>2</v>
      </c>
      <c r="D882" s="1" t="s">
        <v>5062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5110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5059</v>
      </c>
      <c r="B883" s="21" t="s">
        <v>5060</v>
      </c>
      <c r="C883" s="1">
        <v>2</v>
      </c>
      <c r="D883" s="1" t="s">
        <v>5063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5110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5059</v>
      </c>
      <c r="B884" s="21" t="s">
        <v>5060</v>
      </c>
      <c r="C884" s="1">
        <v>1</v>
      </c>
      <c r="D884" s="1" t="s">
        <v>5064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5110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5065</v>
      </c>
      <c r="B885" s="21" t="s">
        <v>5066</v>
      </c>
      <c r="C885" s="1">
        <v>1</v>
      </c>
      <c r="D885" s="1" t="s">
        <v>5067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5068</v>
      </c>
      <c r="B886" s="21" t="s">
        <v>5069</v>
      </c>
      <c r="C886" s="1">
        <v>1</v>
      </c>
      <c r="D886" s="1" t="s">
        <v>5070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5071</v>
      </c>
      <c r="B887" s="21" t="s">
        <v>5072</v>
      </c>
      <c r="C887" s="1">
        <v>1</v>
      </c>
      <c r="D887" s="1" t="s">
        <v>5073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5074</v>
      </c>
      <c r="B888" s="21" t="s">
        <v>5075</v>
      </c>
      <c r="C888" s="1">
        <v>1</v>
      </c>
      <c r="D888" s="1" t="s">
        <v>5076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5077</v>
      </c>
      <c r="B889" s="21" t="s">
        <v>5078</v>
      </c>
      <c r="C889" s="1">
        <v>1</v>
      </c>
      <c r="D889" s="1" t="s">
        <v>5079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5080</v>
      </c>
      <c r="B890" s="21" t="s">
        <v>5081</v>
      </c>
      <c r="C890" s="1">
        <v>1</v>
      </c>
      <c r="D890" s="1" t="s">
        <v>5082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5083</v>
      </c>
      <c r="B891" s="21" t="s">
        <v>5084</v>
      </c>
      <c r="C891" s="1">
        <v>1</v>
      </c>
      <c r="D891" s="1" t="s">
        <v>5085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5086</v>
      </c>
      <c r="B892" s="21" t="s">
        <v>5087</v>
      </c>
      <c r="C892" s="1">
        <v>1</v>
      </c>
      <c r="D892" s="1" t="s">
        <v>5088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5110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5089</v>
      </c>
      <c r="B893" s="21" t="s">
        <v>5090</v>
      </c>
      <c r="C893" s="1">
        <v>1</v>
      </c>
      <c r="D893" s="1" t="s">
        <v>5091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5110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5092</v>
      </c>
      <c r="B894" s="21" t="s">
        <v>5093</v>
      </c>
      <c r="C894" s="1">
        <v>1</v>
      </c>
      <c r="D894" s="1" t="s">
        <v>5094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5110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5095</v>
      </c>
      <c r="B895" s="21" t="s">
        <v>5096</v>
      </c>
      <c r="C895" s="1">
        <v>1</v>
      </c>
      <c r="D895" s="1" t="s">
        <v>5097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5110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5098</v>
      </c>
      <c r="B896" s="21" t="s">
        <v>5099</v>
      </c>
      <c r="C896" s="1">
        <v>1</v>
      </c>
      <c r="D896" s="1" t="s">
        <v>5100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5110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5098</v>
      </c>
      <c r="B897" s="21" t="s">
        <v>5099</v>
      </c>
      <c r="C897" s="1">
        <v>3</v>
      </c>
      <c r="D897" s="1" t="s">
        <v>5101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5110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5102</v>
      </c>
      <c r="B898" s="21" t="s">
        <v>5103</v>
      </c>
      <c r="C898" s="1">
        <v>1</v>
      </c>
      <c r="D898" s="1" t="s">
        <v>5104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5110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5105</v>
      </c>
      <c r="B899" s="21" t="s">
        <v>5106</v>
      </c>
      <c r="C899" s="1">
        <v>1</v>
      </c>
      <c r="D899" s="1" t="s">
        <v>5107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5110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5105</v>
      </c>
      <c r="B900" s="21" t="s">
        <v>5106</v>
      </c>
      <c r="C900" s="1">
        <v>1</v>
      </c>
      <c r="D900" s="1" t="s">
        <v>5108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5110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5105</v>
      </c>
      <c r="B901" s="21" t="s">
        <v>5106</v>
      </c>
      <c r="C901" s="1">
        <v>1</v>
      </c>
      <c r="D901" s="1" t="s">
        <v>5109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5110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5111</v>
      </c>
      <c r="B902" s="21" t="s">
        <v>5112</v>
      </c>
      <c r="C902" s="1">
        <v>1</v>
      </c>
      <c r="D902" s="1" t="s">
        <v>5113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5110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5111</v>
      </c>
      <c r="B903" s="21" t="s">
        <v>5112</v>
      </c>
      <c r="C903" s="1">
        <v>2</v>
      </c>
      <c r="D903" s="1" t="s">
        <v>5114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5110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5111</v>
      </c>
      <c r="B904" s="21" t="s">
        <v>5112</v>
      </c>
      <c r="C904" s="1">
        <v>2</v>
      </c>
      <c r="D904" s="1" t="s">
        <v>5115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5110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5111</v>
      </c>
      <c r="B905" s="21" t="s">
        <v>5112</v>
      </c>
      <c r="C905" s="1">
        <v>6</v>
      </c>
      <c r="D905" s="1" t="s">
        <v>5116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5110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5111</v>
      </c>
      <c r="B906" s="21" t="s">
        <v>5112</v>
      </c>
      <c r="C906" s="1">
        <v>1</v>
      </c>
      <c r="D906" s="1" t="s">
        <v>5117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5110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5111</v>
      </c>
      <c r="B907" s="21" t="s">
        <v>5112</v>
      </c>
      <c r="C907" s="1">
        <v>1</v>
      </c>
      <c r="D907" s="1" t="s">
        <v>5118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5110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5111</v>
      </c>
      <c r="B908" s="21" t="s">
        <v>5112</v>
      </c>
      <c r="C908" s="1">
        <v>1</v>
      </c>
      <c r="D908" s="1" t="s">
        <v>5119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5110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5111</v>
      </c>
      <c r="B909" s="21" t="s">
        <v>5112</v>
      </c>
      <c r="C909" s="1">
        <v>2</v>
      </c>
      <c r="D909" s="1" t="s">
        <v>5120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5110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5121</v>
      </c>
      <c r="B910" s="21" t="s">
        <v>5122</v>
      </c>
      <c r="C910" s="1">
        <v>1</v>
      </c>
      <c r="D910" s="1" t="s">
        <v>5123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5110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5121</v>
      </c>
      <c r="B911" s="21" t="s">
        <v>5122</v>
      </c>
      <c r="C911" s="1">
        <v>1</v>
      </c>
      <c r="D911" s="1" t="s">
        <v>5124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5110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5125</v>
      </c>
      <c r="B912" s="21" t="s">
        <v>5126</v>
      </c>
      <c r="C912" s="1">
        <v>3</v>
      </c>
      <c r="D912" s="1" t="s">
        <v>5127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5110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5125</v>
      </c>
      <c r="B913" s="21" t="s">
        <v>5126</v>
      </c>
      <c r="C913" s="1">
        <v>2</v>
      </c>
      <c r="D913" s="1" t="s">
        <v>5128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5110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5129</v>
      </c>
      <c r="B914" s="21" t="s">
        <v>5130</v>
      </c>
      <c r="C914" s="1">
        <v>1</v>
      </c>
      <c r="D914" s="1" t="s">
        <v>5131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5110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5129</v>
      </c>
      <c r="B915" s="21" t="s">
        <v>5130</v>
      </c>
      <c r="C915" s="1">
        <v>1</v>
      </c>
      <c r="D915" s="1" t="s">
        <v>5132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5110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5133</v>
      </c>
      <c r="B916" s="21" t="s">
        <v>5134</v>
      </c>
      <c r="C916" s="1">
        <v>4</v>
      </c>
      <c r="D916" s="1" t="s">
        <v>5135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5110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5133</v>
      </c>
      <c r="B917" s="21" t="s">
        <v>5134</v>
      </c>
      <c r="C917" s="1">
        <v>4</v>
      </c>
      <c r="D917" s="1" t="s">
        <v>5136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5110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5133</v>
      </c>
      <c r="B918" s="21" t="s">
        <v>5134</v>
      </c>
      <c r="C918" s="1">
        <v>4</v>
      </c>
      <c r="D918" s="1" t="s">
        <v>5137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5110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5133</v>
      </c>
      <c r="B919" s="21" t="s">
        <v>5134</v>
      </c>
      <c r="C919" s="1">
        <v>4</v>
      </c>
      <c r="D919" s="1" t="s">
        <v>5138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5110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5133</v>
      </c>
      <c r="B920" s="21" t="s">
        <v>5134</v>
      </c>
      <c r="C920" s="1">
        <v>2</v>
      </c>
      <c r="D920" s="1" t="s">
        <v>5139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5110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5133</v>
      </c>
      <c r="B921" s="21" t="s">
        <v>5134</v>
      </c>
      <c r="C921" s="1">
        <v>2</v>
      </c>
      <c r="D921" s="1" t="s">
        <v>5140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5110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5133</v>
      </c>
      <c r="B922" s="21" t="s">
        <v>5134</v>
      </c>
      <c r="C922" s="1">
        <v>2</v>
      </c>
      <c r="D922" s="1" t="s">
        <v>5142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5110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5133</v>
      </c>
      <c r="B923" s="21" t="s">
        <v>5134</v>
      </c>
      <c r="C923" s="1">
        <v>2</v>
      </c>
      <c r="D923" s="1" t="s">
        <v>5141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5110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5143</v>
      </c>
      <c r="B924" s="21" t="s">
        <v>5144</v>
      </c>
      <c r="C924" s="1">
        <v>1</v>
      </c>
      <c r="D924" s="1" t="s">
        <v>5145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5110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5143</v>
      </c>
      <c r="B925" s="21" t="s">
        <v>5144</v>
      </c>
      <c r="C925" s="1">
        <v>1</v>
      </c>
      <c r="D925" s="1" t="s">
        <v>5146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5110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5143</v>
      </c>
      <c r="B926" s="21" t="s">
        <v>5144</v>
      </c>
      <c r="C926" s="1">
        <v>1</v>
      </c>
      <c r="D926" s="1" t="s">
        <v>5147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5110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5143</v>
      </c>
      <c r="B927" s="21" t="s">
        <v>5144</v>
      </c>
      <c r="C927" s="1">
        <v>2</v>
      </c>
      <c r="D927" s="1" t="s">
        <v>5148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5110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5143</v>
      </c>
      <c r="B928" s="21" t="s">
        <v>5144</v>
      </c>
      <c r="C928" s="1">
        <v>1</v>
      </c>
      <c r="D928" s="1" t="s">
        <v>5149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5110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5143</v>
      </c>
      <c r="B929" s="21" t="s">
        <v>5144</v>
      </c>
      <c r="C929" s="1">
        <v>1</v>
      </c>
      <c r="D929" s="1" t="s">
        <v>5150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5110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5143</v>
      </c>
      <c r="B930" s="21" t="s">
        <v>5144</v>
      </c>
      <c r="C930" s="1">
        <v>1</v>
      </c>
      <c r="D930" s="1" t="s">
        <v>5151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5110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5143</v>
      </c>
      <c r="B931" s="21" t="s">
        <v>5144</v>
      </c>
      <c r="C931" s="1">
        <v>1</v>
      </c>
      <c r="D931" s="1" t="s">
        <v>5152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5110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5153</v>
      </c>
      <c r="B932" s="21" t="s">
        <v>5154</v>
      </c>
      <c r="C932" s="1">
        <v>2</v>
      </c>
      <c r="D932" s="1" t="s">
        <v>5155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5110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5153</v>
      </c>
      <c r="B933" s="21" t="s">
        <v>5154</v>
      </c>
      <c r="C933" s="1">
        <v>2</v>
      </c>
      <c r="D933" s="1" t="s">
        <v>5156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5110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5153</v>
      </c>
      <c r="B934" s="21" t="s">
        <v>5154</v>
      </c>
      <c r="C934" s="1">
        <v>1</v>
      </c>
      <c r="D934" s="1" t="s">
        <v>5157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5110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5153</v>
      </c>
      <c r="B935" s="21" t="s">
        <v>5154</v>
      </c>
      <c r="C935" s="1">
        <v>2</v>
      </c>
      <c r="D935" s="1" t="s">
        <v>5158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5110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5153</v>
      </c>
      <c r="B936" s="21" t="s">
        <v>5154</v>
      </c>
      <c r="C936" s="1">
        <v>1</v>
      </c>
      <c r="D936" s="1" t="s">
        <v>5159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5110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5153</v>
      </c>
      <c r="B937" s="21" t="s">
        <v>5154</v>
      </c>
      <c r="C937" s="1">
        <v>1</v>
      </c>
      <c r="D937" s="1" t="s">
        <v>5160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5110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5153</v>
      </c>
      <c r="B938" s="21" t="s">
        <v>5154</v>
      </c>
      <c r="C938" s="1">
        <v>1</v>
      </c>
      <c r="D938" s="1" t="s">
        <v>5161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5110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5153</v>
      </c>
      <c r="B939" s="21" t="s">
        <v>5154</v>
      </c>
      <c r="C939" s="1">
        <v>1</v>
      </c>
      <c r="D939" s="1" t="s">
        <v>5162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5110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5153</v>
      </c>
      <c r="B940" s="21" t="s">
        <v>5154</v>
      </c>
      <c r="C940" s="1">
        <v>12</v>
      </c>
      <c r="D940" s="1" t="s">
        <v>5163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5110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5153</v>
      </c>
      <c r="B941" s="21" t="s">
        <v>5154</v>
      </c>
      <c r="C941" s="1">
        <v>3</v>
      </c>
      <c r="D941" s="1" t="s">
        <v>5164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5110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5153</v>
      </c>
      <c r="B942" s="21" t="s">
        <v>5154</v>
      </c>
      <c r="C942" s="1">
        <v>6</v>
      </c>
      <c r="D942" s="1" t="s">
        <v>5165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5110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5166</v>
      </c>
      <c r="B943" s="21" t="s">
        <v>5167</v>
      </c>
      <c r="C943" s="1">
        <v>2</v>
      </c>
      <c r="D943" s="1" t="s">
        <v>5168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5110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5166</v>
      </c>
      <c r="B944" s="21" t="s">
        <v>5167</v>
      </c>
      <c r="C944" s="1">
        <v>2</v>
      </c>
      <c r="D944" s="1" t="s">
        <v>5169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5110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5166</v>
      </c>
      <c r="B945" s="21" t="s">
        <v>5167</v>
      </c>
      <c r="C945" s="1">
        <v>1</v>
      </c>
      <c r="D945" s="1" t="s">
        <v>5170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5110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5166</v>
      </c>
      <c r="B946" s="21" t="s">
        <v>5167</v>
      </c>
      <c r="C946" s="1">
        <v>1</v>
      </c>
      <c r="D946" s="1" t="s">
        <v>5171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5110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5166</v>
      </c>
      <c r="B947" s="21" t="s">
        <v>5167</v>
      </c>
      <c r="C947" s="1">
        <v>1</v>
      </c>
      <c r="D947" s="1" t="s">
        <v>5172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5110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5166</v>
      </c>
      <c r="B948" s="21" t="s">
        <v>5167</v>
      </c>
      <c r="C948" s="1">
        <v>1</v>
      </c>
      <c r="D948" s="1" t="s">
        <v>5173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5110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5166</v>
      </c>
      <c r="B949" s="21" t="s">
        <v>5167</v>
      </c>
      <c r="C949" s="1">
        <v>1</v>
      </c>
      <c r="D949" s="1" t="s">
        <v>5174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5110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5166</v>
      </c>
      <c r="B950" s="21" t="s">
        <v>5167</v>
      </c>
      <c r="C950" s="1">
        <v>1</v>
      </c>
      <c r="D950" s="1" t="s">
        <v>5175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5110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5178</v>
      </c>
      <c r="B951" s="21" t="s">
        <v>5176</v>
      </c>
      <c r="C951" s="1">
        <v>1</v>
      </c>
      <c r="D951" s="1" t="s">
        <v>5177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5110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5179</v>
      </c>
      <c r="B952" s="21" t="s">
        <v>5180</v>
      </c>
      <c r="C952" s="1">
        <v>1</v>
      </c>
      <c r="D952" s="1" t="s">
        <v>5181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5110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5182</v>
      </c>
      <c r="B953" s="21" t="s">
        <v>5183</v>
      </c>
      <c r="C953" s="1">
        <v>1</v>
      </c>
      <c r="D953" s="1" t="s">
        <v>5184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5110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5185</v>
      </c>
      <c r="B954" s="21" t="s">
        <v>5186</v>
      </c>
      <c r="C954" s="1">
        <v>1</v>
      </c>
      <c r="D954" s="1" t="s">
        <v>5187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5110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5188</v>
      </c>
      <c r="B955" s="21" t="s">
        <v>5189</v>
      </c>
      <c r="C955" s="1">
        <v>3</v>
      </c>
      <c r="D955" s="1" t="s">
        <v>5190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5110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5188</v>
      </c>
      <c r="B956" s="21" t="s">
        <v>5189</v>
      </c>
      <c r="C956" s="1">
        <v>1</v>
      </c>
      <c r="D956" s="1" t="s">
        <v>5191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5110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5188</v>
      </c>
      <c r="B957" s="21" t="s">
        <v>5189</v>
      </c>
      <c r="C957" s="1">
        <v>1</v>
      </c>
      <c r="D957" s="1" t="s">
        <v>5192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5110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5188</v>
      </c>
      <c r="B958" s="21" t="s">
        <v>5189</v>
      </c>
      <c r="C958" s="1">
        <v>1</v>
      </c>
      <c r="D958" s="1" t="s">
        <v>5193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5110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5188</v>
      </c>
      <c r="B959" s="21" t="s">
        <v>5189</v>
      </c>
      <c r="C959" s="1">
        <v>3</v>
      </c>
      <c r="D959" s="1" t="s">
        <v>5194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5110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5195</v>
      </c>
      <c r="B960" s="21" t="s">
        <v>5196</v>
      </c>
      <c r="C960" s="1">
        <v>1</v>
      </c>
      <c r="D960" s="1" t="s">
        <v>5199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5110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5197</v>
      </c>
      <c r="B961" s="21" t="s">
        <v>5198</v>
      </c>
      <c r="C961" s="1">
        <v>1</v>
      </c>
      <c r="D961" s="1" t="s">
        <v>5200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5110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5201</v>
      </c>
      <c r="B962" s="21" t="s">
        <v>5202</v>
      </c>
      <c r="C962" s="1">
        <v>1</v>
      </c>
      <c r="D962" s="1" t="s">
        <v>5203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5110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5204</v>
      </c>
      <c r="B963" s="21" t="s">
        <v>5205</v>
      </c>
      <c r="C963" s="1">
        <v>2</v>
      </c>
      <c r="D963" s="1" t="s">
        <v>5206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5110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5207</v>
      </c>
      <c r="B964" s="21" t="s">
        <v>5208</v>
      </c>
      <c r="C964" s="1">
        <v>2</v>
      </c>
      <c r="D964" s="1" t="s">
        <v>5209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5110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5207</v>
      </c>
      <c r="B965" s="21" t="s">
        <v>5208</v>
      </c>
      <c r="C965" s="1">
        <v>1</v>
      </c>
      <c r="D965" s="1" t="s">
        <v>5210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5110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5211</v>
      </c>
      <c r="B966" s="21" t="s">
        <v>5212</v>
      </c>
      <c r="C966" s="1">
        <v>1</v>
      </c>
      <c r="D966" s="1" t="s">
        <v>5213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5110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5214</v>
      </c>
      <c r="B967" s="21" t="s">
        <v>5215</v>
      </c>
      <c r="C967" s="1">
        <v>1</v>
      </c>
      <c r="D967" s="1" t="s">
        <v>5216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5110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5214</v>
      </c>
      <c r="B968" s="21" t="s">
        <v>5215</v>
      </c>
      <c r="C968" s="1">
        <v>4</v>
      </c>
      <c r="D968" s="1" t="s">
        <v>5217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5110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5214</v>
      </c>
      <c r="B969" s="21" t="s">
        <v>5215</v>
      </c>
      <c r="C969" s="1">
        <v>2</v>
      </c>
      <c r="D969" s="1" t="s">
        <v>5218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5110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5219</v>
      </c>
      <c r="B970" s="21" t="s">
        <v>5220</v>
      </c>
      <c r="C970" s="1">
        <v>2</v>
      </c>
      <c r="D970" s="1" t="s">
        <v>5221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5110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5219</v>
      </c>
      <c r="B971" s="21" t="s">
        <v>5220</v>
      </c>
      <c r="C971" s="1">
        <v>3</v>
      </c>
      <c r="D971" s="1" t="s">
        <v>5222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5110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5219</v>
      </c>
      <c r="B972" s="21" t="s">
        <v>5220</v>
      </c>
      <c r="C972" s="1">
        <v>1</v>
      </c>
      <c r="D972" s="1" t="s">
        <v>5223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5110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5219</v>
      </c>
      <c r="B973" s="21" t="s">
        <v>5220</v>
      </c>
      <c r="C973" s="1">
        <v>1</v>
      </c>
      <c r="D973" s="1" t="s">
        <v>5224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5110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5225</v>
      </c>
      <c r="B974" s="21" t="s">
        <v>5226</v>
      </c>
      <c r="C974" s="1">
        <v>1</v>
      </c>
      <c r="D974" s="1" t="s">
        <v>5227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5286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5110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5225</v>
      </c>
      <c r="B975" s="21" t="s">
        <v>5226</v>
      </c>
      <c r="C975" s="1">
        <v>4</v>
      </c>
      <c r="D975" s="1" t="s">
        <v>5228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5286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5110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5225</v>
      </c>
      <c r="B976" s="21" t="s">
        <v>5226</v>
      </c>
      <c r="C976" s="1">
        <v>8</v>
      </c>
      <c r="D976" s="1" t="s">
        <v>5229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5286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5110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5225</v>
      </c>
      <c r="B977" s="21" t="s">
        <v>5226</v>
      </c>
      <c r="C977" s="1">
        <v>2</v>
      </c>
      <c r="D977" s="1" t="s">
        <v>5230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5286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5110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5225</v>
      </c>
      <c r="B978" s="21" t="s">
        <v>5226</v>
      </c>
      <c r="C978" s="1">
        <v>4</v>
      </c>
      <c r="D978" s="1" t="s">
        <v>5231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5286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5110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5225</v>
      </c>
      <c r="B979" s="21" t="s">
        <v>5226</v>
      </c>
      <c r="C979" s="1">
        <v>2</v>
      </c>
      <c r="D979" s="1" t="s">
        <v>5232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5286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5110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5422</v>
      </c>
      <c r="B980" s="21" t="s">
        <v>5234</v>
      </c>
      <c r="C980" s="1">
        <v>1</v>
      </c>
      <c r="D980" s="1" t="s">
        <v>5235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5286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5110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5288</v>
      </c>
      <c r="B981" s="21" t="s">
        <v>5236</v>
      </c>
      <c r="C981" s="1">
        <v>2</v>
      </c>
      <c r="D981" s="1" t="s">
        <v>5237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5286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5110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5288</v>
      </c>
      <c r="B982" s="21" t="s">
        <v>5236</v>
      </c>
      <c r="C982" s="1">
        <v>1</v>
      </c>
      <c r="D982" s="1" t="s">
        <v>5238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5286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5110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5288</v>
      </c>
      <c r="B983" s="21" t="s">
        <v>5236</v>
      </c>
      <c r="C983" s="1">
        <v>2</v>
      </c>
      <c r="D983" s="1" t="s">
        <v>5239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5286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5110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5288</v>
      </c>
      <c r="B984" s="21" t="s">
        <v>5236</v>
      </c>
      <c r="C984" s="1">
        <v>2</v>
      </c>
      <c r="D984" s="1" t="s">
        <v>5240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5286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5110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5288</v>
      </c>
      <c r="B985" s="21" t="s">
        <v>5236</v>
      </c>
      <c r="C985" s="1">
        <v>2</v>
      </c>
      <c r="D985" s="1" t="s">
        <v>5241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5286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5110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5288</v>
      </c>
      <c r="B986" s="21" t="s">
        <v>5236</v>
      </c>
      <c r="C986" s="1">
        <v>4</v>
      </c>
      <c r="D986" s="1" t="s">
        <v>5242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5286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5110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5287</v>
      </c>
      <c r="B987" s="21" t="s">
        <v>5243</v>
      </c>
      <c r="C987" s="1">
        <v>1</v>
      </c>
      <c r="D987" s="1" t="s">
        <v>5244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5286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5110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5287</v>
      </c>
      <c r="B988" s="21" t="s">
        <v>5243</v>
      </c>
      <c r="C988" s="1">
        <v>1</v>
      </c>
      <c r="D988" s="1" t="s">
        <v>5245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5286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5110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5287</v>
      </c>
      <c r="B989" s="21" t="s">
        <v>5243</v>
      </c>
      <c r="C989" s="1">
        <v>1</v>
      </c>
      <c r="D989" s="1" t="s">
        <v>5423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5286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5110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5233</v>
      </c>
      <c r="B990" s="21" t="s">
        <v>5246</v>
      </c>
      <c r="C990" s="1">
        <v>4</v>
      </c>
      <c r="D990" s="1" t="s">
        <v>5247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5110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5233</v>
      </c>
      <c r="B991" s="21" t="s">
        <v>5246</v>
      </c>
      <c r="C991" s="1">
        <v>4</v>
      </c>
      <c r="D991" s="1" t="s">
        <v>5248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5110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5233</v>
      </c>
      <c r="B992" s="21" t="s">
        <v>5246</v>
      </c>
      <c r="C992" s="1">
        <v>2</v>
      </c>
      <c r="D992" s="1" t="s">
        <v>5249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5110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5233</v>
      </c>
      <c r="B993" s="21" t="s">
        <v>5246</v>
      </c>
      <c r="C993" s="1">
        <v>4</v>
      </c>
      <c r="D993" s="1" t="s">
        <v>5250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5110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5233</v>
      </c>
      <c r="B994" s="21" t="s">
        <v>5246</v>
      </c>
      <c r="C994" s="1">
        <v>4</v>
      </c>
      <c r="D994" s="1" t="s">
        <v>5251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5110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5233</v>
      </c>
      <c r="B995" s="21" t="s">
        <v>5246</v>
      </c>
      <c r="C995" s="1">
        <v>5</v>
      </c>
      <c r="D995" s="1" t="s">
        <v>5252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5110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5233</v>
      </c>
      <c r="B996" s="21" t="s">
        <v>5246</v>
      </c>
      <c r="C996" s="1">
        <v>8</v>
      </c>
      <c r="D996" s="1" t="s">
        <v>5253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5110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76</v>
      </c>
      <c r="B997" s="21"/>
      <c r="C997" s="1">
        <v>40</v>
      </c>
      <c r="D997" s="1" t="s">
        <v>5254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5255</v>
      </c>
      <c r="J997" s="8" t="s">
        <v>5256</v>
      </c>
      <c r="K997" s="8" t="s">
        <v>23</v>
      </c>
      <c r="L997" s="9" t="s">
        <v>5257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5258</v>
      </c>
      <c r="B998" s="21"/>
      <c r="C998" s="1">
        <v>126</v>
      </c>
      <c r="D998" s="1" t="s">
        <v>5259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5260</v>
      </c>
      <c r="K998" s="8" t="s">
        <v>4320</v>
      </c>
      <c r="L998" s="9" t="s">
        <v>5261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5262</v>
      </c>
      <c r="B999" s="21"/>
      <c r="C999" s="1">
        <v>6</v>
      </c>
      <c r="D999" s="1" t="s">
        <v>5263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5260</v>
      </c>
      <c r="K999" s="8" t="s">
        <v>4320</v>
      </c>
      <c r="L999" s="9" t="s">
        <v>5261</v>
      </c>
      <c r="M999" s="10">
        <v>46254</v>
      </c>
      <c r="N999" s="8" t="s">
        <v>5282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5264</v>
      </c>
      <c r="B1000" s="21"/>
      <c r="C1000" s="1">
        <v>2</v>
      </c>
      <c r="D1000" s="1" t="s">
        <v>5265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5260</v>
      </c>
      <c r="K1000" s="8" t="s">
        <v>4320</v>
      </c>
      <c r="L1000" s="9" t="s">
        <v>5261</v>
      </c>
      <c r="M1000" s="10">
        <v>46254</v>
      </c>
      <c r="N1000" s="8" t="s">
        <v>5282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5266</v>
      </c>
      <c r="B1001" s="21"/>
      <c r="C1001" s="1">
        <v>1</v>
      </c>
      <c r="D1001" s="1" t="s">
        <v>5267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5260</v>
      </c>
      <c r="K1001" s="8" t="s">
        <v>4320</v>
      </c>
      <c r="L1001" s="9" t="s">
        <v>5261</v>
      </c>
      <c r="M1001" s="10">
        <v>46254</v>
      </c>
      <c r="N1001" s="8" t="s">
        <v>5282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5268</v>
      </c>
      <c r="B1002" s="21"/>
      <c r="C1002" s="1">
        <v>1</v>
      </c>
      <c r="D1002" s="1" t="s">
        <v>5270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5260</v>
      </c>
      <c r="K1002" s="8" t="s">
        <v>4320</v>
      </c>
      <c r="L1002" s="9" t="s">
        <v>5261</v>
      </c>
      <c r="M1002" s="10">
        <v>46254</v>
      </c>
      <c r="N1002" s="8" t="s">
        <v>5282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5269</v>
      </c>
      <c r="B1003" s="21"/>
      <c r="C1003" s="1">
        <v>6</v>
      </c>
      <c r="D1003" s="1" t="s">
        <v>5271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5260</v>
      </c>
      <c r="K1003" s="8" t="s">
        <v>4320</v>
      </c>
      <c r="L1003" s="9" t="s">
        <v>5261</v>
      </c>
      <c r="M1003" s="10">
        <v>46254</v>
      </c>
      <c r="N1003" s="8" t="s">
        <v>5282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5272</v>
      </c>
      <c r="B1004" s="21"/>
      <c r="C1004" s="1">
        <v>64</v>
      </c>
      <c r="D1004" s="1" t="s">
        <v>5274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5260</v>
      </c>
      <c r="K1004" s="8" t="s">
        <v>4320</v>
      </c>
      <c r="L1004" s="9" t="s">
        <v>5261</v>
      </c>
      <c r="M1004" s="10">
        <v>46254</v>
      </c>
      <c r="N1004" s="8" t="s">
        <v>5282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5273</v>
      </c>
      <c r="B1005" s="21"/>
      <c r="C1005" s="1">
        <v>1</v>
      </c>
      <c r="D1005" s="1" t="s">
        <v>5275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5260</v>
      </c>
      <c r="K1005" s="8" t="s">
        <v>4320</v>
      </c>
      <c r="L1005" s="9" t="s">
        <v>5261</v>
      </c>
      <c r="M1005" s="10">
        <v>46254</v>
      </c>
      <c r="N1005" s="8" t="s">
        <v>5282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5276</v>
      </c>
      <c r="B1006" s="21"/>
      <c r="C1006" s="1">
        <v>3</v>
      </c>
      <c r="D1006" s="1" t="s">
        <v>5277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5260</v>
      </c>
      <c r="K1006" s="8" t="s">
        <v>4320</v>
      </c>
      <c r="L1006" s="9" t="s">
        <v>5261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5278</v>
      </c>
      <c r="B1007" s="21"/>
      <c r="C1007" s="1">
        <v>252</v>
      </c>
      <c r="D1007" s="1" t="s">
        <v>5279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5260</v>
      </c>
      <c r="K1007" s="8" t="s">
        <v>4320</v>
      </c>
      <c r="L1007" s="9" t="s">
        <v>5261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5284</v>
      </c>
      <c r="C1008" s="1">
        <v>1</v>
      </c>
      <c r="D1008" s="1" t="s">
        <v>5285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5290</v>
      </c>
      <c r="B1009" s="21"/>
      <c r="C1009" s="207">
        <v>2</v>
      </c>
      <c r="D1009" s="1" t="s">
        <v>5291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5260</v>
      </c>
      <c r="K1009" s="8" t="s">
        <v>32</v>
      </c>
      <c r="L1009" s="9" t="s">
        <v>5261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5292</v>
      </c>
      <c r="B1010" s="21"/>
      <c r="C1010" s="207">
        <v>2</v>
      </c>
      <c r="D1010" s="1" t="s">
        <v>5293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5260</v>
      </c>
      <c r="K1010" s="8" t="s">
        <v>32</v>
      </c>
      <c r="L1010" s="9" t="s">
        <v>5261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5289</v>
      </c>
      <c r="B1011" s="21"/>
      <c r="C1011" s="207">
        <v>1</v>
      </c>
      <c r="D1011" s="1" t="s">
        <v>5294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5260</v>
      </c>
      <c r="K1011" s="8" t="s">
        <v>32</v>
      </c>
      <c r="L1011" s="9" t="s">
        <v>5261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5295</v>
      </c>
      <c r="B1012" s="21"/>
      <c r="C1012" s="207">
        <v>2</v>
      </c>
      <c r="D1012" s="1" t="s">
        <v>5296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5260</v>
      </c>
      <c r="K1012" s="8" t="s">
        <v>32</v>
      </c>
      <c r="L1012" s="9" t="s">
        <v>5261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5297</v>
      </c>
      <c r="B1013" s="21"/>
      <c r="C1013" s="207">
        <v>2</v>
      </c>
      <c r="D1013" s="1" t="s">
        <v>5298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5260</v>
      </c>
      <c r="K1013" s="8" t="s">
        <v>32</v>
      </c>
      <c r="L1013" s="9" t="s">
        <v>5261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5299</v>
      </c>
      <c r="C1014" s="25">
        <v>2</v>
      </c>
      <c r="D1014" s="1" t="s">
        <v>5300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5260</v>
      </c>
      <c r="K1014" s="8" t="s">
        <v>32</v>
      </c>
      <c r="L1014" s="9" t="s">
        <v>5261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hidden="1" customHeight="1" x14ac:dyDescent="0.25">
      <c r="A1015" s="1" t="s">
        <v>5301</v>
      </c>
      <c r="C1015" s="25">
        <v>2</v>
      </c>
      <c r="D1015" s="1" t="s">
        <v>5302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5260</v>
      </c>
      <c r="K1015" s="8" t="s">
        <v>32</v>
      </c>
      <c r="L1015" s="9" t="s">
        <v>5261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hidden="1" customHeight="1" x14ac:dyDescent="0.25">
      <c r="A1016" s="1" t="s">
        <v>5303</v>
      </c>
      <c r="C1016" s="25">
        <v>2</v>
      </c>
      <c r="D1016" s="1" t="s">
        <v>5304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5260</v>
      </c>
      <c r="K1016" s="8" t="s">
        <v>32</v>
      </c>
      <c r="L1016" s="9" t="s">
        <v>5261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hidden="1" customHeight="1" x14ac:dyDescent="0.25">
      <c r="A1017" s="209" t="s">
        <v>5306</v>
      </c>
      <c r="B1017" s="21" t="s">
        <v>5307</v>
      </c>
      <c r="C1017" s="196">
        <v>1</v>
      </c>
      <c r="D1017" s="1" t="s">
        <v>5308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hidden="1" customHeight="1" x14ac:dyDescent="0.25">
      <c r="A1018" s="209" t="s">
        <v>5309</v>
      </c>
      <c r="B1018" s="21" t="s">
        <v>5310</v>
      </c>
      <c r="C1018" s="196">
        <v>1</v>
      </c>
      <c r="D1018" s="1" t="s">
        <v>5311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hidden="1" customHeight="1" x14ac:dyDescent="0.25">
      <c r="A1019" s="209" t="s">
        <v>5309</v>
      </c>
      <c r="B1019" s="21" t="s">
        <v>5310</v>
      </c>
      <c r="C1019" s="196">
        <v>1</v>
      </c>
      <c r="D1019" s="1" t="s">
        <v>5312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09" t="s">
        <v>5313</v>
      </c>
      <c r="B1020" s="21" t="s">
        <v>5314</v>
      </c>
      <c r="C1020" s="196">
        <v>1</v>
      </c>
      <c r="D1020" s="1" t="s">
        <v>5315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09" t="s">
        <v>5316</v>
      </c>
      <c r="B1021" s="21" t="s">
        <v>5317</v>
      </c>
      <c r="C1021" s="196">
        <v>1</v>
      </c>
      <c r="D1021" s="1" t="s">
        <v>5318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09" t="s">
        <v>5319</v>
      </c>
      <c r="B1022" s="21" t="s">
        <v>5320</v>
      </c>
      <c r="C1022" s="196">
        <v>1</v>
      </c>
      <c r="D1022" s="1" t="s">
        <v>5321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hidden="1" customHeight="1" x14ac:dyDescent="0.25">
      <c r="A1023" s="209" t="s">
        <v>5322</v>
      </c>
      <c r="B1023" s="21" t="s">
        <v>5323</v>
      </c>
      <c r="C1023" s="196">
        <v>1</v>
      </c>
      <c r="D1023" s="1" t="s">
        <v>5324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09" t="s">
        <v>5322</v>
      </c>
      <c r="B1024" s="21" t="s">
        <v>5323</v>
      </c>
      <c r="C1024" s="196">
        <v>2</v>
      </c>
      <c r="D1024" s="1" t="s">
        <v>5325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09" t="s">
        <v>5322</v>
      </c>
      <c r="B1025" s="21" t="s">
        <v>5323</v>
      </c>
      <c r="C1025" s="25">
        <v>2</v>
      </c>
      <c r="D1025" s="1" t="s">
        <v>5326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hidden="1" customHeight="1" x14ac:dyDescent="0.25">
      <c r="A1026" s="21" t="s">
        <v>5327</v>
      </c>
      <c r="B1026" s="21" t="s">
        <v>5328</v>
      </c>
      <c r="C1026" s="196">
        <v>6</v>
      </c>
      <c r="D1026" s="1" t="s">
        <v>5329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5327</v>
      </c>
      <c r="B1027" s="21" t="s">
        <v>5328</v>
      </c>
      <c r="C1027" s="196">
        <v>6</v>
      </c>
      <c r="D1027" s="1" t="s">
        <v>5330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5327</v>
      </c>
      <c r="B1028" s="21" t="s">
        <v>5328</v>
      </c>
      <c r="C1028" s="196">
        <v>1</v>
      </c>
      <c r="D1028" s="1" t="s">
        <v>5331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5327</v>
      </c>
      <c r="B1029" s="21" t="s">
        <v>5328</v>
      </c>
      <c r="C1029" s="196">
        <v>12</v>
      </c>
      <c r="D1029" s="1" t="s">
        <v>5332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5327</v>
      </c>
      <c r="B1030" s="21" t="s">
        <v>5328</v>
      </c>
      <c r="C1030" s="196">
        <v>12</v>
      </c>
      <c r="D1030" s="1" t="s">
        <v>5333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5327</v>
      </c>
      <c r="B1031" s="21" t="s">
        <v>5328</v>
      </c>
      <c r="C1031" s="196">
        <v>12</v>
      </c>
      <c r="D1031" s="1" t="s">
        <v>5334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5327</v>
      </c>
      <c r="B1032" s="21" t="s">
        <v>5328</v>
      </c>
      <c r="C1032" s="196">
        <v>12</v>
      </c>
      <c r="D1032" s="1" t="s">
        <v>5337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5327</v>
      </c>
      <c r="B1033" s="21" t="s">
        <v>5328</v>
      </c>
      <c r="C1033" s="196">
        <v>24</v>
      </c>
      <c r="D1033" s="1" t="s">
        <v>5336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5327</v>
      </c>
      <c r="B1034" s="21" t="s">
        <v>5328</v>
      </c>
      <c r="C1034" s="196">
        <v>1</v>
      </c>
      <c r="D1034" s="1" t="s">
        <v>5335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5340</v>
      </c>
      <c r="B1035" s="21"/>
      <c r="C1035" s="196">
        <v>2</v>
      </c>
      <c r="D1035" s="1" t="s">
        <v>5341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5408</v>
      </c>
      <c r="J1035" s="8" t="s">
        <v>4834</v>
      </c>
      <c r="K1035" s="8" t="s">
        <v>4320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5338</v>
      </c>
      <c r="B1036" s="21" t="s">
        <v>5339</v>
      </c>
      <c r="C1036" s="196">
        <v>1</v>
      </c>
      <c r="D1036" s="1" t="s">
        <v>5342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5338</v>
      </c>
      <c r="B1037" s="21" t="s">
        <v>5339</v>
      </c>
      <c r="C1037" s="196">
        <v>2</v>
      </c>
      <c r="D1037" s="1" t="s">
        <v>5343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5338</v>
      </c>
      <c r="B1038" s="21" t="s">
        <v>5339</v>
      </c>
      <c r="C1038" s="196">
        <v>1</v>
      </c>
      <c r="D1038" s="1" t="s">
        <v>5344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5338</v>
      </c>
      <c r="B1039" s="21" t="s">
        <v>5339</v>
      </c>
      <c r="C1039" s="196">
        <v>4</v>
      </c>
      <c r="D1039" s="1" t="s">
        <v>5345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5338</v>
      </c>
      <c r="B1040" s="21" t="s">
        <v>5339</v>
      </c>
      <c r="C1040" s="196">
        <v>2</v>
      </c>
      <c r="D1040" s="1" t="s">
        <v>5346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5338</v>
      </c>
      <c r="B1041" s="21" t="s">
        <v>5339</v>
      </c>
      <c r="C1041" s="196">
        <v>4</v>
      </c>
      <c r="D1041" s="1" t="s">
        <v>5347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5338</v>
      </c>
      <c r="B1042" s="21" t="s">
        <v>5339</v>
      </c>
      <c r="C1042" s="196">
        <v>2</v>
      </c>
      <c r="D1042" s="1" t="s">
        <v>5348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5338</v>
      </c>
      <c r="B1043" s="21" t="s">
        <v>5339</v>
      </c>
      <c r="C1043" s="196">
        <v>1</v>
      </c>
      <c r="D1043" s="1" t="s">
        <v>5349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5350</v>
      </c>
      <c r="B1044" s="21" t="s">
        <v>5351</v>
      </c>
      <c r="C1044" s="196">
        <v>1</v>
      </c>
      <c r="D1044" s="1" t="s">
        <v>5352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5350</v>
      </c>
      <c r="B1045" s="21" t="s">
        <v>5351</v>
      </c>
      <c r="C1045" s="196">
        <v>1</v>
      </c>
      <c r="D1045" s="1" t="s">
        <v>5353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5354</v>
      </c>
      <c r="B1046" s="21" t="s">
        <v>5355</v>
      </c>
      <c r="C1046" s="196">
        <v>1</v>
      </c>
      <c r="D1046" s="1" t="s">
        <v>5356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5354</v>
      </c>
      <c r="B1047" s="21" t="s">
        <v>5355</v>
      </c>
      <c r="C1047" s="196">
        <v>1</v>
      </c>
      <c r="D1047" s="1" t="s">
        <v>5357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5354</v>
      </c>
      <c r="B1048" s="21" t="s">
        <v>5355</v>
      </c>
      <c r="C1048" s="196">
        <v>1</v>
      </c>
      <c r="D1048" s="1" t="s">
        <v>5358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5354</v>
      </c>
      <c r="B1049" s="21" t="s">
        <v>5355</v>
      </c>
      <c r="C1049" s="196">
        <v>1</v>
      </c>
      <c r="D1049" s="1" t="s">
        <v>5359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1" t="s">
        <v>5354</v>
      </c>
      <c r="B1050" s="21" t="s">
        <v>5355</v>
      </c>
      <c r="C1050" s="196">
        <v>1</v>
      </c>
      <c r="D1050" s="1" t="s">
        <v>5360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1" t="s">
        <v>5354</v>
      </c>
      <c r="B1051" s="21" t="s">
        <v>5355</v>
      </c>
      <c r="C1051" s="196">
        <v>1</v>
      </c>
      <c r="D1051" s="1" t="s">
        <v>5361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hidden="1" customHeight="1" x14ac:dyDescent="0.25">
      <c r="A1052" s="21" t="s">
        <v>5354</v>
      </c>
      <c r="B1052" s="21" t="s">
        <v>5355</v>
      </c>
      <c r="C1052" s="196">
        <v>32</v>
      </c>
      <c r="D1052" s="1" t="s">
        <v>5362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hidden="1" customHeight="1" x14ac:dyDescent="0.25">
      <c r="A1053" s="21" t="s">
        <v>5363</v>
      </c>
      <c r="B1053" s="21" t="s">
        <v>5364</v>
      </c>
      <c r="C1053" s="21">
        <v>1</v>
      </c>
      <c r="D1053" s="1" t="s">
        <v>5365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hidden="1" customHeight="1" x14ac:dyDescent="0.25">
      <c r="A1054" s="21" t="s">
        <v>5363</v>
      </c>
      <c r="B1054" s="21" t="s">
        <v>5364</v>
      </c>
      <c r="C1054" s="21">
        <v>2</v>
      </c>
      <c r="D1054" s="1" t="s">
        <v>5366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hidden="1" customHeight="1" x14ac:dyDescent="0.25">
      <c r="A1055" s="21" t="s">
        <v>5363</v>
      </c>
      <c r="B1055" s="21" t="s">
        <v>5364</v>
      </c>
      <c r="C1055" s="21">
        <v>4</v>
      </c>
      <c r="D1055" s="1" t="s">
        <v>5367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hidden="1" customHeight="1" x14ac:dyDescent="0.25">
      <c r="A1056" s="21" t="s">
        <v>5368</v>
      </c>
      <c r="B1056" s="21" t="s">
        <v>5369</v>
      </c>
      <c r="C1056" s="193">
        <v>1</v>
      </c>
      <c r="D1056" s="1" t="s">
        <v>5370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hidden="1" customHeight="1" x14ac:dyDescent="0.25">
      <c r="A1057" s="21" t="s">
        <v>5368</v>
      </c>
      <c r="B1057" s="21" t="s">
        <v>5369</v>
      </c>
      <c r="C1057" s="193">
        <v>1</v>
      </c>
      <c r="D1057" s="1" t="s">
        <v>5371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hidden="1" customHeight="1" x14ac:dyDescent="0.25">
      <c r="A1058" s="21" t="s">
        <v>5372</v>
      </c>
      <c r="B1058" s="21" t="s">
        <v>5373</v>
      </c>
      <c r="C1058" s="193">
        <v>1</v>
      </c>
      <c r="D1058" s="1" t="s">
        <v>5374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hidden="1" customHeight="1" x14ac:dyDescent="0.25">
      <c r="A1059" s="21" t="s">
        <v>5372</v>
      </c>
      <c r="B1059" s="21" t="s">
        <v>5373</v>
      </c>
      <c r="C1059" s="193">
        <v>1</v>
      </c>
      <c r="D1059" s="1" t="s">
        <v>5375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hidden="1" customHeight="1" x14ac:dyDescent="0.25">
      <c r="A1060" s="21" t="s">
        <v>5372</v>
      </c>
      <c r="B1060" s="21" t="s">
        <v>5373</v>
      </c>
      <c r="C1060" s="193">
        <v>1</v>
      </c>
      <c r="D1060" s="1" t="s">
        <v>5376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hidden="1" customHeight="1" x14ac:dyDescent="0.25">
      <c r="A1061" s="21" t="s">
        <v>5372</v>
      </c>
      <c r="B1061" s="21" t="s">
        <v>5373</v>
      </c>
      <c r="C1061" s="193">
        <v>1</v>
      </c>
      <c r="D1061" s="1" t="s">
        <v>5377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hidden="1" customHeight="1" x14ac:dyDescent="0.25">
      <c r="A1062" s="21" t="s">
        <v>5378</v>
      </c>
      <c r="B1062" s="21" t="s">
        <v>5379</v>
      </c>
      <c r="C1062" s="193">
        <v>4</v>
      </c>
      <c r="D1062" s="1" t="s">
        <v>5380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hidden="1" customHeight="1" x14ac:dyDescent="0.25">
      <c r="A1063" s="21" t="s">
        <v>5378</v>
      </c>
      <c r="B1063" s="21" t="s">
        <v>5379</v>
      </c>
      <c r="C1063" s="193">
        <v>2</v>
      </c>
      <c r="D1063" s="1" t="s">
        <v>5381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hidden="1" customHeight="1" x14ac:dyDescent="0.25">
      <c r="A1064" s="21" t="s">
        <v>5378</v>
      </c>
      <c r="B1064" s="21" t="s">
        <v>5379</v>
      </c>
      <c r="C1064" s="193">
        <v>2</v>
      </c>
      <c r="D1064" s="1" t="s">
        <v>5382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hidden="1" customHeight="1" x14ac:dyDescent="0.25">
      <c r="A1065" s="21" t="s">
        <v>5378</v>
      </c>
      <c r="B1065" s="21" t="s">
        <v>5379</v>
      </c>
      <c r="C1065" s="193">
        <v>1</v>
      </c>
      <c r="D1065" s="1" t="s">
        <v>5383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hidden="1" customHeight="1" x14ac:dyDescent="0.25">
      <c r="A1066" s="21" t="s">
        <v>5378</v>
      </c>
      <c r="B1066" s="21" t="s">
        <v>5379</v>
      </c>
      <c r="C1066" s="193">
        <v>1</v>
      </c>
      <c r="D1066" s="1" t="s">
        <v>5384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hidden="1" customHeight="1" x14ac:dyDescent="0.25">
      <c r="A1067" s="21" t="s">
        <v>5378</v>
      </c>
      <c r="B1067" s="21" t="s">
        <v>5379</v>
      </c>
      <c r="C1067" s="193">
        <v>1</v>
      </c>
      <c r="D1067" s="1" t="s">
        <v>5385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hidden="1" customHeight="1" x14ac:dyDescent="0.25">
      <c r="A1068" s="21" t="s">
        <v>5378</v>
      </c>
      <c r="B1068" s="21" t="s">
        <v>5379</v>
      </c>
      <c r="C1068" s="193">
        <v>2</v>
      </c>
      <c r="D1068" s="1" t="s">
        <v>5386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hidden="1" customHeight="1" x14ac:dyDescent="0.25">
      <c r="A1069" s="21" t="s">
        <v>5378</v>
      </c>
      <c r="B1069" s="21" t="s">
        <v>5379</v>
      </c>
      <c r="C1069" s="193">
        <v>2</v>
      </c>
      <c r="D1069" s="1" t="s">
        <v>5387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hidden="1" customHeight="1" x14ac:dyDescent="0.25">
      <c r="A1070" s="21" t="s">
        <v>137</v>
      </c>
      <c r="C1070" s="25">
        <v>30</v>
      </c>
      <c r="D1070" s="1" t="s">
        <v>5389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5390</v>
      </c>
      <c r="K1070" s="8" t="s">
        <v>23</v>
      </c>
      <c r="L1070" s="9" t="s">
        <v>5391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hidden="1" customHeight="1" x14ac:dyDescent="0.25">
      <c r="A1071" s="1" t="s">
        <v>5409</v>
      </c>
      <c r="B1071" s="21" t="s">
        <v>5410</v>
      </c>
      <c r="C1071" s="1">
        <v>1</v>
      </c>
      <c r="D1071" s="1" t="s">
        <v>5411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5110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5409</v>
      </c>
      <c r="B1072" s="21" t="s">
        <v>5410</v>
      </c>
      <c r="C1072" s="1">
        <v>1</v>
      </c>
      <c r="D1072" s="1" t="s">
        <v>5412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5110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5409</v>
      </c>
      <c r="B1073" s="21" t="s">
        <v>5410</v>
      </c>
      <c r="C1073" s="1">
        <v>1</v>
      </c>
      <c r="D1073" s="1" t="s">
        <v>5413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5110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5409</v>
      </c>
      <c r="B1074" s="21" t="s">
        <v>5410</v>
      </c>
      <c r="C1074" s="1">
        <v>1</v>
      </c>
      <c r="D1074" s="1" t="s">
        <v>5414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5110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5409</v>
      </c>
      <c r="B1075" s="21" t="s">
        <v>5410</v>
      </c>
      <c r="C1075" s="1">
        <v>1</v>
      </c>
      <c r="D1075" s="1" t="s">
        <v>5415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5110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</sheetData>
  <phoneticPr fontId="6" type="noConversion"/>
  <conditionalFormatting sqref="A1026:B1052">
    <cfRule type="expression" dxfId="112" priority="797">
      <formula>#REF!="OK"</formula>
    </cfRule>
  </conditionalFormatting>
  <conditionalFormatting sqref="A1053:C1055">
    <cfRule type="expression" dxfId="111" priority="754">
      <formula>#REF!="OK"</formula>
    </cfRule>
  </conditionalFormatting>
  <conditionalFormatting sqref="A1058:C1070">
    <cfRule type="expression" dxfId="110" priority="682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75 E606:E1013 AA762:AJ762 AC762:AE763 AA763:AI797 AA798:AH804 AA805:AI816 AA817:AH817 AB818:AI819 AA820:AI821 AB822:AI833 AA834:AI836 AB837:AI838 AA839:AI839 AB840:AI841 AA842:AI857 AB858:AI858 AA859:AI873 AB874:AI884 AA885:AI891 AB892:AI996 AA997:AI1070 E1071:E1075 AB1071:AI1075">
    <cfRule type="expression" dxfId="109" priority="1312">
      <formula>$AI2="OK"</formula>
    </cfRule>
  </conditionalFormatting>
  <conditionalFormatting sqref="E1053:F1070 AR1053:XFD1070 B1062:C1070">
    <cfRule type="expression" dxfId="108" priority="526">
      <formula>#REF!="OK"</formula>
    </cfRule>
  </conditionalFormatting>
  <conditionalFormatting sqref="F564:F1052 B606:B1025 A1070">
    <cfRule type="expression" dxfId="107" priority="451">
      <formula>#REF!="OK"</formula>
    </cfRule>
  </conditionalFormatting>
  <conditionalFormatting sqref="H419">
    <cfRule type="expression" dxfId="106" priority="28105">
      <formula>$AI449="OK"</formula>
    </cfRule>
  </conditionalFormatting>
  <conditionalFormatting sqref="H420:H438">
    <cfRule type="expression" dxfId="105" priority="28095">
      <formula>$AI459="OK"</formula>
    </cfRule>
  </conditionalFormatting>
  <conditionalFormatting sqref="H576">
    <cfRule type="expression" dxfId="104" priority="28072">
      <formula>$AI604="OK"</formula>
    </cfRule>
  </conditionalFormatting>
  <conditionalFormatting sqref="H606:I1075 K764:O1075 A1051:A1057 B1056:C1057 B1071:B1075 F1071:F1075">
    <cfRule type="expression" dxfId="103" priority="1196">
      <formula>#REF!="OK"</formula>
    </cfRule>
  </conditionalFormatting>
  <conditionalFormatting sqref="K153:K438 K445:K458 L448:L449 L762:O763">
    <cfRule type="expression" dxfId="102" priority="1321">
      <formula>#REF!="OK"</formula>
    </cfRule>
  </conditionalFormatting>
  <conditionalFormatting sqref="K762:K763">
    <cfRule type="expression" dxfId="101" priority="1204">
      <formula>$AI1095="OK"</formula>
    </cfRule>
  </conditionalFormatting>
  <conditionalFormatting sqref="L2:L27 H415:H417">
    <cfRule type="expression" dxfId="100" priority="27848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9" priority="1318">
      <formula>$AI72="OK"</formula>
    </cfRule>
  </conditionalFormatting>
  <conditionalFormatting sqref="L408">
    <cfRule type="expression" dxfId="98" priority="28097">
      <formula>$AI449="OK"</formula>
    </cfRule>
  </conditionalFormatting>
  <conditionalFormatting sqref="L409:L438">
    <cfRule type="expression" dxfId="97" priority="27950">
      <formula>$AI459="OK"</formula>
    </cfRule>
  </conditionalFormatting>
  <conditionalFormatting sqref="N2:N458">
    <cfRule type="expression" dxfId="96" priority="1202">
      <formula>#REF!="OK"</formula>
    </cfRule>
  </conditionalFormatting>
  <conditionalFormatting sqref="O450:O458">
    <cfRule type="cellIs" dxfId="95" priority="1268" operator="greaterThanOrEqual">
      <formula>0</formula>
    </cfRule>
  </conditionalFormatting>
  <conditionalFormatting sqref="O450:P452 H449 R449 A450:D452 F450:F452 M450:M452 H450:J458 P457:P458">
    <cfRule type="expression" dxfId="94" priority="27906">
      <formula>$AI503="OK"</formula>
    </cfRule>
  </conditionalFormatting>
  <conditionalFormatting sqref="O453:P453">
    <cfRule type="expression" dxfId="93" priority="1278">
      <formula>#REF!="OK"</formula>
    </cfRule>
  </conditionalFormatting>
  <conditionalFormatting sqref="O2:Z27 A2:D27 F2:F27 H2:K27 M2:M27 H153:H413 H459:H571">
    <cfRule type="expression" dxfId="92" priority="27881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91" priority="27579">
      <formula>$AI73="OK"</formula>
    </cfRule>
  </conditionalFormatting>
  <conditionalFormatting sqref="O108:Z108 A108:D108 F108 H108:K108 M108 L109">
    <cfRule type="expression" dxfId="90" priority="28214">
      <formula>#REF!="OK"</formula>
    </cfRule>
  </conditionalFormatting>
  <conditionalFormatting sqref="O402:Z402 O406:Z406 A402:D402 F402 I402:J402 M402 L403 A406:D406 F406 I406:J406 M406 L407 H414 H418">
    <cfRule type="expression" dxfId="89" priority="28098">
      <formula>#REF!="OK"</formula>
    </cfRule>
  </conditionalFormatting>
  <conditionalFormatting sqref="O403:Z405 L110:L152 L214:L256 L396:L402 A403:D405 F403:F405 I403:J405 M403:M405">
    <cfRule type="expression" dxfId="88" priority="27785">
      <formula>$AI153="OK"</formula>
    </cfRule>
  </conditionalFormatting>
  <conditionalFormatting sqref="O407:Z407 L404:L406 A407:D407 F407 I407:J407 M407">
    <cfRule type="expression" dxfId="87" priority="28107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6" priority="27920">
      <formula>$AI499="OK"</formula>
    </cfRule>
  </conditionalFormatting>
  <conditionalFormatting sqref="O559:Z562 Z560:Z563 B559:B562 F559:F562 I559:I562 M559:M562 H572:H575">
    <cfRule type="expression" dxfId="85" priority="28035">
      <formula>#REF!="OK"</formula>
    </cfRule>
  </conditionalFormatting>
  <conditionalFormatting sqref="O563:Z563 B563 F563 I563 M563">
    <cfRule type="expression" dxfId="84" priority="27949">
      <formula>$AI604="OK"</formula>
    </cfRule>
  </conditionalFormatting>
  <conditionalFormatting sqref="P762:Z834">
    <cfRule type="expression" dxfId="83" priority="28234">
      <formula>$AI1105="OK"</formula>
    </cfRule>
  </conditionalFormatting>
  <conditionalFormatting sqref="P835:Z845">
    <cfRule type="expression" dxfId="82" priority="28310">
      <formula>$AI1176="OK"</formula>
    </cfRule>
  </conditionalFormatting>
  <conditionalFormatting sqref="P837:Z845">
    <cfRule type="expression" dxfId="81" priority="28311">
      <formula>$AI1177="OK"</formula>
    </cfRule>
  </conditionalFormatting>
  <conditionalFormatting sqref="P845:Z845 P847:Z989">
    <cfRule type="expression" dxfId="80" priority="28303">
      <formula>$AI1184="OK"</formula>
    </cfRule>
  </conditionalFormatting>
  <conditionalFormatting sqref="P846:Z846">
    <cfRule type="expression" dxfId="79" priority="12">
      <formula>$AI1185="OK"</formula>
    </cfRule>
    <cfRule type="expression" dxfId="78" priority="13">
      <formula>$AI1187="OK"</formula>
    </cfRule>
    <cfRule type="expression" dxfId="77" priority="14">
      <formula>$AI1186="OK"</formula>
    </cfRule>
  </conditionalFormatting>
  <conditionalFormatting sqref="P847:Z1018">
    <cfRule type="expression" dxfId="76" priority="28313">
      <formula>$AI1185="OK"</formula>
    </cfRule>
  </conditionalFormatting>
  <conditionalFormatting sqref="P990:Z1018">
    <cfRule type="expression" dxfId="75" priority="28301">
      <formula>$AI1327="OK"</formula>
    </cfRule>
  </conditionalFormatting>
  <conditionalFormatting sqref="P1019:Z1021">
    <cfRule type="expression" dxfId="74" priority="858">
      <formula>$AI1356="OK"</formula>
    </cfRule>
    <cfRule type="expression" dxfId="73" priority="859">
      <formula>$AI1357="OK"</formula>
    </cfRule>
  </conditionalFormatting>
  <conditionalFormatting sqref="P1022:Z1029">
    <cfRule type="expression" dxfId="72" priority="28309">
      <formula>$AI1360="OK"</formula>
    </cfRule>
    <cfRule type="expression" dxfId="71" priority="28308">
      <formula>$AI1359="OK"</formula>
    </cfRule>
  </conditionalFormatting>
  <conditionalFormatting sqref="P1030:Z1075">
    <cfRule type="expression" dxfId="70" priority="20">
      <formula>$AI1368="OK"</formula>
    </cfRule>
    <cfRule type="expression" dxfId="69" priority="19">
      <formula>$AI1367="OK"</formula>
    </cfRule>
  </conditionalFormatting>
  <conditionalFormatting sqref="Q2:Q456 T2:T1075 Y2:Z1075 Q459:Q1075">
    <cfRule type="cellIs" dxfId="68" priority="27548" operator="greaterThanOrEqual">
      <formula>0</formula>
    </cfRule>
  </conditionalFormatting>
  <conditionalFormatting sqref="Q2:Q456">
    <cfRule type="cellIs" dxfId="67" priority="27547" operator="lessThan">
      <formula>0</formula>
    </cfRule>
  </conditionalFormatting>
  <conditionalFormatting sqref="Q459:Q1075 O450:O458">
    <cfRule type="cellIs" dxfId="66" priority="1267" operator="lessThan">
      <formula>0</formula>
    </cfRule>
  </conditionalFormatting>
  <conditionalFormatting sqref="S211">
    <cfRule type="expression" dxfId="65" priority="1319">
      <formula>#REF!="OK"</formula>
    </cfRule>
  </conditionalFormatting>
  <conditionalFormatting sqref="S393">
    <cfRule type="expression" dxfId="64" priority="1320">
      <formula>#REF!="OK"</formula>
    </cfRule>
  </conditionalFormatting>
  <conditionalFormatting sqref="S447:Z447 O447:Q447 A447:D447 F447 J447 M447 A453:D453 F453 M453 L454:L458">
    <cfRule type="expression" dxfId="63" priority="27905">
      <formula>#REF!="OK"</formula>
    </cfRule>
  </conditionalFormatting>
  <conditionalFormatting sqref="T2:T1075 Y2:Z1075">
    <cfRule type="cellIs" dxfId="62" priority="27549" operator="lessThan">
      <formula>0</formula>
    </cfRule>
  </conditionalFormatting>
  <conditionalFormatting sqref="T212:Z212 O212:R212 A212:D212 F212 I212:J212 M212">
    <cfRule type="expression" dxfId="61" priority="27759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60" priority="27647">
      <formula>$AI257="OK"</formula>
    </cfRule>
  </conditionalFormatting>
  <conditionalFormatting sqref="T394:Z394 O394:R394 A394:D394 F394 I394:J394 M394 L395">
    <cfRule type="expression" dxfId="59" priority="27810">
      <formula>#REF!="OK"</formula>
    </cfRule>
  </conditionalFormatting>
  <conditionalFormatting sqref="T408:Z438 O408:R438 S408:S437 A408:D438 F408:F438 I408:J438 M408:M438 L439:L445">
    <cfRule type="expression" dxfId="58" priority="28191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7" priority="28100">
      <formula>$AI490="OK"</formula>
    </cfRule>
  </conditionalFormatting>
  <conditionalFormatting sqref="T605:Z605 Q605:R605 H605">
    <cfRule type="expression" dxfId="56" priority="28087">
      <formula>$AI669="OK"</formula>
    </cfRule>
  </conditionalFormatting>
  <conditionalFormatting sqref="V450:Y451 R450:T458 V452:Z458">
    <cfRule type="expression" dxfId="55" priority="28005">
      <formula>$AI487="OK"</formula>
    </cfRule>
  </conditionalFormatting>
  <conditionalFormatting sqref="Z450:Z451 O564:Z622 K623:Z761 K556:K622 B564:B603 I564:I603 M564:M603 H577:H603 A604:D605 H604:J605 L604:N622">
    <cfRule type="expression" dxfId="54" priority="28074">
      <formula>#REF!="OK"</formula>
    </cfRule>
  </conditionalFormatting>
  <conditionalFormatting sqref="Z450:Z451">
    <cfRule type="expression" dxfId="53" priority="1251">
      <formula>$AI494="OK"</formula>
    </cfRule>
  </conditionalFormatting>
  <conditionalFormatting sqref="Z564">
    <cfRule type="expression" dxfId="52" priority="28065">
      <formula>$AI604="OK"</formula>
    </cfRule>
  </conditionalFormatting>
  <conditionalFormatting sqref="Z605">
    <cfRule type="expression" dxfId="51" priority="28090">
      <formula>$AI668="OK"</formula>
    </cfRule>
  </conditionalFormatting>
  <conditionalFormatting sqref="AA818:AA819 AA1071:AA1075">
    <cfRule type="expression" dxfId="50" priority="143">
      <formula>$AI818="OK"</formula>
    </cfRule>
    <cfRule type="cellIs" dxfId="49" priority="142" operator="greaterThanOrEqual">
      <formula>1</formula>
    </cfRule>
  </conditionalFormatting>
  <conditionalFormatting sqref="AA822:AA833">
    <cfRule type="cellIs" dxfId="48" priority="118" operator="greaterThanOrEqual">
      <formula>1</formula>
    </cfRule>
    <cfRule type="expression" dxfId="47" priority="119">
      <formula>$AI822="OK"</formula>
    </cfRule>
  </conditionalFormatting>
  <conditionalFormatting sqref="AA837:AA838">
    <cfRule type="expression" dxfId="46" priority="115">
      <formula>$AI837="OK"</formula>
    </cfRule>
    <cfRule type="cellIs" dxfId="45" priority="114" operator="greaterThanOrEqual">
      <formula>1</formula>
    </cfRule>
  </conditionalFormatting>
  <conditionalFormatting sqref="AA840:AA841">
    <cfRule type="expression" dxfId="44" priority="111">
      <formula>$AI840="OK"</formula>
    </cfRule>
    <cfRule type="cellIs" dxfId="43" priority="110" operator="greaterThanOrEqual">
      <formula>1</formula>
    </cfRule>
  </conditionalFormatting>
  <conditionalFormatting sqref="AA858">
    <cfRule type="expression" dxfId="42" priority="109">
      <formula>$AI858="OK"</formula>
    </cfRule>
    <cfRule type="cellIs" dxfId="41" priority="108" operator="greaterThanOrEqual">
      <formula>1</formula>
    </cfRule>
  </conditionalFormatting>
  <conditionalFormatting sqref="AA874:AA884">
    <cfRule type="expression" dxfId="40" priority="87">
      <formula>$AI874="OK"</formula>
    </cfRule>
    <cfRule type="cellIs" dxfId="39" priority="86" operator="greaterThanOrEqual">
      <formula>1</formula>
    </cfRule>
  </conditionalFormatting>
  <conditionalFormatting sqref="AA892:AA996">
    <cfRule type="expression" dxfId="38" priority="57">
      <formula>$AI892="OK"</formula>
    </cfRule>
    <cfRule type="cellIs" dxfId="37" priority="56" operator="greaterThanOrEqual">
      <formula>1</formula>
    </cfRule>
  </conditionalFormatting>
  <conditionalFormatting sqref="AA1021:AA1022">
    <cfRule type="cellIs" dxfId="36" priority="9" operator="greaterThanOrEqual">
      <formula>1</formula>
    </cfRule>
  </conditionalFormatting>
  <conditionalFormatting sqref="AA137:AC141">
    <cfRule type="expression" dxfId="35" priority="49">
      <formula>$AI137="OK"</formula>
    </cfRule>
  </conditionalFormatting>
  <conditionalFormatting sqref="AA142:AC142">
    <cfRule type="expression" dxfId="34" priority="51">
      <formula>$AI141="OK"</formula>
    </cfRule>
  </conditionalFormatting>
  <conditionalFormatting sqref="AA143:AC148">
    <cfRule type="expression" dxfId="33" priority="41">
      <formula>$AI143="OK"</formula>
    </cfRule>
  </conditionalFormatting>
  <conditionalFormatting sqref="AA149:AC149">
    <cfRule type="expression" dxfId="32" priority="43">
      <formula>$AI148="OK"</formula>
    </cfRule>
  </conditionalFormatting>
  <conditionalFormatting sqref="AA150:AC150">
    <cfRule type="expression" dxfId="31" priority="40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30" priority="37">
      <formula>$AI606="OK"</formula>
    </cfRule>
  </conditionalFormatting>
  <conditionalFormatting sqref="AA606:AC609 AA612:AC622 AA997:AJ1070 AB1071:AJ1075">
    <cfRule type="cellIs" dxfId="29" priority="39" operator="greaterThanOrEqual">
      <formula>1</formula>
    </cfRule>
  </conditionalFormatting>
  <conditionalFormatting sqref="AA121:AD127">
    <cfRule type="expression" dxfId="28" priority="146">
      <formula>$AI121="OK"</formula>
    </cfRule>
  </conditionalFormatting>
  <conditionalFormatting sqref="AA604:AH604">
    <cfRule type="cellIs" dxfId="27" priority="154" operator="greaterThanOrEqual">
      <formula>1</formula>
    </cfRule>
  </conditionalFormatting>
  <conditionalFormatting sqref="AA623:AH761">
    <cfRule type="cellIs" dxfId="26" priority="153" operator="greaterThanOrEqual">
      <formula>1</formula>
    </cfRule>
    <cfRule type="expression" dxfId="25" priority="152">
      <formula>$AI623="OK"</formula>
    </cfRule>
  </conditionalFormatting>
  <conditionalFormatting sqref="AA2:AI28 AA450:AE451 AE452:AG452 AF453:AG458 AA459:AH459 A459:G555 I459:N555 AA460:AI603 J556:J603 L556:L603">
    <cfRule type="expression" dxfId="24" priority="27545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 AB892:AJ996">
    <cfRule type="cellIs" dxfId="23" priority="27546" operator="greaterThanOrEqual">
      <formula>1</formula>
    </cfRule>
  </conditionalFormatting>
  <conditionalFormatting sqref="AA460:AI605 AI606:AI761 AI798:AI804 AI817">
    <cfRule type="cellIs" dxfId="22" priority="1245" operator="greaterThanOrEqual">
      <formula>1</formula>
    </cfRule>
  </conditionalFormatting>
  <conditionalFormatting sqref="AA605:AI605">
    <cfRule type="expression" dxfId="21" priority="1246">
      <formula>$AI605="OK"</formula>
    </cfRule>
  </conditionalFormatting>
  <conditionalFormatting sqref="AA842:AJ857">
    <cfRule type="cellIs" dxfId="20" priority="11" operator="greaterThanOrEqual">
      <formula>1</formula>
    </cfRule>
  </conditionalFormatting>
  <conditionalFormatting sqref="AC454:AC458">
    <cfRule type="cellIs" dxfId="19" priority="1186" operator="greaterThanOrEqual">
      <formula>1</formula>
    </cfRule>
    <cfRule type="expression" dxfId="18" priority="1185">
      <formula>$AI454="OK"</formula>
    </cfRule>
  </conditionalFormatting>
  <conditionalFormatting sqref="AC1021:AC1022">
    <cfRule type="cellIs" dxfId="17" priority="7" operator="greaterThanOrEqual">
      <formula>1</formula>
    </cfRule>
  </conditionalFormatting>
  <conditionalFormatting sqref="AD1021:AD1022">
    <cfRule type="cellIs" dxfId="16" priority="5" operator="greaterThanOrEqual">
      <formula>1</formula>
    </cfRule>
  </conditionalFormatting>
  <conditionalFormatting sqref="AD606:AH609 AA610:AH611 AD612:AH622">
    <cfRule type="cellIs" dxfId="15" priority="1235" operator="greaterThanOrEqual">
      <formula>1</formula>
    </cfRule>
    <cfRule type="expression" dxfId="14" priority="1236">
      <formula>$AI606="OK"</formula>
    </cfRule>
  </conditionalFormatting>
  <conditionalFormatting sqref="AE453:AE458">
    <cfRule type="expression" dxfId="13" priority="1184">
      <formula>$AI453="OK"</formula>
    </cfRule>
  </conditionalFormatting>
  <conditionalFormatting sqref="AE1021:AE1022">
    <cfRule type="cellIs" dxfId="12" priority="3" operator="greaterThanOrEqual">
      <formula>1</formula>
    </cfRule>
  </conditionalFormatting>
  <conditionalFormatting sqref="AF454:AF458">
    <cfRule type="expression" dxfId="11" priority="1183">
      <formula>$AI454="OK"</formula>
    </cfRule>
  </conditionalFormatting>
  <conditionalFormatting sqref="AF1021:AF1022">
    <cfRule type="cellIs" dxfId="10" priority="1" operator="greaterThanOrEqual">
      <formula>1</formula>
    </cfRule>
  </conditionalFormatting>
  <conditionalFormatting sqref="AF450:AH451">
    <cfRule type="expression" dxfId="9" priority="1134">
      <formula>$AI450="OK"</formula>
    </cfRule>
  </conditionalFormatting>
  <conditionalFormatting sqref="AG454:AG458">
    <cfRule type="expression" dxfId="8" priority="1182">
      <formula>$AI454="OK"</formula>
    </cfRule>
  </conditionalFormatting>
  <conditionalFormatting sqref="AI486:AI761 N556:N603 AI798:AI804 AI817">
    <cfRule type="expression" dxfId="7" priority="1252">
      <formula>$AI486="OK"</formula>
    </cfRule>
  </conditionalFormatting>
  <conditionalFormatting sqref="AJ153:AW153">
    <cfRule type="expression" dxfId="6" priority="1323">
      <formula>$AI153="OK"</formula>
    </cfRule>
  </conditionalFormatting>
  <conditionalFormatting sqref="AR1070:AS1070">
    <cfRule type="expression" dxfId="5" priority="229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abSelected="1" topLeftCell="A21" workbookViewId="0">
      <selection activeCell="B23" sqref="B2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300">
        <v>188</v>
      </c>
      <c r="B2" s="218" t="s">
        <v>2071</v>
      </c>
      <c r="C2" s="301">
        <v>46188</v>
      </c>
      <c r="D2" s="301">
        <v>46261</v>
      </c>
      <c r="E2" s="302" t="s">
        <v>496</v>
      </c>
      <c r="F2" s="218" t="s">
        <v>2070</v>
      </c>
    </row>
    <row r="3" spans="1:6" x14ac:dyDescent="0.25">
      <c r="A3" s="300">
        <v>190</v>
      </c>
      <c r="B3" s="218" t="s">
        <v>2986</v>
      </c>
      <c r="C3" s="301">
        <v>46205</v>
      </c>
      <c r="D3" s="301"/>
      <c r="E3" s="302" t="s">
        <v>496</v>
      </c>
      <c r="F3" s="218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5488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5494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5488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5494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5488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303">
        <v>133</v>
      </c>
      <c r="B19" s="220" t="s">
        <v>4971</v>
      </c>
      <c r="C19" s="216">
        <v>46249</v>
      </c>
      <c r="D19" s="216"/>
      <c r="E19" s="221" t="s">
        <v>5495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5032</v>
      </c>
      <c r="C21" s="189">
        <v>46268</v>
      </c>
      <c r="D21" s="189"/>
      <c r="E21" s="190" t="s">
        <v>5490</v>
      </c>
      <c r="F21" s="188" t="s">
        <v>5033</v>
      </c>
    </row>
    <row r="22" spans="1:6" x14ac:dyDescent="0.25">
      <c r="A22" s="224">
        <v>900</v>
      </c>
      <c r="B22" s="188" t="s">
        <v>5493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5280</v>
      </c>
      <c r="C23" s="189"/>
      <c r="D23" s="189"/>
      <c r="E23" s="226" t="s">
        <v>4968</v>
      </c>
      <c r="F23" s="227" t="s">
        <v>5281</v>
      </c>
    </row>
    <row r="24" spans="1:6" x14ac:dyDescent="0.25">
      <c r="A24" s="232">
        <v>216</v>
      </c>
      <c r="B24" s="107" t="s">
        <v>5491</v>
      </c>
      <c r="C24" s="185">
        <v>46288</v>
      </c>
      <c r="D24" s="185"/>
      <c r="E24" s="186" t="s">
        <v>5490</v>
      </c>
      <c r="F24" s="188" t="s">
        <v>5416</v>
      </c>
    </row>
    <row r="25" spans="1:6" x14ac:dyDescent="0.25">
      <c r="A25" s="231">
        <v>217</v>
      </c>
      <c r="B25" s="188" t="s">
        <v>5492</v>
      </c>
      <c r="C25" s="189">
        <v>46295</v>
      </c>
      <c r="D25" s="189"/>
      <c r="E25" s="226" t="s">
        <v>5490</v>
      </c>
      <c r="F25" s="188" t="s">
        <v>5416</v>
      </c>
    </row>
    <row r="26" spans="1:6" x14ac:dyDescent="0.25">
      <c r="A26" s="231"/>
      <c r="B26" s="188"/>
      <c r="C26" s="189"/>
      <c r="D26" s="189"/>
      <c r="E26" s="190"/>
      <c r="F26" s="1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7" t="e" vm="1">
        <v>#VALUE!</v>
      </c>
      <c r="D2" s="288"/>
      <c r="E2" s="291" t="s">
        <v>320</v>
      </c>
      <c r="F2" s="291"/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292"/>
      <c r="U2" s="295" t="s">
        <v>246</v>
      </c>
      <c r="V2" s="285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9"/>
      <c r="D3" s="290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293"/>
      <c r="P3" s="293"/>
      <c r="Q3" s="293"/>
      <c r="R3" s="293"/>
      <c r="S3" s="293"/>
      <c r="T3" s="294"/>
      <c r="U3" s="296"/>
      <c r="V3" s="286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0" t="s">
        <v>2070</v>
      </c>
      <c r="D6" s="253" t="s">
        <v>2069</v>
      </c>
      <c r="E6" s="256" t="s">
        <v>2071</v>
      </c>
      <c r="F6" s="259">
        <v>46183</v>
      </c>
      <c r="G6" s="297">
        <v>46220</v>
      </c>
      <c r="H6" s="276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4">
        <f>T9/T6</f>
        <v>0.88949747289203585</v>
      </c>
      <c r="V6" s="24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1"/>
      <c r="D7" s="254"/>
      <c r="E7" s="257"/>
      <c r="F7" s="260"/>
      <c r="G7" s="298"/>
      <c r="H7" s="277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5"/>
      <c r="V7" s="24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1"/>
      <c r="D8" s="254"/>
      <c r="E8" s="257"/>
      <c r="F8" s="260"/>
      <c r="G8" s="298"/>
      <c r="H8" s="277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5"/>
      <c r="V8" s="24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1"/>
      <c r="D9" s="254"/>
      <c r="E9" s="257"/>
      <c r="F9" s="260"/>
      <c r="G9" s="298"/>
      <c r="H9" s="277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5"/>
      <c r="V9" s="24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2"/>
      <c r="D10" s="255"/>
      <c r="E10" s="258"/>
      <c r="F10" s="261"/>
      <c r="G10" s="299"/>
      <c r="H10" s="278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46"/>
      <c r="V10" s="24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0" t="s">
        <v>2987</v>
      </c>
      <c r="D12" s="253" t="s">
        <v>2551</v>
      </c>
      <c r="E12" s="256" t="s">
        <v>2986</v>
      </c>
      <c r="F12" s="259">
        <v>46205</v>
      </c>
      <c r="G12" s="297"/>
      <c r="H12" s="282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4">
        <f>T15/T12</f>
        <v>0.76586952907929418</v>
      </c>
      <c r="V12" s="24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1"/>
      <c r="D13" s="254"/>
      <c r="E13" s="257"/>
      <c r="F13" s="260"/>
      <c r="G13" s="298"/>
      <c r="H13" s="283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5"/>
      <c r="V13" s="24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1"/>
      <c r="D14" s="254"/>
      <c r="E14" s="257"/>
      <c r="F14" s="260"/>
      <c r="G14" s="298"/>
      <c r="H14" s="283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5"/>
      <c r="V14" s="24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1"/>
      <c r="D15" s="254"/>
      <c r="E15" s="257"/>
      <c r="F15" s="260"/>
      <c r="G15" s="298"/>
      <c r="H15" s="283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5"/>
      <c r="V15" s="24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2"/>
      <c r="D16" s="255"/>
      <c r="E16" s="258"/>
      <c r="F16" s="261"/>
      <c r="G16" s="299"/>
      <c r="H16" s="284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6"/>
      <c r="V16" s="24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0" t="s">
        <v>2983</v>
      </c>
      <c r="D18" s="253" t="s">
        <v>2984</v>
      </c>
      <c r="E18" s="256" t="s">
        <v>2985</v>
      </c>
      <c r="F18" s="259">
        <v>46289</v>
      </c>
      <c r="G18" s="297"/>
      <c r="H18" s="26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4">
        <f>T21/T18</f>
        <v>0.7638396884091303</v>
      </c>
      <c r="V18" s="24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1"/>
      <c r="D19" s="254"/>
      <c r="E19" s="257"/>
      <c r="F19" s="260"/>
      <c r="G19" s="298"/>
      <c r="H19" s="266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45"/>
      <c r="V19" s="24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1"/>
      <c r="D20" s="254"/>
      <c r="E20" s="257"/>
      <c r="F20" s="260"/>
      <c r="G20" s="298"/>
      <c r="H20" s="266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45"/>
      <c r="V20" s="24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1"/>
      <c r="D21" s="254"/>
      <c r="E21" s="257"/>
      <c r="F21" s="260"/>
      <c r="G21" s="298"/>
      <c r="H21" s="266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45"/>
      <c r="V21" s="24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2"/>
      <c r="D22" s="255"/>
      <c r="E22" s="258"/>
      <c r="F22" s="261"/>
      <c r="G22" s="299"/>
      <c r="H22" s="267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46"/>
      <c r="V22" s="24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0" t="s">
        <v>3292</v>
      </c>
      <c r="D24" s="253" t="s">
        <v>3291</v>
      </c>
      <c r="E24" s="256" t="s">
        <v>3293</v>
      </c>
      <c r="F24" s="259">
        <v>46336</v>
      </c>
      <c r="G24" s="262"/>
      <c r="H24" s="26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4">
        <v>0</v>
      </c>
      <c r="V24" s="24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1"/>
      <c r="D25" s="254"/>
      <c r="E25" s="257"/>
      <c r="F25" s="260"/>
      <c r="G25" s="263"/>
      <c r="H25" s="26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5"/>
      <c r="V25" s="24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1"/>
      <c r="D26" s="254"/>
      <c r="E26" s="257"/>
      <c r="F26" s="260"/>
      <c r="G26" s="263"/>
      <c r="H26" s="26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5"/>
      <c r="V26" s="24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1"/>
      <c r="D27" s="254"/>
      <c r="E27" s="257"/>
      <c r="F27" s="260"/>
      <c r="G27" s="263"/>
      <c r="H27" s="26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5"/>
      <c r="V27" s="24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2"/>
      <c r="D28" s="255"/>
      <c r="E28" s="258"/>
      <c r="F28" s="261"/>
      <c r="G28" s="264"/>
      <c r="H28" s="26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6"/>
      <c r="V28" s="24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0" t="s">
        <v>2993</v>
      </c>
      <c r="D30" s="253" t="s">
        <v>2989</v>
      </c>
      <c r="E30" s="256" t="s">
        <v>2994</v>
      </c>
      <c r="F30" s="259">
        <v>46219</v>
      </c>
      <c r="G30" s="262"/>
      <c r="H30" s="276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4">
        <v>0</v>
      </c>
      <c r="V30" s="24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1"/>
      <c r="D31" s="254"/>
      <c r="E31" s="257"/>
      <c r="F31" s="260"/>
      <c r="G31" s="263"/>
      <c r="H31" s="277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5"/>
      <c r="V31" s="24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1"/>
      <c r="D32" s="254"/>
      <c r="E32" s="257"/>
      <c r="F32" s="260"/>
      <c r="G32" s="263"/>
      <c r="H32" s="277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5"/>
      <c r="V32" s="24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1"/>
      <c r="D33" s="254"/>
      <c r="E33" s="257"/>
      <c r="F33" s="260"/>
      <c r="G33" s="263"/>
      <c r="H33" s="277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5"/>
      <c r="V33" s="24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2"/>
      <c r="D34" s="255"/>
      <c r="E34" s="258"/>
      <c r="F34" s="261"/>
      <c r="G34" s="264"/>
      <c r="H34" s="278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6"/>
      <c r="V34" s="24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0" t="s">
        <v>2995</v>
      </c>
      <c r="D36" s="253" t="s">
        <v>2990</v>
      </c>
      <c r="E36" s="256" t="s">
        <v>2992</v>
      </c>
      <c r="F36" s="259">
        <v>46198</v>
      </c>
      <c r="G36" s="279"/>
      <c r="H36" s="282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4">
        <v>0</v>
      </c>
      <c r="V36" s="24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1"/>
      <c r="D37" s="254"/>
      <c r="E37" s="257"/>
      <c r="F37" s="260"/>
      <c r="G37" s="280"/>
      <c r="H37" s="283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5"/>
      <c r="V37" s="24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1"/>
      <c r="D38" s="254"/>
      <c r="E38" s="257"/>
      <c r="F38" s="260"/>
      <c r="G38" s="280"/>
      <c r="H38" s="283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5"/>
      <c r="V38" s="24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1"/>
      <c r="D39" s="254"/>
      <c r="E39" s="257"/>
      <c r="F39" s="260"/>
      <c r="G39" s="280"/>
      <c r="H39" s="283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5"/>
      <c r="V39" s="24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2"/>
      <c r="D40" s="255"/>
      <c r="E40" s="258"/>
      <c r="F40" s="261"/>
      <c r="G40" s="281"/>
      <c r="H40" s="284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46"/>
      <c r="V40" s="24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0" t="s">
        <v>3006</v>
      </c>
      <c r="D42" s="253" t="s">
        <v>3004</v>
      </c>
      <c r="E42" s="256" t="s">
        <v>3007</v>
      </c>
      <c r="F42" s="259">
        <v>46188</v>
      </c>
      <c r="G42" s="279">
        <v>46220</v>
      </c>
      <c r="H42" s="276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4">
        <v>0</v>
      </c>
      <c r="V42" s="24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1"/>
      <c r="D43" s="254"/>
      <c r="E43" s="257"/>
      <c r="F43" s="260"/>
      <c r="G43" s="280"/>
      <c r="H43" s="277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5"/>
      <c r="V43" s="24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1"/>
      <c r="D44" s="254"/>
      <c r="E44" s="257"/>
      <c r="F44" s="260"/>
      <c r="G44" s="280"/>
      <c r="H44" s="277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5"/>
      <c r="V44" s="24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1"/>
      <c r="D45" s="254"/>
      <c r="E45" s="257"/>
      <c r="F45" s="260"/>
      <c r="G45" s="280"/>
      <c r="H45" s="277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5"/>
      <c r="V45" s="24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2"/>
      <c r="D46" s="255"/>
      <c r="E46" s="258"/>
      <c r="F46" s="261"/>
      <c r="G46" s="281"/>
      <c r="H46" s="278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46"/>
      <c r="V46" s="24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0" t="s">
        <v>3009</v>
      </c>
      <c r="D48" s="253" t="s">
        <v>3005</v>
      </c>
      <c r="E48" s="256" t="s">
        <v>3008</v>
      </c>
      <c r="F48" s="259">
        <v>46202</v>
      </c>
      <c r="G48" s="279">
        <v>46233</v>
      </c>
      <c r="H48" s="276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4">
        <v>0</v>
      </c>
      <c r="V48" s="24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1"/>
      <c r="D49" s="254"/>
      <c r="E49" s="257"/>
      <c r="F49" s="260"/>
      <c r="G49" s="280"/>
      <c r="H49" s="277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5"/>
      <c r="V49" s="24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1"/>
      <c r="D50" s="254"/>
      <c r="E50" s="257"/>
      <c r="F50" s="260"/>
      <c r="G50" s="280"/>
      <c r="H50" s="277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5"/>
      <c r="V50" s="24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1"/>
      <c r="D51" s="254"/>
      <c r="E51" s="257"/>
      <c r="F51" s="260"/>
      <c r="G51" s="280"/>
      <c r="H51" s="277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45"/>
      <c r="V51" s="24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2"/>
      <c r="D52" s="255"/>
      <c r="E52" s="258"/>
      <c r="F52" s="261"/>
      <c r="G52" s="281"/>
      <c r="H52" s="278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46"/>
      <c r="V52" s="24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0" t="s">
        <v>3009</v>
      </c>
      <c r="D54" s="253" t="s">
        <v>3111</v>
      </c>
      <c r="E54" s="256" t="s">
        <v>3164</v>
      </c>
      <c r="F54" s="259">
        <v>46226</v>
      </c>
      <c r="G54" s="262"/>
      <c r="H54" s="276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4">
        <v>0</v>
      </c>
      <c r="V54" s="24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1"/>
      <c r="D55" s="254"/>
      <c r="E55" s="257"/>
      <c r="F55" s="260"/>
      <c r="G55" s="263"/>
      <c r="H55" s="277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5"/>
      <c r="V55" s="24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1"/>
      <c r="D56" s="254"/>
      <c r="E56" s="257"/>
      <c r="F56" s="260"/>
      <c r="G56" s="263"/>
      <c r="H56" s="277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5"/>
      <c r="V56" s="24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1"/>
      <c r="D57" s="254"/>
      <c r="E57" s="257"/>
      <c r="F57" s="260"/>
      <c r="G57" s="263"/>
      <c r="H57" s="277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45"/>
      <c r="V57" s="24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2"/>
      <c r="D58" s="255"/>
      <c r="E58" s="258"/>
      <c r="F58" s="261"/>
      <c r="G58" s="264"/>
      <c r="H58" s="278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46"/>
      <c r="V58" s="24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0" t="s">
        <v>3165</v>
      </c>
      <c r="D60" s="253" t="s">
        <v>3163</v>
      </c>
      <c r="E60" s="256" t="s">
        <v>3166</v>
      </c>
      <c r="F60" s="259">
        <v>46235</v>
      </c>
      <c r="G60" s="262"/>
      <c r="H60" s="26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4">
        <v>0</v>
      </c>
      <c r="V60" s="24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1"/>
      <c r="D61" s="254"/>
      <c r="E61" s="257"/>
      <c r="F61" s="260"/>
      <c r="G61" s="263"/>
      <c r="H61" s="26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5"/>
      <c r="V61" s="24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1"/>
      <c r="D62" s="254"/>
      <c r="E62" s="257"/>
      <c r="F62" s="260"/>
      <c r="G62" s="263"/>
      <c r="H62" s="26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5"/>
      <c r="V62" s="24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1"/>
      <c r="D63" s="254"/>
      <c r="E63" s="257"/>
      <c r="F63" s="260"/>
      <c r="G63" s="263"/>
      <c r="H63" s="26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45"/>
      <c r="V63" s="24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2"/>
      <c r="D64" s="255"/>
      <c r="E64" s="258"/>
      <c r="F64" s="261"/>
      <c r="G64" s="264"/>
      <c r="H64" s="26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46"/>
      <c r="V64" s="24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0" t="s">
        <v>4307</v>
      </c>
      <c r="D66" s="253" t="s">
        <v>4299</v>
      </c>
      <c r="E66" s="256" t="s">
        <v>4308</v>
      </c>
      <c r="F66" s="259">
        <v>46233</v>
      </c>
      <c r="G66" s="262"/>
      <c r="H66" s="26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4">
        <v>0</v>
      </c>
      <c r="V66" s="24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1"/>
      <c r="D67" s="254"/>
      <c r="E67" s="257"/>
      <c r="F67" s="260"/>
      <c r="G67" s="263"/>
      <c r="H67" s="26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5"/>
      <c r="V67" s="24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1"/>
      <c r="D68" s="254"/>
      <c r="E68" s="257"/>
      <c r="F68" s="260"/>
      <c r="G68" s="263"/>
      <c r="H68" s="26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5"/>
      <c r="V68" s="24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1"/>
      <c r="D69" s="254"/>
      <c r="E69" s="257"/>
      <c r="F69" s="260"/>
      <c r="G69" s="263"/>
      <c r="H69" s="26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5"/>
      <c r="V69" s="24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2"/>
      <c r="D70" s="255"/>
      <c r="E70" s="258"/>
      <c r="F70" s="261"/>
      <c r="G70" s="264"/>
      <c r="H70" s="26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6"/>
      <c r="V70" s="24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0" t="s">
        <v>3165</v>
      </c>
      <c r="D72" s="253" t="s">
        <v>4306</v>
      </c>
      <c r="E72" s="256" t="s">
        <v>4309</v>
      </c>
      <c r="F72" s="259">
        <v>46280</v>
      </c>
      <c r="G72" s="262"/>
      <c r="H72" s="26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4">
        <v>0</v>
      </c>
      <c r="V72" s="24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1"/>
      <c r="D73" s="254"/>
      <c r="E73" s="257"/>
      <c r="F73" s="260"/>
      <c r="G73" s="263"/>
      <c r="H73" s="26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5"/>
      <c r="V73" s="24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1"/>
      <c r="D74" s="254"/>
      <c r="E74" s="257"/>
      <c r="F74" s="260"/>
      <c r="G74" s="263"/>
      <c r="H74" s="26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5"/>
      <c r="V74" s="24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1"/>
      <c r="D75" s="254"/>
      <c r="E75" s="257"/>
      <c r="F75" s="260"/>
      <c r="G75" s="263"/>
      <c r="H75" s="26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5"/>
      <c r="V75" s="24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2"/>
      <c r="D76" s="255"/>
      <c r="E76" s="258"/>
      <c r="F76" s="261"/>
      <c r="G76" s="264"/>
      <c r="H76" s="26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6"/>
      <c r="V76" s="24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8" t="s">
        <v>326</v>
      </c>
      <c r="E79" s="270" t="s">
        <v>891</v>
      </c>
      <c r="F79" s="271"/>
      <c r="G79" s="271"/>
      <c r="H79" s="271"/>
      <c r="I79" s="271"/>
      <c r="J79" s="272"/>
      <c r="K79" s="273" t="s">
        <v>331</v>
      </c>
      <c r="L79" s="274"/>
      <c r="M79" s="274"/>
      <c r="N79" s="27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239" activePane="bottomLeft" state="frozen"/>
      <selection pane="bottomLeft" activeCell="N5252" sqref="N525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5022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5023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5039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5040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5041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5393</v>
      </c>
      <c r="F5141" s="1" t="s">
        <v>5394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5393</v>
      </c>
      <c r="F5142" s="1" t="s">
        <v>5394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5393</v>
      </c>
      <c r="F5150" s="1" t="s">
        <v>5394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5393</v>
      </c>
      <c r="F5151" s="1" t="s">
        <v>5394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5395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5396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5397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5398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5399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5400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5401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5402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5403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5404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5405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5406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5407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230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230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230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5424</v>
      </c>
      <c r="D5175" s="1"/>
      <c r="E5175" s="1"/>
      <c r="F5175" s="1" t="s">
        <v>5425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230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5424</v>
      </c>
      <c r="D5176" s="1"/>
      <c r="E5176" s="1"/>
      <c r="F5176" s="1" t="s">
        <v>5426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230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5424</v>
      </c>
      <c r="D5177" s="1"/>
      <c r="E5177" s="1"/>
      <c r="F5177" s="1" t="s">
        <v>5427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230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5428</v>
      </c>
      <c r="D5178" s="1"/>
      <c r="E5178" s="1"/>
      <c r="F5178" s="1" t="s">
        <v>5429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230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5428</v>
      </c>
      <c r="D5179" s="1"/>
      <c r="E5179" s="1"/>
      <c r="F5179" s="1" t="s">
        <v>5430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230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5428</v>
      </c>
      <c r="D5180" s="1"/>
      <c r="E5180" s="1"/>
      <c r="F5180" s="1" t="s">
        <v>5431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230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5432</v>
      </c>
      <c r="D5181" s="1"/>
      <c r="E5181" s="1"/>
      <c r="F5181" s="1" t="s">
        <v>5433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230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5432</v>
      </c>
      <c r="D5182" s="1"/>
      <c r="E5182" s="1"/>
      <c r="F5182" s="1" t="s">
        <v>5434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230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5432</v>
      </c>
      <c r="D5183" s="1"/>
      <c r="E5183" s="1"/>
      <c r="F5183" s="1" t="s">
        <v>5435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230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5436</v>
      </c>
      <c r="D5184" s="1"/>
      <c r="E5184" s="1"/>
      <c r="F5184" s="1" t="s">
        <v>5437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230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5436</v>
      </c>
      <c r="D5185" s="1"/>
      <c r="E5185" s="1"/>
      <c r="F5185" s="1" t="s">
        <v>5438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230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5439</v>
      </c>
      <c r="D5186" s="1"/>
      <c r="E5186" s="1"/>
      <c r="F5186" s="1" t="s">
        <v>5440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230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5439</v>
      </c>
      <c r="D5187" s="1"/>
      <c r="E5187" s="1"/>
      <c r="F5187" s="1" t="s">
        <v>5441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230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5439</v>
      </c>
      <c r="D5188" s="1"/>
      <c r="E5188" s="1"/>
      <c r="F5188" s="1" t="s">
        <v>5442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230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5439</v>
      </c>
      <c r="D5189" s="1"/>
      <c r="E5189" s="1"/>
      <c r="F5189" s="1" t="s">
        <v>5443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230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5439</v>
      </c>
      <c r="D5190" s="1"/>
      <c r="E5190" s="1"/>
      <c r="F5190" s="1" t="s">
        <v>5444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230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5439</v>
      </c>
      <c r="D5191" s="1"/>
      <c r="E5191" s="1"/>
      <c r="F5191" s="1" t="s">
        <v>5445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230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5439</v>
      </c>
      <c r="D5192" s="1"/>
      <c r="E5192" s="1"/>
      <c r="F5192" s="1" t="s">
        <v>5446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230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5439</v>
      </c>
      <c r="D5193" s="1"/>
      <c r="E5193" s="1"/>
      <c r="F5193" s="1" t="s">
        <v>5447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230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5439</v>
      </c>
      <c r="D5194" s="1"/>
      <c r="E5194" s="1"/>
      <c r="F5194" s="1" t="s">
        <v>5448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230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5439</v>
      </c>
      <c r="D5195" s="1"/>
      <c r="E5195" s="1"/>
      <c r="F5195" s="1" t="s">
        <v>5449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230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5439</v>
      </c>
      <c r="D5196" s="1"/>
      <c r="E5196" s="1"/>
      <c r="F5196" s="1" t="s">
        <v>5450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230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5451</v>
      </c>
      <c r="D5197" s="1"/>
      <c r="E5197" s="1"/>
      <c r="F5197" s="1" t="s">
        <v>5452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230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5451</v>
      </c>
      <c r="D5198" s="1"/>
      <c r="E5198" s="1"/>
      <c r="F5198" s="1" t="s">
        <v>5453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230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5451</v>
      </c>
      <c r="D5199" s="1"/>
      <c r="E5199" s="1"/>
      <c r="F5199" s="1" t="s">
        <v>5454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230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5455</v>
      </c>
      <c r="D5200" s="1"/>
      <c r="E5200" s="1"/>
      <c r="F5200" s="1" t="s">
        <v>5456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230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5455</v>
      </c>
      <c r="D5201" s="1"/>
      <c r="E5201" s="1"/>
      <c r="F5201" s="1" t="s">
        <v>5457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230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5455</v>
      </c>
      <c r="D5202" s="1"/>
      <c r="E5202" s="1"/>
      <c r="F5202" s="1" t="s">
        <v>5458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230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5459</v>
      </c>
      <c r="E5203" s="1" t="s">
        <v>2</v>
      </c>
      <c r="F5203" s="1" t="s">
        <v>5460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230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5459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230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5459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230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5459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230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5459</v>
      </c>
      <c r="E5207" s="1" t="s">
        <v>100</v>
      </c>
      <c r="F5207" s="1" t="s">
        <v>5461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230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5459</v>
      </c>
      <c r="E5208" s="1" t="s">
        <v>173</v>
      </c>
      <c r="F5208" s="1" t="s">
        <v>5462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230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5459</v>
      </c>
      <c r="E5209" s="1" t="s">
        <v>461</v>
      </c>
      <c r="F5209" s="1" t="s">
        <v>5463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230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5459</v>
      </c>
      <c r="E5210" s="1" t="s">
        <v>464</v>
      </c>
      <c r="F5210" s="1" t="s">
        <v>5464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230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5459</v>
      </c>
      <c r="E5211" s="1" t="s">
        <v>1103</v>
      </c>
      <c r="F5211" s="1" t="s">
        <v>5465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230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5459</v>
      </c>
      <c r="E5212" s="1" t="s">
        <v>2</v>
      </c>
      <c r="F5212" s="1" t="s">
        <v>5460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230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5459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230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5459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230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5459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230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5459</v>
      </c>
      <c r="E5216" s="1" t="s">
        <v>100</v>
      </c>
      <c r="F5216" s="1" t="s">
        <v>5461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230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5459</v>
      </c>
      <c r="E5217" s="1" t="s">
        <v>173</v>
      </c>
      <c r="F5217" s="1" t="s">
        <v>5462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230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5459</v>
      </c>
      <c r="E5218" s="1" t="s">
        <v>461</v>
      </c>
      <c r="F5218" s="1" t="s">
        <v>5463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230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5459</v>
      </c>
      <c r="E5219" s="1" t="s">
        <v>464</v>
      </c>
      <c r="F5219" s="1" t="s">
        <v>5464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230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5459</v>
      </c>
      <c r="E5220" s="1" t="s">
        <v>1103</v>
      </c>
      <c r="F5220" s="1" t="s">
        <v>5465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230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230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230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5466</v>
      </c>
      <c r="E5223" s="1"/>
      <c r="F5223" s="1" t="s">
        <v>5467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230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5468</v>
      </c>
      <c r="E5224" s="1"/>
      <c r="F5224" s="1" t="s">
        <v>5469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230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5466</v>
      </c>
      <c r="E5225" s="1"/>
      <c r="F5225" s="1" t="s">
        <v>5470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230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5466</v>
      </c>
      <c r="E5226" s="1"/>
      <c r="F5226" s="1" t="s">
        <v>5471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230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5472</v>
      </c>
      <c r="D5227" s="1"/>
      <c r="E5227" s="1"/>
      <c r="F5227" s="1" t="s">
        <v>5473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230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5474</v>
      </c>
      <c r="D5228" s="1"/>
      <c r="E5228" s="1"/>
      <c r="F5228" s="1" t="s">
        <v>5475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230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5476</v>
      </c>
      <c r="D5229" s="1"/>
      <c r="E5229" s="1" t="s">
        <v>2</v>
      </c>
      <c r="F5229" s="1" t="s">
        <v>5477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230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5476</v>
      </c>
      <c r="D5230" s="1"/>
      <c r="E5230" s="1" t="s">
        <v>2</v>
      </c>
      <c r="F5230" s="1" t="s">
        <v>5477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230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5478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230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5478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230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230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230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230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230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5479</v>
      </c>
      <c r="D5237" s="1"/>
      <c r="E5237" s="1" t="s">
        <v>2193</v>
      </c>
      <c r="F5237" s="1" t="s">
        <v>5480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230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5479</v>
      </c>
      <c r="D5238" s="1"/>
      <c r="E5238" s="1" t="s">
        <v>2193</v>
      </c>
      <c r="F5238" s="1" t="s">
        <v>5480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230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5481</v>
      </c>
      <c r="D5239" s="1"/>
      <c r="E5239" s="1" t="s">
        <v>5482</v>
      </c>
      <c r="F5239" s="1" t="s">
        <v>5480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230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5481</v>
      </c>
      <c r="D5240" s="1"/>
      <c r="E5240" s="1" t="s">
        <v>5482</v>
      </c>
      <c r="F5240" s="1" t="s">
        <v>5480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230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5483</v>
      </c>
      <c r="D5241" s="1"/>
      <c r="E5241" s="1" t="s">
        <v>5482</v>
      </c>
      <c r="F5241" s="1" t="s">
        <v>5480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230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5483</v>
      </c>
      <c r="D5242" s="1"/>
      <c r="E5242" s="1" t="s">
        <v>5482</v>
      </c>
      <c r="F5242" s="1" t="s">
        <v>5480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230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5484</v>
      </c>
      <c r="D5243" s="1"/>
      <c r="E5243" s="1" t="s">
        <v>5485</v>
      </c>
      <c r="F5243" s="1" t="s">
        <v>5486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230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5484</v>
      </c>
      <c r="D5244" s="1"/>
      <c r="E5244" s="1" t="s">
        <v>5485</v>
      </c>
      <c r="F5244" s="1" t="s">
        <v>5486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230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230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230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230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5487</v>
      </c>
      <c r="J5248" s="1">
        <v>32.4</v>
      </c>
      <c r="K5248" s="1">
        <v>97.199999999999989</v>
      </c>
      <c r="L5248" s="42">
        <v>1</v>
      </c>
      <c r="M5248" s="230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24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2026-08-27T19:35:50Z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