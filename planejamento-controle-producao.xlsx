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3008" documentId="8_{FDD42E6F-94E1-48F3-8613-54A91AB43A68}" xr6:coauthVersionLast="47" xr6:coauthVersionMax="47" xr10:uidLastSave="{670D4E25-E7ED-49BA-A81E-1F8BFA7E28D3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EMBARQUE'!$A$1:$O$5121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37" i="6" l="1"/>
  <c r="N5138" i="6"/>
  <c r="N5136" i="6"/>
  <c r="W871" i="1"/>
  <c r="V871" i="1"/>
  <c r="U871" i="1"/>
  <c r="Y871" i="1" s="1"/>
  <c r="Q871" i="1"/>
  <c r="H871" i="1"/>
  <c r="W870" i="1"/>
  <c r="V870" i="1"/>
  <c r="U870" i="1"/>
  <c r="Y870" i="1" s="1"/>
  <c r="Q870" i="1"/>
  <c r="H870" i="1"/>
  <c r="W869" i="1"/>
  <c r="V869" i="1"/>
  <c r="U869" i="1"/>
  <c r="Y869" i="1" s="1"/>
  <c r="Q869" i="1"/>
  <c r="H869" i="1"/>
  <c r="W868" i="1"/>
  <c r="V868" i="1"/>
  <c r="U868" i="1"/>
  <c r="Y868" i="1" s="1"/>
  <c r="Q868" i="1"/>
  <c r="H868" i="1"/>
  <c r="S868" i="1" s="1"/>
  <c r="T868" i="1" s="1"/>
  <c r="W867" i="1"/>
  <c r="V867" i="1"/>
  <c r="U867" i="1"/>
  <c r="Y867" i="1" s="1"/>
  <c r="Q867" i="1"/>
  <c r="H867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6" i="1"/>
  <c r="V866" i="1"/>
  <c r="U866" i="1"/>
  <c r="Y866" i="1" s="1"/>
  <c r="Q866" i="1"/>
  <c r="H866" i="1"/>
  <c r="S866" i="1" s="1"/>
  <c r="T866" i="1" s="1"/>
  <c r="W865" i="1"/>
  <c r="V865" i="1"/>
  <c r="U865" i="1"/>
  <c r="X865" i="1" s="1"/>
  <c r="Q865" i="1"/>
  <c r="H865" i="1"/>
  <c r="R865" i="1" s="1"/>
  <c r="W864" i="1"/>
  <c r="V864" i="1"/>
  <c r="U864" i="1"/>
  <c r="Y864" i="1" s="1"/>
  <c r="Q864" i="1"/>
  <c r="H864" i="1"/>
  <c r="S864" i="1" s="1"/>
  <c r="T864" i="1" s="1"/>
  <c r="W863" i="1"/>
  <c r="V863" i="1"/>
  <c r="U863" i="1"/>
  <c r="Y863" i="1" s="1"/>
  <c r="Q863" i="1"/>
  <c r="H863" i="1"/>
  <c r="S863" i="1" s="1"/>
  <c r="T863" i="1" s="1"/>
  <c r="W862" i="1"/>
  <c r="V862" i="1"/>
  <c r="U862" i="1"/>
  <c r="Y862" i="1" s="1"/>
  <c r="Q862" i="1"/>
  <c r="H862" i="1"/>
  <c r="R862" i="1" s="1"/>
  <c r="W861" i="1"/>
  <c r="V861" i="1"/>
  <c r="U861" i="1"/>
  <c r="Y861" i="1" s="1"/>
  <c r="Q861" i="1"/>
  <c r="H861" i="1"/>
  <c r="W860" i="1"/>
  <c r="V860" i="1"/>
  <c r="U860" i="1"/>
  <c r="Y860" i="1" s="1"/>
  <c r="Q860" i="1"/>
  <c r="H860" i="1"/>
  <c r="W826" i="1"/>
  <c r="V826" i="1"/>
  <c r="U826" i="1"/>
  <c r="Y826" i="1" s="1"/>
  <c r="Q826" i="1"/>
  <c r="H826" i="1"/>
  <c r="S826" i="1" s="1"/>
  <c r="T826" i="1" s="1"/>
  <c r="H825" i="1"/>
  <c r="W825" i="1"/>
  <c r="V825" i="1"/>
  <c r="U825" i="1"/>
  <c r="Y825" i="1" s="1"/>
  <c r="Q825" i="1"/>
  <c r="W859" i="1"/>
  <c r="V859" i="1"/>
  <c r="U859" i="1"/>
  <c r="Y859" i="1" s="1"/>
  <c r="Q859" i="1"/>
  <c r="H859" i="1"/>
  <c r="S859" i="1" s="1"/>
  <c r="T859" i="1" s="1"/>
  <c r="W858" i="1"/>
  <c r="V858" i="1"/>
  <c r="U858" i="1"/>
  <c r="X858" i="1" s="1"/>
  <c r="Q858" i="1"/>
  <c r="H858" i="1"/>
  <c r="S858" i="1" s="1"/>
  <c r="T858" i="1" s="1"/>
  <c r="W857" i="1"/>
  <c r="V857" i="1"/>
  <c r="U857" i="1"/>
  <c r="Y857" i="1" s="1"/>
  <c r="Q857" i="1"/>
  <c r="H857" i="1"/>
  <c r="S857" i="1" s="1"/>
  <c r="T857" i="1" s="1"/>
  <c r="W856" i="1"/>
  <c r="V856" i="1"/>
  <c r="U856" i="1"/>
  <c r="Y856" i="1" s="1"/>
  <c r="Q856" i="1"/>
  <c r="H856" i="1"/>
  <c r="W855" i="1"/>
  <c r="V855" i="1"/>
  <c r="U855" i="1"/>
  <c r="Y855" i="1" s="1"/>
  <c r="Q855" i="1"/>
  <c r="H855" i="1"/>
  <c r="W854" i="1"/>
  <c r="V854" i="1"/>
  <c r="U854" i="1"/>
  <c r="Y854" i="1" s="1"/>
  <c r="Q854" i="1"/>
  <c r="H854" i="1"/>
  <c r="S854" i="1" s="1"/>
  <c r="T854" i="1" s="1"/>
  <c r="W853" i="1"/>
  <c r="V853" i="1"/>
  <c r="U853" i="1"/>
  <c r="X853" i="1" s="1"/>
  <c r="Q853" i="1"/>
  <c r="H853" i="1"/>
  <c r="R853" i="1" s="1"/>
  <c r="W852" i="1"/>
  <c r="V852" i="1"/>
  <c r="U852" i="1"/>
  <c r="Y852" i="1" s="1"/>
  <c r="Q852" i="1"/>
  <c r="H852" i="1"/>
  <c r="R852" i="1" s="1"/>
  <c r="W851" i="1"/>
  <c r="V851" i="1"/>
  <c r="U851" i="1"/>
  <c r="Y851" i="1" s="1"/>
  <c r="Q851" i="1"/>
  <c r="H851" i="1"/>
  <c r="W850" i="1"/>
  <c r="V850" i="1"/>
  <c r="U850" i="1"/>
  <c r="Y850" i="1" s="1"/>
  <c r="Q850" i="1"/>
  <c r="H850" i="1"/>
  <c r="S850" i="1" s="1"/>
  <c r="T850" i="1" s="1"/>
  <c r="W849" i="1"/>
  <c r="V849" i="1"/>
  <c r="U849" i="1"/>
  <c r="Y849" i="1" s="1"/>
  <c r="Q849" i="1"/>
  <c r="H849" i="1"/>
  <c r="R849" i="1" s="1"/>
  <c r="W848" i="1"/>
  <c r="V848" i="1"/>
  <c r="U848" i="1"/>
  <c r="Y848" i="1" s="1"/>
  <c r="Q848" i="1"/>
  <c r="H848" i="1"/>
  <c r="W847" i="1"/>
  <c r="V847" i="1"/>
  <c r="U847" i="1"/>
  <c r="Y847" i="1" s="1"/>
  <c r="Q847" i="1"/>
  <c r="H847" i="1"/>
  <c r="S847" i="1" s="1"/>
  <c r="T847" i="1" s="1"/>
  <c r="W846" i="1"/>
  <c r="V846" i="1"/>
  <c r="U846" i="1"/>
  <c r="Y846" i="1" s="1"/>
  <c r="Q846" i="1"/>
  <c r="H846" i="1"/>
  <c r="S846" i="1" s="1"/>
  <c r="T846" i="1" s="1"/>
  <c r="W845" i="1"/>
  <c r="V845" i="1"/>
  <c r="U845" i="1"/>
  <c r="Y845" i="1" s="1"/>
  <c r="Q845" i="1"/>
  <c r="H845" i="1"/>
  <c r="W844" i="1"/>
  <c r="V844" i="1"/>
  <c r="U844" i="1"/>
  <c r="Y844" i="1" s="1"/>
  <c r="Q844" i="1"/>
  <c r="H844" i="1"/>
  <c r="S844" i="1" s="1"/>
  <c r="T844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W841" i="1"/>
  <c r="V841" i="1"/>
  <c r="U841" i="1"/>
  <c r="Y841" i="1" s="1"/>
  <c r="Q841" i="1"/>
  <c r="H841" i="1"/>
  <c r="S841" i="1" s="1"/>
  <c r="T841" i="1" s="1"/>
  <c r="W840" i="1"/>
  <c r="V840" i="1"/>
  <c r="U840" i="1"/>
  <c r="Y840" i="1" s="1"/>
  <c r="Q840" i="1"/>
  <c r="H840" i="1"/>
  <c r="S840" i="1" s="1"/>
  <c r="T840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R871" i="1" l="1"/>
  <c r="S871" i="1"/>
  <c r="T871" i="1" s="1"/>
  <c r="X871" i="1"/>
  <c r="Z871" i="1" s="1"/>
  <c r="R870" i="1"/>
  <c r="S870" i="1"/>
  <c r="T870" i="1" s="1"/>
  <c r="X870" i="1"/>
  <c r="Z870" i="1" s="1"/>
  <c r="R869" i="1"/>
  <c r="R868" i="1"/>
  <c r="S869" i="1"/>
  <c r="T869" i="1" s="1"/>
  <c r="X869" i="1"/>
  <c r="Z869" i="1" s="1"/>
  <c r="X868" i="1"/>
  <c r="Z868" i="1" s="1"/>
  <c r="R867" i="1"/>
  <c r="S867" i="1"/>
  <c r="T867" i="1" s="1"/>
  <c r="X867" i="1"/>
  <c r="Z867" i="1" s="1"/>
  <c r="S862" i="1"/>
  <c r="T862" i="1" s="1"/>
  <c r="S865" i="1"/>
  <c r="T865" i="1" s="1"/>
  <c r="Z865" i="1"/>
  <c r="R864" i="1"/>
  <c r="R863" i="1"/>
  <c r="X864" i="1"/>
  <c r="Z864" i="1" s="1"/>
  <c r="Y865" i="1"/>
  <c r="X863" i="1"/>
  <c r="Z863" i="1" s="1"/>
  <c r="X862" i="1"/>
  <c r="Z862" i="1" s="1"/>
  <c r="R866" i="1"/>
  <c r="X866" i="1"/>
  <c r="Z866" i="1" s="1"/>
  <c r="R861" i="1"/>
  <c r="S861" i="1"/>
  <c r="T861" i="1" s="1"/>
  <c r="X861" i="1"/>
  <c r="Z861" i="1" s="1"/>
  <c r="R860" i="1"/>
  <c r="S860" i="1"/>
  <c r="T860" i="1" s="1"/>
  <c r="X860" i="1"/>
  <c r="Z860" i="1" s="1"/>
  <c r="R826" i="1"/>
  <c r="X826" i="1"/>
  <c r="Z826" i="1" s="1"/>
  <c r="R825" i="1"/>
  <c r="S825" i="1"/>
  <c r="T825" i="1" s="1"/>
  <c r="X825" i="1"/>
  <c r="Z825" i="1" s="1"/>
  <c r="Z858" i="1"/>
  <c r="R859" i="1"/>
  <c r="Y858" i="1"/>
  <c r="R858" i="1"/>
  <c r="X859" i="1"/>
  <c r="Z859" i="1" s="1"/>
  <c r="R857" i="1"/>
  <c r="X857" i="1"/>
  <c r="Z857" i="1" s="1"/>
  <c r="S853" i="1"/>
  <c r="T853" i="1" s="1"/>
  <c r="R856" i="1"/>
  <c r="S856" i="1"/>
  <c r="T856" i="1" s="1"/>
  <c r="X856" i="1"/>
  <c r="Z856" i="1" s="1"/>
  <c r="Y853" i="1"/>
  <c r="Z853" i="1"/>
  <c r="R855" i="1"/>
  <c r="R854" i="1"/>
  <c r="S855" i="1"/>
  <c r="T855" i="1" s="1"/>
  <c r="X855" i="1"/>
  <c r="Z855" i="1" s="1"/>
  <c r="X854" i="1"/>
  <c r="Z854" i="1" s="1"/>
  <c r="R847" i="1"/>
  <c r="S852" i="1"/>
  <c r="T852" i="1" s="1"/>
  <c r="X852" i="1"/>
  <c r="Z852" i="1" s="1"/>
  <c r="R851" i="1"/>
  <c r="S851" i="1"/>
  <c r="T851" i="1" s="1"/>
  <c r="X851" i="1"/>
  <c r="Z851" i="1" s="1"/>
  <c r="R850" i="1"/>
  <c r="X850" i="1"/>
  <c r="Z850" i="1" s="1"/>
  <c r="S849" i="1"/>
  <c r="T849" i="1" s="1"/>
  <c r="X849" i="1"/>
  <c r="Z849" i="1" s="1"/>
  <c r="R848" i="1"/>
  <c r="S848" i="1"/>
  <c r="T848" i="1" s="1"/>
  <c r="X848" i="1"/>
  <c r="Z848" i="1" s="1"/>
  <c r="X847" i="1"/>
  <c r="Z847" i="1" s="1"/>
  <c r="R846" i="1"/>
  <c r="X846" i="1"/>
  <c r="Z846" i="1" s="1"/>
  <c r="R845" i="1"/>
  <c r="S845" i="1"/>
  <c r="T845" i="1" s="1"/>
  <c r="X845" i="1"/>
  <c r="Z845" i="1" s="1"/>
  <c r="R844" i="1"/>
  <c r="X844" i="1"/>
  <c r="Z844" i="1" s="1"/>
  <c r="R843" i="1"/>
  <c r="S843" i="1"/>
  <c r="T843" i="1" s="1"/>
  <c r="X843" i="1"/>
  <c r="Z843" i="1" s="1"/>
  <c r="R842" i="1"/>
  <c r="X842" i="1"/>
  <c r="Z842" i="1" s="1"/>
  <c r="R840" i="1"/>
  <c r="R841" i="1"/>
  <c r="X841" i="1"/>
  <c r="Z841" i="1" s="1"/>
  <c r="X840" i="1"/>
  <c r="Z840" i="1" s="1"/>
  <c r="W839" i="1" l="1"/>
  <c r="V839" i="1"/>
  <c r="U839" i="1"/>
  <c r="Y839" i="1" s="1"/>
  <c r="Q839" i="1"/>
  <c r="H839" i="1"/>
  <c r="W838" i="1"/>
  <c r="V838" i="1"/>
  <c r="U838" i="1"/>
  <c r="Y838" i="1" s="1"/>
  <c r="Q838" i="1"/>
  <c r="H838" i="1"/>
  <c r="W837" i="1"/>
  <c r="V837" i="1"/>
  <c r="U837" i="1"/>
  <c r="Y837" i="1" s="1"/>
  <c r="Q837" i="1"/>
  <c r="H837" i="1"/>
  <c r="S837" i="1" s="1"/>
  <c r="T837" i="1" s="1"/>
  <c r="W836" i="1"/>
  <c r="V836" i="1"/>
  <c r="U836" i="1"/>
  <c r="Y836" i="1" s="1"/>
  <c r="Q836" i="1"/>
  <c r="H836" i="1"/>
  <c r="R836" i="1" s="1"/>
  <c r="W835" i="1"/>
  <c r="V835" i="1"/>
  <c r="U835" i="1"/>
  <c r="Y835" i="1" s="1"/>
  <c r="Q835" i="1"/>
  <c r="H835" i="1"/>
  <c r="S835" i="1" s="1"/>
  <c r="T835" i="1" s="1"/>
  <c r="W834" i="1"/>
  <c r="V834" i="1"/>
  <c r="U834" i="1"/>
  <c r="Y834" i="1" s="1"/>
  <c r="Q834" i="1"/>
  <c r="H834" i="1"/>
  <c r="W833" i="1"/>
  <c r="V833" i="1"/>
  <c r="U833" i="1"/>
  <c r="Y833" i="1" s="1"/>
  <c r="Q833" i="1"/>
  <c r="H833" i="1"/>
  <c r="S833" i="1" s="1"/>
  <c r="T833" i="1" s="1"/>
  <c r="W832" i="1"/>
  <c r="V832" i="1"/>
  <c r="U832" i="1"/>
  <c r="Y832" i="1" s="1"/>
  <c r="Q832" i="1"/>
  <c r="H832" i="1"/>
  <c r="W831" i="1"/>
  <c r="V831" i="1"/>
  <c r="U831" i="1"/>
  <c r="X831" i="1" s="1"/>
  <c r="Q831" i="1"/>
  <c r="H831" i="1"/>
  <c r="R831" i="1" s="1"/>
  <c r="H830" i="1"/>
  <c r="W830" i="1"/>
  <c r="V830" i="1"/>
  <c r="U830" i="1"/>
  <c r="X830" i="1" s="1"/>
  <c r="Q830" i="1"/>
  <c r="W829" i="1"/>
  <c r="V829" i="1"/>
  <c r="U829" i="1"/>
  <c r="Y829" i="1" s="1"/>
  <c r="Q829" i="1"/>
  <c r="H829" i="1"/>
  <c r="W828" i="1"/>
  <c r="V828" i="1"/>
  <c r="U828" i="1"/>
  <c r="Y828" i="1" s="1"/>
  <c r="Q828" i="1"/>
  <c r="H828" i="1"/>
  <c r="W827" i="1"/>
  <c r="V827" i="1"/>
  <c r="U827" i="1"/>
  <c r="Y827" i="1" s="1"/>
  <c r="Q827" i="1"/>
  <c r="H827" i="1"/>
  <c r="W824" i="1"/>
  <c r="V824" i="1"/>
  <c r="U824" i="1"/>
  <c r="Y824" i="1" s="1"/>
  <c r="Q824" i="1"/>
  <c r="H824" i="1"/>
  <c r="S824" i="1" s="1"/>
  <c r="T824" i="1" s="1"/>
  <c r="W823" i="1"/>
  <c r="V823" i="1"/>
  <c r="U823" i="1"/>
  <c r="Y823" i="1" s="1"/>
  <c r="Q823" i="1"/>
  <c r="H823" i="1"/>
  <c r="S823" i="1" s="1"/>
  <c r="T823" i="1" s="1"/>
  <c r="W822" i="1"/>
  <c r="V822" i="1"/>
  <c r="U822" i="1"/>
  <c r="Y822" i="1" s="1"/>
  <c r="Q822" i="1"/>
  <c r="H822" i="1"/>
  <c r="W821" i="1"/>
  <c r="V821" i="1"/>
  <c r="U821" i="1"/>
  <c r="Y821" i="1" s="1"/>
  <c r="Q821" i="1"/>
  <c r="H821" i="1"/>
  <c r="S821" i="1" s="1"/>
  <c r="T821" i="1" s="1"/>
  <c r="W820" i="1"/>
  <c r="V820" i="1"/>
  <c r="U820" i="1"/>
  <c r="Y820" i="1" s="1"/>
  <c r="Q820" i="1"/>
  <c r="H820" i="1"/>
  <c r="W819" i="1"/>
  <c r="V819" i="1"/>
  <c r="U819" i="1"/>
  <c r="Y819" i="1" s="1"/>
  <c r="Q819" i="1"/>
  <c r="H819" i="1"/>
  <c r="S819" i="1" s="1"/>
  <c r="T819" i="1" s="1"/>
  <c r="W818" i="1"/>
  <c r="V818" i="1"/>
  <c r="U818" i="1"/>
  <c r="Y818" i="1" s="1"/>
  <c r="Q818" i="1"/>
  <c r="H818" i="1"/>
  <c r="W817" i="1"/>
  <c r="V817" i="1"/>
  <c r="U817" i="1"/>
  <c r="Y817" i="1" s="1"/>
  <c r="Q817" i="1"/>
  <c r="H817" i="1"/>
  <c r="W816" i="1"/>
  <c r="V816" i="1"/>
  <c r="U816" i="1"/>
  <c r="Y816" i="1" s="1"/>
  <c r="Q816" i="1"/>
  <c r="H816" i="1"/>
  <c r="S816" i="1" s="1"/>
  <c r="T816" i="1" s="1"/>
  <c r="W815" i="1"/>
  <c r="V815" i="1"/>
  <c r="U815" i="1"/>
  <c r="Y815" i="1" s="1"/>
  <c r="Q815" i="1"/>
  <c r="H815" i="1"/>
  <c r="W814" i="1"/>
  <c r="V814" i="1"/>
  <c r="U814" i="1"/>
  <c r="Y814" i="1" s="1"/>
  <c r="Q814" i="1"/>
  <c r="H814" i="1"/>
  <c r="W813" i="1"/>
  <c r="V813" i="1"/>
  <c r="U813" i="1"/>
  <c r="Y813" i="1" s="1"/>
  <c r="Q813" i="1"/>
  <c r="H813" i="1"/>
  <c r="W812" i="1"/>
  <c r="V812" i="1"/>
  <c r="U812" i="1"/>
  <c r="Y812" i="1" s="1"/>
  <c r="Q812" i="1"/>
  <c r="H812" i="1"/>
  <c r="W811" i="1"/>
  <c r="V811" i="1"/>
  <c r="U811" i="1"/>
  <c r="Y811" i="1" s="1"/>
  <c r="Q811" i="1"/>
  <c r="H811" i="1"/>
  <c r="W810" i="1"/>
  <c r="V810" i="1"/>
  <c r="U810" i="1"/>
  <c r="Y810" i="1" s="1"/>
  <c r="Q810" i="1"/>
  <c r="H810" i="1"/>
  <c r="W809" i="1"/>
  <c r="V809" i="1"/>
  <c r="U809" i="1"/>
  <c r="Y809" i="1" s="1"/>
  <c r="Q809" i="1"/>
  <c r="H809" i="1"/>
  <c r="R809" i="1" s="1"/>
  <c r="W808" i="1"/>
  <c r="V808" i="1"/>
  <c r="U808" i="1"/>
  <c r="Y808" i="1" s="1"/>
  <c r="Q808" i="1"/>
  <c r="H808" i="1"/>
  <c r="W807" i="1"/>
  <c r="V807" i="1"/>
  <c r="U807" i="1"/>
  <c r="Y807" i="1" s="1"/>
  <c r="Q807" i="1"/>
  <c r="H807" i="1"/>
  <c r="R807" i="1" s="1"/>
  <c r="H806" i="1"/>
  <c r="S806" i="1" s="1"/>
  <c r="T806" i="1" s="1"/>
  <c r="W806" i="1"/>
  <c r="V806" i="1"/>
  <c r="U806" i="1"/>
  <c r="Y806" i="1" s="1"/>
  <c r="Q806" i="1"/>
  <c r="W805" i="1"/>
  <c r="V805" i="1"/>
  <c r="U805" i="1"/>
  <c r="Y805" i="1" s="1"/>
  <c r="Q805" i="1"/>
  <c r="H805" i="1"/>
  <c r="W804" i="1"/>
  <c r="V804" i="1"/>
  <c r="U804" i="1"/>
  <c r="Y804" i="1" s="1"/>
  <c r="Q804" i="1"/>
  <c r="H804" i="1"/>
  <c r="W803" i="1"/>
  <c r="V803" i="1"/>
  <c r="U803" i="1"/>
  <c r="X803" i="1" s="1"/>
  <c r="Q803" i="1"/>
  <c r="H803" i="1"/>
  <c r="S803" i="1" s="1"/>
  <c r="T803" i="1" s="1"/>
  <c r="W802" i="1"/>
  <c r="V802" i="1"/>
  <c r="U802" i="1"/>
  <c r="Y802" i="1" s="1"/>
  <c r="Q802" i="1"/>
  <c r="H802" i="1"/>
  <c r="R802" i="1" s="1"/>
  <c r="W801" i="1"/>
  <c r="V801" i="1"/>
  <c r="U801" i="1"/>
  <c r="Y801" i="1" s="1"/>
  <c r="Q801" i="1"/>
  <c r="H801" i="1"/>
  <c r="W800" i="1"/>
  <c r="V800" i="1"/>
  <c r="U800" i="1"/>
  <c r="Y800" i="1" s="1"/>
  <c r="Q800" i="1"/>
  <c r="H800" i="1"/>
  <c r="W799" i="1"/>
  <c r="V799" i="1"/>
  <c r="U799" i="1"/>
  <c r="Y799" i="1" s="1"/>
  <c r="Q799" i="1"/>
  <c r="H799" i="1"/>
  <c r="R799" i="1" s="1"/>
  <c r="W798" i="1"/>
  <c r="V798" i="1"/>
  <c r="U798" i="1"/>
  <c r="Y798" i="1" s="1"/>
  <c r="Q798" i="1"/>
  <c r="H798" i="1"/>
  <c r="H797" i="1"/>
  <c r="W797" i="1"/>
  <c r="V797" i="1"/>
  <c r="U797" i="1"/>
  <c r="Y797" i="1" s="1"/>
  <c r="Q797" i="1"/>
  <c r="W796" i="1"/>
  <c r="V796" i="1"/>
  <c r="U796" i="1"/>
  <c r="Y796" i="1" s="1"/>
  <c r="Q796" i="1"/>
  <c r="H796" i="1"/>
  <c r="R796" i="1" s="1"/>
  <c r="W795" i="1"/>
  <c r="V795" i="1"/>
  <c r="U795" i="1"/>
  <c r="Y795" i="1" s="1"/>
  <c r="Q795" i="1"/>
  <c r="H795" i="1"/>
  <c r="W794" i="1"/>
  <c r="V794" i="1"/>
  <c r="U794" i="1"/>
  <c r="Y794" i="1" s="1"/>
  <c r="Q794" i="1"/>
  <c r="H794" i="1"/>
  <c r="R794" i="1" s="1"/>
  <c r="H793" i="1"/>
  <c r="R793" i="1" s="1"/>
  <c r="W793" i="1"/>
  <c r="V793" i="1"/>
  <c r="U793" i="1"/>
  <c r="X793" i="1" s="1"/>
  <c r="Q793" i="1"/>
  <c r="W792" i="1"/>
  <c r="V792" i="1"/>
  <c r="U792" i="1"/>
  <c r="X792" i="1" s="1"/>
  <c r="Q792" i="1"/>
  <c r="H792" i="1"/>
  <c r="S792" i="1" s="1"/>
  <c r="T792" i="1" s="1"/>
  <c r="W791" i="1"/>
  <c r="V791" i="1"/>
  <c r="U791" i="1"/>
  <c r="Y791" i="1" s="1"/>
  <c r="Q791" i="1"/>
  <c r="H791" i="1"/>
  <c r="W790" i="1"/>
  <c r="V790" i="1"/>
  <c r="U790" i="1"/>
  <c r="Y790" i="1" s="1"/>
  <c r="Q790" i="1"/>
  <c r="H790" i="1"/>
  <c r="S790" i="1" s="1"/>
  <c r="T790" i="1" s="1"/>
  <c r="W789" i="1"/>
  <c r="V789" i="1"/>
  <c r="U789" i="1"/>
  <c r="Y789" i="1" s="1"/>
  <c r="Q789" i="1"/>
  <c r="H789" i="1"/>
  <c r="S789" i="1" s="1"/>
  <c r="T789" i="1" s="1"/>
  <c r="W788" i="1"/>
  <c r="V788" i="1"/>
  <c r="U788" i="1"/>
  <c r="Y788" i="1" s="1"/>
  <c r="Q788" i="1"/>
  <c r="H788" i="1"/>
  <c r="S788" i="1" s="1"/>
  <c r="T788" i="1" s="1"/>
  <c r="W787" i="1"/>
  <c r="V787" i="1"/>
  <c r="U787" i="1"/>
  <c r="X787" i="1" s="1"/>
  <c r="Q787" i="1"/>
  <c r="H787" i="1"/>
  <c r="S787" i="1" s="1"/>
  <c r="T787" i="1" s="1"/>
  <c r="W786" i="1"/>
  <c r="V786" i="1"/>
  <c r="U786" i="1"/>
  <c r="Y786" i="1" s="1"/>
  <c r="Q786" i="1"/>
  <c r="H786" i="1"/>
  <c r="R786" i="1" s="1"/>
  <c r="W785" i="1"/>
  <c r="V785" i="1"/>
  <c r="U785" i="1"/>
  <c r="X785" i="1" s="1"/>
  <c r="Q785" i="1"/>
  <c r="H785" i="1"/>
  <c r="S785" i="1" s="1"/>
  <c r="T785" i="1" s="1"/>
  <c r="W784" i="1"/>
  <c r="V784" i="1"/>
  <c r="U784" i="1"/>
  <c r="Y784" i="1" s="1"/>
  <c r="Q784" i="1"/>
  <c r="H784" i="1"/>
  <c r="R784" i="1" s="1"/>
  <c r="W783" i="1"/>
  <c r="V783" i="1"/>
  <c r="U783" i="1"/>
  <c r="Y783" i="1" s="1"/>
  <c r="Q783" i="1"/>
  <c r="H783" i="1"/>
  <c r="W782" i="1"/>
  <c r="V782" i="1"/>
  <c r="U782" i="1"/>
  <c r="Y782" i="1" s="1"/>
  <c r="Q782" i="1"/>
  <c r="H782" i="1"/>
  <c r="S782" i="1" s="1"/>
  <c r="T782" i="1" s="1"/>
  <c r="W781" i="1"/>
  <c r="V781" i="1"/>
  <c r="U781" i="1"/>
  <c r="Y781" i="1" s="1"/>
  <c r="Q781" i="1"/>
  <c r="H781" i="1"/>
  <c r="S781" i="1" s="1"/>
  <c r="T781" i="1" s="1"/>
  <c r="W780" i="1"/>
  <c r="V780" i="1"/>
  <c r="U780" i="1"/>
  <c r="Y780" i="1" s="1"/>
  <c r="Q780" i="1"/>
  <c r="H780" i="1"/>
  <c r="W779" i="1"/>
  <c r="V779" i="1"/>
  <c r="U779" i="1"/>
  <c r="Y779" i="1" s="1"/>
  <c r="Q779" i="1"/>
  <c r="H779" i="1"/>
  <c r="W778" i="1"/>
  <c r="V778" i="1"/>
  <c r="U778" i="1"/>
  <c r="Y778" i="1" s="1"/>
  <c r="Q778" i="1"/>
  <c r="H778" i="1"/>
  <c r="S778" i="1" s="1"/>
  <c r="T778" i="1" s="1"/>
  <c r="W777" i="1"/>
  <c r="V777" i="1"/>
  <c r="U777" i="1"/>
  <c r="Y777" i="1" s="1"/>
  <c r="Q777" i="1"/>
  <c r="H777" i="1"/>
  <c r="W776" i="1"/>
  <c r="V776" i="1"/>
  <c r="U776" i="1"/>
  <c r="Y776" i="1" s="1"/>
  <c r="Q776" i="1"/>
  <c r="H776" i="1"/>
  <c r="W775" i="1"/>
  <c r="V775" i="1"/>
  <c r="U775" i="1"/>
  <c r="Y775" i="1" s="1"/>
  <c r="Q775" i="1"/>
  <c r="H775" i="1"/>
  <c r="R775" i="1" s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9" i="1" l="1"/>
  <c r="S839" i="1"/>
  <c r="T839" i="1" s="1"/>
  <c r="X839" i="1"/>
  <c r="Z839" i="1" s="1"/>
  <c r="R838" i="1"/>
  <c r="S838" i="1"/>
  <c r="T838" i="1" s="1"/>
  <c r="X838" i="1"/>
  <c r="Z838" i="1" s="1"/>
  <c r="R837" i="1"/>
  <c r="X837" i="1"/>
  <c r="Z837" i="1" s="1"/>
  <c r="S836" i="1"/>
  <c r="T836" i="1" s="1"/>
  <c r="R835" i="1"/>
  <c r="X836" i="1"/>
  <c r="Z836" i="1" s="1"/>
  <c r="X835" i="1"/>
  <c r="Z835" i="1" s="1"/>
  <c r="S831" i="1"/>
  <c r="T831" i="1" s="1"/>
  <c r="Z831" i="1"/>
  <c r="R834" i="1"/>
  <c r="S834" i="1"/>
  <c r="T834" i="1" s="1"/>
  <c r="X834" i="1"/>
  <c r="Z834" i="1" s="1"/>
  <c r="Z830" i="1"/>
  <c r="X833" i="1"/>
  <c r="Z833" i="1" s="1"/>
  <c r="R833" i="1"/>
  <c r="R832" i="1"/>
  <c r="S832" i="1"/>
  <c r="T832" i="1" s="1"/>
  <c r="X832" i="1"/>
  <c r="Z832" i="1" s="1"/>
  <c r="Y831" i="1"/>
  <c r="R830" i="1"/>
  <c r="S830" i="1"/>
  <c r="T830" i="1" s="1"/>
  <c r="Y830" i="1"/>
  <c r="R829" i="1"/>
  <c r="S829" i="1"/>
  <c r="T829" i="1" s="1"/>
  <c r="X829" i="1"/>
  <c r="Z829" i="1" s="1"/>
  <c r="R828" i="1"/>
  <c r="S828" i="1"/>
  <c r="T828" i="1" s="1"/>
  <c r="X828" i="1"/>
  <c r="Z828" i="1" s="1"/>
  <c r="R827" i="1"/>
  <c r="S827" i="1"/>
  <c r="T827" i="1" s="1"/>
  <c r="X827" i="1"/>
  <c r="Z827" i="1" s="1"/>
  <c r="X824" i="1"/>
  <c r="Z824" i="1" s="1"/>
  <c r="R824" i="1"/>
  <c r="R823" i="1"/>
  <c r="X823" i="1"/>
  <c r="Z823" i="1" s="1"/>
  <c r="R822" i="1"/>
  <c r="S822" i="1"/>
  <c r="T822" i="1" s="1"/>
  <c r="X822" i="1"/>
  <c r="Z822" i="1" s="1"/>
  <c r="R821" i="1"/>
  <c r="X821" i="1"/>
  <c r="Z821" i="1" s="1"/>
  <c r="Z792" i="1"/>
  <c r="Z793" i="1"/>
  <c r="R820" i="1"/>
  <c r="S820" i="1"/>
  <c r="T820" i="1" s="1"/>
  <c r="X820" i="1"/>
  <c r="Z820" i="1" s="1"/>
  <c r="R819" i="1"/>
  <c r="X819" i="1"/>
  <c r="Z819" i="1" s="1"/>
  <c r="R818" i="1"/>
  <c r="S818" i="1"/>
  <c r="T818" i="1" s="1"/>
  <c r="X818" i="1"/>
  <c r="Z818" i="1" s="1"/>
  <c r="R817" i="1"/>
  <c r="S817" i="1"/>
  <c r="T817" i="1" s="1"/>
  <c r="X817" i="1"/>
  <c r="Z817" i="1" s="1"/>
  <c r="R816" i="1"/>
  <c r="X816" i="1"/>
  <c r="Z816" i="1" s="1"/>
  <c r="R815" i="1"/>
  <c r="S815" i="1"/>
  <c r="T815" i="1" s="1"/>
  <c r="X815" i="1"/>
  <c r="Z815" i="1" s="1"/>
  <c r="R814" i="1"/>
  <c r="S814" i="1"/>
  <c r="T814" i="1" s="1"/>
  <c r="X814" i="1"/>
  <c r="Z814" i="1" s="1"/>
  <c r="R813" i="1"/>
  <c r="S813" i="1"/>
  <c r="T813" i="1" s="1"/>
  <c r="X813" i="1"/>
  <c r="Z813" i="1" s="1"/>
  <c r="R812" i="1"/>
  <c r="S812" i="1"/>
  <c r="T812" i="1" s="1"/>
  <c r="X812" i="1"/>
  <c r="Z812" i="1" s="1"/>
  <c r="R811" i="1"/>
  <c r="S811" i="1"/>
  <c r="T811" i="1" s="1"/>
  <c r="X811" i="1"/>
  <c r="Z811" i="1" s="1"/>
  <c r="Z803" i="1"/>
  <c r="R810" i="1"/>
  <c r="S810" i="1"/>
  <c r="T810" i="1" s="1"/>
  <c r="X810" i="1"/>
  <c r="Z810" i="1" s="1"/>
  <c r="S809" i="1"/>
  <c r="T809" i="1" s="1"/>
  <c r="X809" i="1"/>
  <c r="Z809" i="1" s="1"/>
  <c r="R808" i="1"/>
  <c r="S808" i="1"/>
  <c r="T808" i="1" s="1"/>
  <c r="X808" i="1"/>
  <c r="Z808" i="1" s="1"/>
  <c r="S807" i="1"/>
  <c r="T807" i="1" s="1"/>
  <c r="X807" i="1"/>
  <c r="Z807" i="1" s="1"/>
  <c r="R806" i="1"/>
  <c r="X806" i="1"/>
  <c r="Z806" i="1" s="1"/>
  <c r="R805" i="1"/>
  <c r="S805" i="1"/>
  <c r="T805" i="1" s="1"/>
  <c r="X805" i="1"/>
  <c r="Z805" i="1" s="1"/>
  <c r="R804" i="1"/>
  <c r="S804" i="1"/>
  <c r="T804" i="1" s="1"/>
  <c r="X804" i="1"/>
  <c r="Z804" i="1" s="1"/>
  <c r="Y803" i="1"/>
  <c r="R803" i="1"/>
  <c r="S802" i="1"/>
  <c r="T802" i="1" s="1"/>
  <c r="X802" i="1"/>
  <c r="Z802" i="1" s="1"/>
  <c r="R801" i="1"/>
  <c r="S801" i="1"/>
  <c r="T801" i="1" s="1"/>
  <c r="X801" i="1"/>
  <c r="Z801" i="1" s="1"/>
  <c r="R800" i="1"/>
  <c r="S800" i="1"/>
  <c r="T800" i="1" s="1"/>
  <c r="X800" i="1"/>
  <c r="Z800" i="1" s="1"/>
  <c r="S799" i="1"/>
  <c r="T799" i="1" s="1"/>
  <c r="X799" i="1"/>
  <c r="Z799" i="1" s="1"/>
  <c r="R798" i="1"/>
  <c r="S798" i="1"/>
  <c r="T798" i="1" s="1"/>
  <c r="X798" i="1"/>
  <c r="Z798" i="1" s="1"/>
  <c r="R797" i="1"/>
  <c r="S797" i="1"/>
  <c r="T797" i="1" s="1"/>
  <c r="X797" i="1"/>
  <c r="Z797" i="1" s="1"/>
  <c r="S796" i="1"/>
  <c r="T796" i="1" s="1"/>
  <c r="X796" i="1"/>
  <c r="Z796" i="1" s="1"/>
  <c r="R795" i="1"/>
  <c r="S795" i="1"/>
  <c r="T795" i="1" s="1"/>
  <c r="X795" i="1"/>
  <c r="Z795" i="1" s="1"/>
  <c r="S794" i="1"/>
  <c r="T794" i="1" s="1"/>
  <c r="X794" i="1"/>
  <c r="Z794" i="1" s="1"/>
  <c r="Y793" i="1"/>
  <c r="S793" i="1"/>
  <c r="T793" i="1" s="1"/>
  <c r="R788" i="1"/>
  <c r="S786" i="1"/>
  <c r="T786" i="1" s="1"/>
  <c r="R789" i="1"/>
  <c r="Y792" i="1"/>
  <c r="R792" i="1"/>
  <c r="R791" i="1"/>
  <c r="S791" i="1"/>
  <c r="T791" i="1" s="1"/>
  <c r="X791" i="1"/>
  <c r="Z791" i="1" s="1"/>
  <c r="R790" i="1"/>
  <c r="X790" i="1"/>
  <c r="Z790" i="1" s="1"/>
  <c r="X789" i="1"/>
  <c r="Z789" i="1" s="1"/>
  <c r="X788" i="1"/>
  <c r="Z788" i="1" s="1"/>
  <c r="Z787" i="1"/>
  <c r="Y787" i="1"/>
  <c r="R787" i="1"/>
  <c r="X786" i="1"/>
  <c r="Z786" i="1" s="1"/>
  <c r="Y785" i="1"/>
  <c r="Z785" i="1"/>
  <c r="R785" i="1"/>
  <c r="S784" i="1"/>
  <c r="T784" i="1" s="1"/>
  <c r="X784" i="1"/>
  <c r="Z784" i="1" s="1"/>
  <c r="R783" i="1"/>
  <c r="S783" i="1"/>
  <c r="T783" i="1" s="1"/>
  <c r="X783" i="1"/>
  <c r="Z783" i="1" s="1"/>
  <c r="X782" i="1"/>
  <c r="Z782" i="1" s="1"/>
  <c r="R782" i="1"/>
  <c r="R781" i="1"/>
  <c r="X781" i="1"/>
  <c r="Z781" i="1" s="1"/>
  <c r="S775" i="1"/>
  <c r="T775" i="1" s="1"/>
  <c r="R780" i="1"/>
  <c r="S780" i="1"/>
  <c r="T780" i="1" s="1"/>
  <c r="X780" i="1"/>
  <c r="Z780" i="1" s="1"/>
  <c r="R779" i="1"/>
  <c r="S779" i="1"/>
  <c r="T779" i="1" s="1"/>
  <c r="X779" i="1"/>
  <c r="Z779" i="1" s="1"/>
  <c r="R778" i="1"/>
  <c r="X778" i="1"/>
  <c r="Z778" i="1" s="1"/>
  <c r="R777" i="1"/>
  <c r="S777" i="1"/>
  <c r="T777" i="1" s="1"/>
  <c r="X777" i="1"/>
  <c r="Z777" i="1" s="1"/>
  <c r="X776" i="1"/>
  <c r="Z776" i="1" s="1"/>
  <c r="R776" i="1"/>
  <c r="S776" i="1"/>
  <c r="T776" i="1" s="1"/>
  <c r="X775" i="1"/>
  <c r="Z775" i="1" s="1"/>
  <c r="Y774" i="1"/>
  <c r="X774" i="1"/>
  <c r="Z774" i="1" s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Q623" i="1"/>
  <c r="U623" i="1"/>
  <c r="V623" i="1"/>
  <c r="W623" i="1"/>
  <c r="H623" i="1"/>
  <c r="S623" i="1" s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W608" i="1"/>
  <c r="V608" i="1"/>
  <c r="U608" i="1"/>
  <c r="Q608" i="1"/>
  <c r="W607" i="1"/>
  <c r="V607" i="1"/>
  <c r="U607" i="1"/>
  <c r="Q607" i="1"/>
  <c r="W606" i="1"/>
  <c r="V606" i="1"/>
  <c r="U606" i="1"/>
  <c r="Q606" i="1"/>
  <c r="H622" i="1"/>
  <c r="S622" i="1" s="1"/>
  <c r="H617" i="1"/>
  <c r="S617" i="1" s="1"/>
  <c r="H618" i="1"/>
  <c r="S618" i="1" s="1"/>
  <c r="H619" i="1"/>
  <c r="S619" i="1" s="1"/>
  <c r="H620" i="1"/>
  <c r="S620" i="1" s="1"/>
  <c r="H621" i="1"/>
  <c r="S621" i="1" s="1"/>
  <c r="S765" i="1" l="1"/>
  <c r="T765" i="1" s="1"/>
  <c r="Y770" i="1"/>
  <c r="Z770" i="1"/>
  <c r="Y769" i="1"/>
  <c r="Z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623" i="1"/>
  <c r="X623" i="1"/>
  <c r="Z623" i="1" s="1"/>
  <c r="R623" i="1"/>
  <c r="T623" i="1"/>
  <c r="X98" i="1"/>
  <c r="Y98" i="1"/>
  <c r="T621" i="1"/>
  <c r="R621" i="1"/>
  <c r="Y122" i="1"/>
  <c r="X122" i="1"/>
  <c r="Y90" i="1"/>
  <c r="X90" i="1"/>
  <c r="Y82" i="1"/>
  <c r="X82" i="1"/>
  <c r="Y67" i="1"/>
  <c r="X67" i="1"/>
  <c r="Y48" i="1"/>
  <c r="X48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08" i="1"/>
  <c r="X608" i="1"/>
  <c r="T622" i="1"/>
  <c r="R622" i="1"/>
  <c r="T617" i="1"/>
  <c r="R617" i="1"/>
  <c r="T618" i="1"/>
  <c r="R618" i="1"/>
  <c r="T619" i="1"/>
  <c r="R619" i="1"/>
  <c r="T620" i="1"/>
  <c r="R620" i="1"/>
  <c r="X622" i="1"/>
  <c r="Z622" i="1" s="1"/>
  <c r="Y622" i="1"/>
  <c r="X621" i="1"/>
  <c r="Z621" i="1" s="1"/>
  <c r="Y621" i="1"/>
  <c r="X620" i="1"/>
  <c r="Z620" i="1" s="1"/>
  <c r="Y620" i="1"/>
  <c r="X619" i="1"/>
  <c r="Z619" i="1" s="1"/>
  <c r="Y619" i="1"/>
  <c r="X618" i="1"/>
  <c r="Z618" i="1" s="1"/>
  <c r="Y618" i="1"/>
  <c r="Y617" i="1"/>
  <c r="X617" i="1"/>
  <c r="Z617" i="1" s="1"/>
  <c r="Y616" i="1"/>
  <c r="X616" i="1"/>
  <c r="X615" i="1"/>
  <c r="Y615" i="1"/>
  <c r="Y614" i="1"/>
  <c r="X614" i="1"/>
  <c r="Y613" i="1"/>
  <c r="X613" i="1"/>
  <c r="Y612" i="1"/>
  <c r="X612" i="1"/>
  <c r="X611" i="1"/>
  <c r="Y611" i="1"/>
  <c r="X610" i="1"/>
  <c r="Y610" i="1"/>
  <c r="X609" i="1"/>
  <c r="Y609" i="1"/>
  <c r="Y607" i="1"/>
  <c r="X607" i="1"/>
  <c r="Y606" i="1"/>
  <c r="X606" i="1"/>
  <c r="H615" i="1" l="1"/>
  <c r="S615" i="1" s="1"/>
  <c r="H611" i="1"/>
  <c r="S611" i="1" s="1"/>
  <c r="H612" i="1"/>
  <c r="S612" i="1" s="1"/>
  <c r="H613" i="1"/>
  <c r="S613" i="1" s="1"/>
  <c r="H614" i="1"/>
  <c r="S614" i="1" s="1"/>
  <c r="H616" i="1"/>
  <c r="S616" i="1" s="1"/>
  <c r="H610" i="1"/>
  <c r="S610" i="1" s="1"/>
  <c r="H606" i="1"/>
  <c r="S606" i="1" s="1"/>
  <c r="H607" i="1"/>
  <c r="S607" i="1" s="1"/>
  <c r="H608" i="1"/>
  <c r="S608" i="1" s="1"/>
  <c r="H609" i="1"/>
  <c r="S609" i="1" s="1"/>
  <c r="U452" i="1"/>
  <c r="U453" i="1"/>
  <c r="U454" i="1"/>
  <c r="Y454" i="1" s="1"/>
  <c r="U455" i="1"/>
  <c r="U456" i="1"/>
  <c r="U457" i="1"/>
  <c r="U458" i="1"/>
  <c r="Y458" i="1" s="1"/>
  <c r="U450" i="1"/>
  <c r="Y450" i="1" s="1"/>
  <c r="U451" i="1"/>
  <c r="X451" i="1" s="1"/>
  <c r="V458" i="1"/>
  <c r="V457" i="1"/>
  <c r="V456" i="1"/>
  <c r="V455" i="1"/>
  <c r="V454" i="1"/>
  <c r="V453" i="1"/>
  <c r="V452" i="1"/>
  <c r="V451" i="1"/>
  <c r="V450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5" i="1" l="1"/>
  <c r="T615" i="1"/>
  <c r="R615" i="1"/>
  <c r="Z611" i="1"/>
  <c r="R611" i="1"/>
  <c r="T611" i="1"/>
  <c r="T612" i="1"/>
  <c r="R612" i="1"/>
  <c r="Z612" i="1"/>
  <c r="T613" i="1"/>
  <c r="R613" i="1"/>
  <c r="Z613" i="1"/>
  <c r="R614" i="1"/>
  <c r="Z614" i="1"/>
  <c r="T614" i="1"/>
  <c r="R616" i="1"/>
  <c r="T616" i="1"/>
  <c r="Z616" i="1"/>
  <c r="R610" i="1"/>
  <c r="Z610" i="1"/>
  <c r="T610" i="1"/>
  <c r="T606" i="1"/>
  <c r="R606" i="1"/>
  <c r="Z606" i="1"/>
  <c r="R607" i="1"/>
  <c r="T607" i="1"/>
  <c r="Z607" i="1"/>
  <c r="Z608" i="1"/>
  <c r="R608" i="1"/>
  <c r="T608" i="1"/>
  <c r="T609" i="1"/>
  <c r="R609" i="1"/>
  <c r="Z609" i="1"/>
  <c r="Y453" i="1"/>
  <c r="X453" i="1"/>
  <c r="Y452" i="1"/>
  <c r="X452" i="1"/>
  <c r="X455" i="1"/>
  <c r="Y455" i="1"/>
  <c r="Y456" i="1"/>
  <c r="X456" i="1"/>
  <c r="X457" i="1"/>
  <c r="Y457" i="1"/>
  <c r="X454" i="1"/>
  <c r="X458" i="1"/>
  <c r="Y451" i="1"/>
  <c r="X450" i="1"/>
  <c r="H447" i="1"/>
  <c r="H448" i="1"/>
  <c r="H449" i="1"/>
  <c r="S449" i="1" s="1"/>
  <c r="H450" i="1"/>
  <c r="S450" i="1" s="1"/>
  <c r="H451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0" i="1"/>
  <c r="Q451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H442" i="1"/>
  <c r="S442" i="1" s="1"/>
  <c r="H443" i="1"/>
  <c r="H444" i="1"/>
  <c r="S444" i="1" s="1"/>
  <c r="H445" i="1"/>
  <c r="S445" i="1" s="1"/>
  <c r="H446" i="1"/>
  <c r="S446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T604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U442" i="1"/>
  <c r="X442" i="1" s="1"/>
  <c r="V442" i="1"/>
  <c r="U443" i="1"/>
  <c r="X443" i="1" s="1"/>
  <c r="V443" i="1"/>
  <c r="U444" i="1"/>
  <c r="V444" i="1"/>
  <c r="U445" i="1"/>
  <c r="V445" i="1"/>
  <c r="U446" i="1"/>
  <c r="V446" i="1"/>
  <c r="U447" i="1"/>
  <c r="V447" i="1"/>
  <c r="U448" i="1"/>
  <c r="V448" i="1"/>
  <c r="U449" i="1"/>
  <c r="X449" i="1" s="1"/>
  <c r="V449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U604" i="1"/>
  <c r="X604" i="1" s="1"/>
  <c r="V604" i="1"/>
  <c r="Q440" i="1"/>
  <c r="Q441" i="1"/>
  <c r="Q442" i="1"/>
  <c r="Q443" i="1"/>
  <c r="Q444" i="1"/>
  <c r="Q445" i="1"/>
  <c r="Q446" i="1"/>
  <c r="Q447" i="1"/>
  <c r="Q448" i="1"/>
  <c r="Q449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U423" i="1"/>
  <c r="V423" i="1"/>
  <c r="W423" i="1"/>
  <c r="U424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S443" i="1" l="1"/>
  <c r="T443" i="1" s="1"/>
  <c r="AV443" i="1"/>
  <c r="AS443" i="1" s="1"/>
  <c r="AU443" i="1"/>
  <c r="AT443" i="1" s="1"/>
  <c r="R447" i="1"/>
  <c r="S447" i="1"/>
  <c r="T447" i="1" s="1"/>
  <c r="R448" i="1"/>
  <c r="S448" i="1"/>
  <c r="T448" i="1" s="1"/>
  <c r="Z451" i="1"/>
  <c r="AI451" i="1" s="1"/>
  <c r="S451" i="1"/>
  <c r="T451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Z450" i="1"/>
  <c r="AI450" i="1" s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R449" i="1"/>
  <c r="T449" i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R451" i="1"/>
  <c r="T450" i="1"/>
  <c r="R450" i="1"/>
  <c r="T458" i="1"/>
  <c r="R458" i="1"/>
  <c r="R442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Z604" i="1"/>
  <c r="AI604" i="1" s="1"/>
  <c r="R604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T446" i="1"/>
  <c r="R446" i="1"/>
  <c r="R459" i="1"/>
  <c r="R460" i="1"/>
  <c r="R461" i="1"/>
  <c r="R462" i="1"/>
  <c r="R463" i="1"/>
  <c r="R444" i="1"/>
  <c r="T444" i="1"/>
  <c r="R445" i="1"/>
  <c r="T445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45" i="1"/>
  <c r="Z445" i="1" s="1"/>
  <c r="AI445" i="1" s="1"/>
  <c r="Y445" i="1"/>
  <c r="Y446" i="1"/>
  <c r="X446" i="1"/>
  <c r="Z446" i="1" s="1"/>
  <c r="AI446" i="1" s="1"/>
  <c r="X447" i="1"/>
  <c r="Z447" i="1" s="1"/>
  <c r="AI447" i="1" s="1"/>
  <c r="Y447" i="1"/>
  <c r="Y448" i="1"/>
  <c r="X448" i="1"/>
  <c r="Z448" i="1" s="1"/>
  <c r="AI448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Z449" i="1"/>
  <c r="AI449" i="1" s="1"/>
  <c r="R443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Z442" i="1"/>
  <c r="AI442" i="1" s="1"/>
  <c r="T442" i="1"/>
  <c r="Z443" i="1"/>
  <c r="AI443" i="1" s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604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X444" i="1"/>
  <c r="Z444" i="1" s="1"/>
  <c r="AI444" i="1" s="1"/>
  <c r="Y444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449" i="1"/>
  <c r="Y443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Y442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H72" i="1"/>
  <c r="S72" i="1" s="1"/>
  <c r="K3756" i="6"/>
  <c r="T72" i="1" l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37" i="1"/>
  <c r="V80" i="1"/>
  <c r="V115" i="1"/>
  <c r="V2" i="1"/>
  <c r="V3" i="1"/>
  <c r="H128" i="1"/>
  <c r="S128" i="1" s="1"/>
  <c r="AK128" i="1"/>
  <c r="AO128" i="1"/>
  <c r="W128" i="1" s="1"/>
  <c r="AP128" i="1"/>
  <c r="AQ128" i="1"/>
  <c r="AR128" i="1"/>
  <c r="AU128" i="1"/>
  <c r="S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S130" i="1" s="1"/>
  <c r="AK130" i="1"/>
  <c r="AO130" i="1"/>
  <c r="W130" i="1" s="1"/>
  <c r="AP130" i="1"/>
  <c r="AQ130" i="1"/>
  <c r="AR130" i="1"/>
  <c r="AU130" i="1"/>
  <c r="H131" i="1"/>
  <c r="S131" i="1" s="1"/>
  <c r="AK131" i="1"/>
  <c r="AO131" i="1"/>
  <c r="W131" i="1" s="1"/>
  <c r="AP131" i="1"/>
  <c r="AQ131" i="1"/>
  <c r="AR131" i="1"/>
  <c r="H132" i="1"/>
  <c r="S132" i="1" s="1"/>
  <c r="AK132" i="1"/>
  <c r="AO132" i="1"/>
  <c r="W132" i="1" s="1"/>
  <c r="AP132" i="1"/>
  <c r="AQ132" i="1"/>
  <c r="AR132" i="1"/>
  <c r="AU132" i="1"/>
  <c r="H133" i="1"/>
  <c r="S133" i="1" s="1"/>
  <c r="AK133" i="1"/>
  <c r="AO133" i="1"/>
  <c r="W133" i="1" s="1"/>
  <c r="AP133" i="1"/>
  <c r="AQ133" i="1"/>
  <c r="AR133" i="1"/>
  <c r="AU133" i="1"/>
  <c r="H134" i="1"/>
  <c r="S134" i="1" s="1"/>
  <c r="AK134" i="1"/>
  <c r="AO134" i="1"/>
  <c r="W134" i="1" s="1"/>
  <c r="AP134" i="1"/>
  <c r="AQ134" i="1"/>
  <c r="AR134" i="1"/>
  <c r="H135" i="1"/>
  <c r="S135" i="1" s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S136" i="1" s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S137" i="1" s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S138" i="1" s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S139" i="1" s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S140" i="1" s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S142" i="1" s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S143" i="1" s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S144" i="1" s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S145" i="1" s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S146" i="1" s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S147" i="1" s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S148" i="1" s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H151" i="1"/>
  <c r="S151" i="1" s="1"/>
  <c r="AK151" i="1"/>
  <c r="AO151" i="1"/>
  <c r="W151" i="1" s="1"/>
  <c r="AP151" i="1"/>
  <c r="AQ151" i="1"/>
  <c r="AR151" i="1"/>
  <c r="H152" i="1"/>
  <c r="S152" i="1" s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U183" i="1"/>
  <c r="Y183" i="1" s="1"/>
  <c r="U184" i="1"/>
  <c r="X184" i="1" s="1"/>
  <c r="U185" i="1"/>
  <c r="X185" i="1" s="1"/>
  <c r="U186" i="1"/>
  <c r="Y186" i="1" s="1"/>
  <c r="Y187" i="1"/>
  <c r="Y188" i="1"/>
  <c r="Y189" i="1"/>
  <c r="X190" i="1"/>
  <c r="Y191" i="1"/>
  <c r="X192" i="1"/>
  <c r="X193" i="1"/>
  <c r="Y194" i="1"/>
  <c r="Y195" i="1"/>
  <c r="U196" i="1"/>
  <c r="X196" i="1" s="1"/>
  <c r="X197" i="1"/>
  <c r="X198" i="1"/>
  <c r="X199" i="1"/>
  <c r="X200" i="1"/>
  <c r="X201" i="1"/>
  <c r="X202" i="1"/>
  <c r="X203" i="1"/>
  <c r="X204" i="1"/>
  <c r="U205" i="1"/>
  <c r="Y205" i="1" s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R128" i="1"/>
  <c r="Z128" i="1"/>
  <c r="AI128" i="1" s="1"/>
  <c r="T128" i="1"/>
  <c r="T129" i="1"/>
  <c r="R129" i="1"/>
  <c r="Z129" i="1"/>
  <c r="R130" i="1"/>
  <c r="T130" i="1"/>
  <c r="Z130" i="1"/>
  <c r="AI130" i="1" s="1"/>
  <c r="T131" i="1"/>
  <c r="R131" i="1"/>
  <c r="Z131" i="1"/>
  <c r="AI131" i="1" s="1"/>
  <c r="AV132" i="1"/>
  <c r="AS132" i="1" s="1"/>
  <c r="T132" i="1"/>
  <c r="Z132" i="1"/>
  <c r="AI132" i="1" s="1"/>
  <c r="R132" i="1"/>
  <c r="T133" i="1"/>
  <c r="R133" i="1"/>
  <c r="Z133" i="1"/>
  <c r="AI133" i="1" s="1"/>
  <c r="Z134" i="1"/>
  <c r="AI134" i="1" s="1"/>
  <c r="T134" i="1"/>
  <c r="R134" i="1"/>
  <c r="Z135" i="1"/>
  <c r="AI135" i="1" s="1"/>
  <c r="R135" i="1"/>
  <c r="T135" i="1"/>
  <c r="T136" i="1"/>
  <c r="R136" i="1"/>
  <c r="Z136" i="1"/>
  <c r="AI136" i="1" s="1"/>
  <c r="Z137" i="1"/>
  <c r="AI137" i="1" s="1"/>
  <c r="R137" i="1"/>
  <c r="T137" i="1"/>
  <c r="Z138" i="1"/>
  <c r="AI138" i="1" s="1"/>
  <c r="T138" i="1"/>
  <c r="R138" i="1"/>
  <c r="R139" i="1"/>
  <c r="Z139" i="1"/>
  <c r="AI139" i="1" s="1"/>
  <c r="T139" i="1"/>
  <c r="T140" i="1"/>
  <c r="R140" i="1"/>
  <c r="Z140" i="1"/>
  <c r="AI140" i="1" s="1"/>
  <c r="T141" i="1"/>
  <c r="R141" i="1"/>
  <c r="Z141" i="1"/>
  <c r="AI141" i="1" s="1"/>
  <c r="Z142" i="1"/>
  <c r="AI142" i="1" s="1"/>
  <c r="R142" i="1"/>
  <c r="T142" i="1"/>
  <c r="T143" i="1"/>
  <c r="R143" i="1"/>
  <c r="Z143" i="1"/>
  <c r="AI143" i="1" s="1"/>
  <c r="Z144" i="1"/>
  <c r="AI144" i="1" s="1"/>
  <c r="R144" i="1"/>
  <c r="T144" i="1"/>
  <c r="T145" i="1"/>
  <c r="Z145" i="1"/>
  <c r="AI145" i="1" s="1"/>
  <c r="R145" i="1"/>
  <c r="T146" i="1"/>
  <c r="R146" i="1"/>
  <c r="Z146" i="1"/>
  <c r="AI146" i="1" s="1"/>
  <c r="Z147" i="1"/>
  <c r="AI147" i="1" s="1"/>
  <c r="T147" i="1"/>
  <c r="R147" i="1"/>
  <c r="Z148" i="1"/>
  <c r="AI148" i="1" s="1"/>
  <c r="R148" i="1"/>
  <c r="T148" i="1"/>
  <c r="Z149" i="1"/>
  <c r="AI149" i="1" s="1"/>
  <c r="R149" i="1"/>
  <c r="T149" i="1"/>
  <c r="T150" i="1"/>
  <c r="R150" i="1"/>
  <c r="Z150" i="1"/>
  <c r="AI150" i="1" s="1"/>
  <c r="Z151" i="1"/>
  <c r="AI151" i="1" s="1"/>
  <c r="R151" i="1"/>
  <c r="T151" i="1"/>
  <c r="T152" i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H68" i="1" l="1"/>
  <c r="H69" i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S127" i="1" s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S126" i="1" s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S114" i="1" s="1"/>
  <c r="AR113" i="1"/>
  <c r="AQ113" i="1"/>
  <c r="AP113" i="1"/>
  <c r="AO113" i="1"/>
  <c r="W113" i="1" s="1"/>
  <c r="AK113" i="1"/>
  <c r="H113" i="1"/>
  <c r="AR112" i="1"/>
  <c r="AQ112" i="1"/>
  <c r="AP112" i="1"/>
  <c r="AO112" i="1"/>
  <c r="W112" i="1" s="1"/>
  <c r="AK112" i="1"/>
  <c r="H112" i="1"/>
  <c r="S112" i="1" s="1"/>
  <c r="AR111" i="1"/>
  <c r="AQ111" i="1"/>
  <c r="AP111" i="1"/>
  <c r="AO111" i="1"/>
  <c r="W111" i="1" s="1"/>
  <c r="AK111" i="1"/>
  <c r="H111" i="1"/>
  <c r="AR110" i="1"/>
  <c r="AQ110" i="1"/>
  <c r="AP110" i="1"/>
  <c r="AO110" i="1"/>
  <c r="W110" i="1" s="1"/>
  <c r="AK110" i="1"/>
  <c r="H110" i="1"/>
  <c r="AU109" i="1"/>
  <c r="AR109" i="1"/>
  <c r="AQ109" i="1"/>
  <c r="AP109" i="1"/>
  <c r="AO109" i="1"/>
  <c r="W109" i="1" s="1"/>
  <c r="AK109" i="1"/>
  <c r="H109" i="1"/>
  <c r="S109" i="1" s="1"/>
  <c r="AR108" i="1"/>
  <c r="AQ108" i="1"/>
  <c r="AP108" i="1"/>
  <c r="AO108" i="1"/>
  <c r="W108" i="1" s="1"/>
  <c r="AK108" i="1"/>
  <c r="H108" i="1"/>
  <c r="AR107" i="1"/>
  <c r="AQ107" i="1"/>
  <c r="AP107" i="1"/>
  <c r="AO107" i="1"/>
  <c r="W107" i="1" s="1"/>
  <c r="AK107" i="1"/>
  <c r="H107" i="1"/>
  <c r="AR106" i="1"/>
  <c r="AQ106" i="1"/>
  <c r="AP106" i="1"/>
  <c r="AO106" i="1"/>
  <c r="W106" i="1" s="1"/>
  <c r="AK106" i="1"/>
  <c r="H106" i="1"/>
  <c r="S106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R102" i="1"/>
  <c r="AQ102" i="1"/>
  <c r="AP102" i="1"/>
  <c r="AO102" i="1"/>
  <c r="W102" i="1" s="1"/>
  <c r="AK102" i="1"/>
  <c r="H102" i="1"/>
  <c r="S102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R97" i="1"/>
  <c r="AQ97" i="1"/>
  <c r="AP97" i="1"/>
  <c r="AO97" i="1"/>
  <c r="W97" i="1" s="1"/>
  <c r="AK97" i="1"/>
  <c r="H97" i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R91" i="1"/>
  <c r="AQ91" i="1"/>
  <c r="AP91" i="1"/>
  <c r="AO91" i="1"/>
  <c r="W91" i="1" s="1"/>
  <c r="AK91" i="1"/>
  <c r="H91" i="1"/>
  <c r="AU90" i="1"/>
  <c r="AR90" i="1"/>
  <c r="AQ90" i="1"/>
  <c r="AP90" i="1"/>
  <c r="AO90" i="1"/>
  <c r="W90" i="1" s="1"/>
  <c r="AK90" i="1"/>
  <c r="H90" i="1"/>
  <c r="S90" i="1" s="1"/>
  <c r="AU89" i="1"/>
  <c r="AR89" i="1"/>
  <c r="AQ89" i="1"/>
  <c r="AP89" i="1"/>
  <c r="AO89" i="1"/>
  <c r="W89" i="1" s="1"/>
  <c r="AK89" i="1"/>
  <c r="H89" i="1"/>
  <c r="S89" i="1" s="1"/>
  <c r="AR88" i="1"/>
  <c r="AQ88" i="1"/>
  <c r="AP88" i="1"/>
  <c r="AO88" i="1"/>
  <c r="W88" i="1" s="1"/>
  <c r="AK88" i="1"/>
  <c r="H88" i="1"/>
  <c r="AR87" i="1"/>
  <c r="AQ87" i="1"/>
  <c r="AP87" i="1"/>
  <c r="AO87" i="1"/>
  <c r="W87" i="1" s="1"/>
  <c r="AK87" i="1"/>
  <c r="H87" i="1"/>
  <c r="AU86" i="1"/>
  <c r="AR86" i="1"/>
  <c r="AQ86" i="1"/>
  <c r="AP86" i="1"/>
  <c r="AO86" i="1"/>
  <c r="W86" i="1" s="1"/>
  <c r="AK86" i="1"/>
  <c r="H86" i="1"/>
  <c r="S86" i="1" s="1"/>
  <c r="AR85" i="1"/>
  <c r="AQ85" i="1"/>
  <c r="AP85" i="1"/>
  <c r="AO85" i="1"/>
  <c r="W85" i="1" s="1"/>
  <c r="AK85" i="1"/>
  <c r="H85" i="1"/>
  <c r="AR84" i="1"/>
  <c r="AQ84" i="1"/>
  <c r="AP84" i="1"/>
  <c r="AO84" i="1"/>
  <c r="W84" i="1" s="1"/>
  <c r="AK84" i="1"/>
  <c r="H84" i="1"/>
  <c r="AR83" i="1"/>
  <c r="AQ83" i="1"/>
  <c r="AP83" i="1"/>
  <c r="AO83" i="1"/>
  <c r="W83" i="1" s="1"/>
  <c r="AK83" i="1"/>
  <c r="H83" i="1"/>
  <c r="AR82" i="1"/>
  <c r="AQ82" i="1"/>
  <c r="AP82" i="1"/>
  <c r="AO82" i="1"/>
  <c r="W82" i="1" s="1"/>
  <c r="AK82" i="1"/>
  <c r="H82" i="1"/>
  <c r="AU81" i="1"/>
  <c r="AR81" i="1"/>
  <c r="AQ81" i="1"/>
  <c r="AP81" i="1"/>
  <c r="AO81" i="1"/>
  <c r="W81" i="1" s="1"/>
  <c r="AK81" i="1"/>
  <c r="H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H79" i="1"/>
  <c r="S79" i="1" s="1"/>
  <c r="AR78" i="1"/>
  <c r="AQ78" i="1"/>
  <c r="AP78" i="1"/>
  <c r="AO78" i="1"/>
  <c r="W78" i="1" s="1"/>
  <c r="AK78" i="1"/>
  <c r="H78" i="1"/>
  <c r="S78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S71" i="1" s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S67" i="1" s="1"/>
  <c r="AR66" i="1"/>
  <c r="AQ66" i="1"/>
  <c r="AP66" i="1"/>
  <c r="AO66" i="1"/>
  <c r="W66" i="1" s="1"/>
  <c r="AK66" i="1"/>
  <c r="H66" i="1"/>
  <c r="AR65" i="1"/>
  <c r="AQ65" i="1"/>
  <c r="AP65" i="1"/>
  <c r="AO65" i="1"/>
  <c r="W65" i="1" s="1"/>
  <c r="AK65" i="1"/>
  <c r="H65" i="1"/>
  <c r="S65" i="1" s="1"/>
  <c r="AR64" i="1"/>
  <c r="AQ64" i="1"/>
  <c r="AP64" i="1"/>
  <c r="AO64" i="1"/>
  <c r="W64" i="1" s="1"/>
  <c r="AK64" i="1"/>
  <c r="H64" i="1"/>
  <c r="AR63" i="1"/>
  <c r="AQ63" i="1"/>
  <c r="AP63" i="1"/>
  <c r="AO63" i="1"/>
  <c r="W63" i="1" s="1"/>
  <c r="AK63" i="1"/>
  <c r="H63" i="1"/>
  <c r="AR62" i="1"/>
  <c r="AQ62" i="1"/>
  <c r="AP62" i="1"/>
  <c r="AO62" i="1"/>
  <c r="W62" i="1" s="1"/>
  <c r="AK62" i="1"/>
  <c r="H62" i="1"/>
  <c r="S62" i="1" s="1"/>
  <c r="AR61" i="1"/>
  <c r="AQ61" i="1"/>
  <c r="AP61" i="1"/>
  <c r="AO61" i="1"/>
  <c r="W61" i="1" s="1"/>
  <c r="AK61" i="1"/>
  <c r="H61" i="1"/>
  <c r="S61" i="1" s="1"/>
  <c r="AR60" i="1"/>
  <c r="AQ60" i="1"/>
  <c r="AP60" i="1"/>
  <c r="AO60" i="1"/>
  <c r="W60" i="1" s="1"/>
  <c r="AK60" i="1"/>
  <c r="H60" i="1"/>
  <c r="S60" i="1" s="1"/>
  <c r="AR59" i="1"/>
  <c r="AQ59" i="1"/>
  <c r="AP59" i="1"/>
  <c r="AO59" i="1"/>
  <c r="W59" i="1" s="1"/>
  <c r="AK59" i="1"/>
  <c r="H59" i="1"/>
  <c r="S59" i="1" s="1"/>
  <c r="AR58" i="1"/>
  <c r="AQ58" i="1"/>
  <c r="AP58" i="1"/>
  <c r="AO58" i="1"/>
  <c r="W58" i="1" s="1"/>
  <c r="AK58" i="1"/>
  <c r="H58" i="1"/>
  <c r="AR57" i="1"/>
  <c r="AQ57" i="1"/>
  <c r="AP57" i="1"/>
  <c r="AO57" i="1"/>
  <c r="W57" i="1" s="1"/>
  <c r="AK57" i="1"/>
  <c r="H57" i="1"/>
  <c r="AR56" i="1"/>
  <c r="AQ56" i="1"/>
  <c r="AP56" i="1"/>
  <c r="AO56" i="1"/>
  <c r="W56" i="1" s="1"/>
  <c r="AK56" i="1"/>
  <c r="H56" i="1"/>
  <c r="S56" i="1" s="1"/>
  <c r="AU55" i="1"/>
  <c r="AR55" i="1"/>
  <c r="AQ55" i="1"/>
  <c r="AP55" i="1"/>
  <c r="AO55" i="1"/>
  <c r="W55" i="1" s="1"/>
  <c r="AK55" i="1"/>
  <c r="H55" i="1"/>
  <c r="S55" i="1" s="1"/>
  <c r="AU54" i="1"/>
  <c r="AR54" i="1"/>
  <c r="AQ54" i="1"/>
  <c r="AP54" i="1"/>
  <c r="AO54" i="1"/>
  <c r="W54" i="1" s="1"/>
  <c r="AK54" i="1"/>
  <c r="H54" i="1"/>
  <c r="S54" i="1" s="1"/>
  <c r="AR53" i="1"/>
  <c r="AQ53" i="1"/>
  <c r="AP53" i="1"/>
  <c r="AO53" i="1"/>
  <c r="W53" i="1" s="1"/>
  <c r="AK53" i="1"/>
  <c r="H53" i="1"/>
  <c r="AV52" i="1"/>
  <c r="AS52" i="1" s="1"/>
  <c r="AU52" i="1"/>
  <c r="AT52" i="1" s="1"/>
  <c r="AR52" i="1"/>
  <c r="AQ52" i="1"/>
  <c r="AP52" i="1"/>
  <c r="AO52" i="1"/>
  <c r="W52" i="1" s="1"/>
  <c r="AK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H51" i="1"/>
  <c r="S51" i="1" s="1"/>
  <c r="AU50" i="1"/>
  <c r="AR50" i="1"/>
  <c r="AQ50" i="1"/>
  <c r="AP50" i="1"/>
  <c r="AO50" i="1"/>
  <c r="W50" i="1" s="1"/>
  <c r="AK50" i="1"/>
  <c r="H50" i="1"/>
  <c r="S50" i="1" s="1"/>
  <c r="AR49" i="1"/>
  <c r="AQ49" i="1"/>
  <c r="AP49" i="1"/>
  <c r="AO49" i="1"/>
  <c r="W49" i="1" s="1"/>
  <c r="AK49" i="1"/>
  <c r="H49" i="1"/>
  <c r="S49" i="1" s="1"/>
  <c r="AR48" i="1"/>
  <c r="AQ48" i="1"/>
  <c r="AP48" i="1"/>
  <c r="AO48" i="1"/>
  <c r="W48" i="1" s="1"/>
  <c r="AK48" i="1"/>
  <c r="H48" i="1"/>
  <c r="S48" i="1" s="1"/>
  <c r="AR47" i="1"/>
  <c r="AQ47" i="1"/>
  <c r="AP47" i="1"/>
  <c r="AO47" i="1"/>
  <c r="W47" i="1" s="1"/>
  <c r="AK47" i="1"/>
  <c r="H47" i="1"/>
  <c r="S47" i="1" s="1"/>
  <c r="AR46" i="1"/>
  <c r="AQ46" i="1"/>
  <c r="AP46" i="1"/>
  <c r="AO46" i="1"/>
  <c r="W46" i="1" s="1"/>
  <c r="AK46" i="1"/>
  <c r="H46" i="1"/>
  <c r="S46" i="1" s="1"/>
  <c r="AR45" i="1"/>
  <c r="AQ45" i="1"/>
  <c r="AP45" i="1"/>
  <c r="AO45" i="1"/>
  <c r="W45" i="1" s="1"/>
  <c r="AK45" i="1"/>
  <c r="H45" i="1"/>
  <c r="S45" i="1" s="1"/>
  <c r="AR44" i="1"/>
  <c r="AQ44" i="1"/>
  <c r="AP44" i="1"/>
  <c r="AO44" i="1"/>
  <c r="W44" i="1" s="1"/>
  <c r="AK44" i="1"/>
  <c r="H44" i="1"/>
  <c r="S44" i="1" s="1"/>
  <c r="AR43" i="1"/>
  <c r="AQ43" i="1"/>
  <c r="AP43" i="1"/>
  <c r="AO43" i="1"/>
  <c r="W43" i="1" s="1"/>
  <c r="AK43" i="1"/>
  <c r="H43" i="1"/>
  <c r="S43" i="1" s="1"/>
  <c r="AR42" i="1"/>
  <c r="AQ42" i="1"/>
  <c r="AP42" i="1"/>
  <c r="AO42" i="1"/>
  <c r="W42" i="1" s="1"/>
  <c r="AK42" i="1"/>
  <c r="H42" i="1"/>
  <c r="S42" i="1" s="1"/>
  <c r="AR41" i="1"/>
  <c r="AQ41" i="1"/>
  <c r="AP41" i="1"/>
  <c r="AO41" i="1"/>
  <c r="W41" i="1" s="1"/>
  <c r="AK41" i="1"/>
  <c r="H41" i="1"/>
  <c r="S41" i="1" s="1"/>
  <c r="AR40" i="1"/>
  <c r="AQ40" i="1"/>
  <c r="AP40" i="1"/>
  <c r="AO40" i="1"/>
  <c r="W40" i="1" s="1"/>
  <c r="AK40" i="1"/>
  <c r="H40" i="1"/>
  <c r="S40" i="1" s="1"/>
  <c r="AR39" i="1"/>
  <c r="AQ39" i="1"/>
  <c r="AP39" i="1"/>
  <c r="AO39" i="1"/>
  <c r="W39" i="1" s="1"/>
  <c r="AK39" i="1"/>
  <c r="H39" i="1"/>
  <c r="S39" i="1" s="1"/>
  <c r="AR38" i="1"/>
  <c r="AQ38" i="1"/>
  <c r="AP38" i="1"/>
  <c r="AO38" i="1"/>
  <c r="W38" i="1" s="1"/>
  <c r="AK38" i="1"/>
  <c r="H38" i="1"/>
  <c r="S38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35" i="1" l="1"/>
  <c r="T35" i="1" s="1"/>
  <c r="AU35" i="1"/>
  <c r="S97" i="1"/>
  <c r="T97" i="1" s="1"/>
  <c r="AU97" i="1"/>
  <c r="AT97" i="1" s="1"/>
  <c r="S91" i="1"/>
  <c r="T91" i="1" s="1"/>
  <c r="AU91" i="1"/>
  <c r="AT91" i="1" s="1"/>
  <c r="S88" i="1"/>
  <c r="T88" i="1" s="1"/>
  <c r="AU88" i="1"/>
  <c r="AT88" i="1" s="1"/>
  <c r="S87" i="1"/>
  <c r="T87" i="1" s="1"/>
  <c r="AU87" i="1"/>
  <c r="AT87" i="1" s="1"/>
  <c r="S85" i="1"/>
  <c r="T85" i="1" s="1"/>
  <c r="AU85" i="1"/>
  <c r="AT85" i="1" s="1"/>
  <c r="S84" i="1"/>
  <c r="T84" i="1" s="1"/>
  <c r="AU84" i="1"/>
  <c r="AT84" i="1" s="1"/>
  <c r="S83" i="1"/>
  <c r="T83" i="1" s="1"/>
  <c r="AU83" i="1"/>
  <c r="AT83" i="1" s="1"/>
  <c r="S82" i="1"/>
  <c r="T82" i="1" s="1"/>
  <c r="AU82" i="1"/>
  <c r="AT82" i="1" s="1"/>
  <c r="S53" i="1"/>
  <c r="T53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S68" i="1"/>
  <c r="T68" i="1" s="1"/>
  <c r="AU69" i="1"/>
  <c r="AT69" i="1" s="1"/>
  <c r="S69" i="1"/>
  <c r="T69" i="1" s="1"/>
  <c r="AU113" i="1"/>
  <c r="AT113" i="1" s="1"/>
  <c r="S113" i="1"/>
  <c r="T113" i="1" s="1"/>
  <c r="AU111" i="1"/>
  <c r="AT111" i="1" s="1"/>
  <c r="S111" i="1"/>
  <c r="T111" i="1" s="1"/>
  <c r="AU110" i="1"/>
  <c r="AT110" i="1" s="1"/>
  <c r="S110" i="1"/>
  <c r="T110" i="1" s="1"/>
  <c r="AU108" i="1"/>
  <c r="AT108" i="1" s="1"/>
  <c r="S108" i="1"/>
  <c r="T108" i="1" s="1"/>
  <c r="AU107" i="1"/>
  <c r="AT107" i="1" s="1"/>
  <c r="S107" i="1"/>
  <c r="T107" i="1" s="1"/>
  <c r="AV81" i="1"/>
  <c r="AS81" i="1" s="1"/>
  <c r="S81" i="1"/>
  <c r="T81" i="1" s="1"/>
  <c r="AU66" i="1"/>
  <c r="AT66" i="1" s="1"/>
  <c r="S66" i="1"/>
  <c r="T66" i="1" s="1"/>
  <c r="AU64" i="1"/>
  <c r="AT64" i="1" s="1"/>
  <c r="S64" i="1"/>
  <c r="T64" i="1" s="1"/>
  <c r="AU63" i="1"/>
  <c r="AT63" i="1" s="1"/>
  <c r="S63" i="1"/>
  <c r="T63" i="1" s="1"/>
  <c r="AU58" i="1"/>
  <c r="AT58" i="1" s="1"/>
  <c r="S58" i="1"/>
  <c r="T58" i="1" s="1"/>
  <c r="AU57" i="1"/>
  <c r="AT57" i="1" s="1"/>
  <c r="S57" i="1"/>
  <c r="T57" i="1" s="1"/>
  <c r="AU28" i="1"/>
  <c r="AT28" i="1" s="1"/>
  <c r="S28" i="1"/>
  <c r="T28" i="1" s="1"/>
  <c r="AT115" i="1"/>
  <c r="T115" i="1"/>
  <c r="AV115" i="1"/>
  <c r="AS115" i="1" s="1"/>
  <c r="AV80" i="1"/>
  <c r="AS80" i="1" s="1"/>
  <c r="AT35" i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T37" i="1"/>
  <c r="AV37" i="1"/>
  <c r="AS37" i="1" s="1"/>
  <c r="AU37" i="1"/>
  <c r="AT37" i="1" s="1"/>
  <c r="R68" i="1"/>
  <c r="Z68" i="1"/>
  <c r="AI68" i="1" s="1"/>
  <c r="R69" i="1"/>
  <c r="Z69" i="1"/>
  <c r="AI69" i="1" s="1"/>
  <c r="T70" i="1"/>
  <c r="Z70" i="1"/>
  <c r="AI70" i="1" s="1"/>
  <c r="R70" i="1"/>
  <c r="T127" i="1"/>
  <c r="R127" i="1"/>
  <c r="Z127" i="1"/>
  <c r="AI127" i="1" s="1"/>
  <c r="T126" i="1"/>
  <c r="R126" i="1"/>
  <c r="Z126" i="1"/>
  <c r="AI126" i="1" s="1"/>
  <c r="T125" i="1"/>
  <c r="Z125" i="1"/>
  <c r="AI125" i="1" s="1"/>
  <c r="R125" i="1"/>
  <c r="Z124" i="1"/>
  <c r="AI124" i="1" s="1"/>
  <c r="T124" i="1"/>
  <c r="R124" i="1"/>
  <c r="T123" i="1"/>
  <c r="R123" i="1"/>
  <c r="Z123" i="1"/>
  <c r="AI123" i="1" s="1"/>
  <c r="Z122" i="1"/>
  <c r="AI122" i="1" s="1"/>
  <c r="T122" i="1"/>
  <c r="R122" i="1"/>
  <c r="T121" i="1"/>
  <c r="R121" i="1"/>
  <c r="Z121" i="1"/>
  <c r="AI121" i="1" s="1"/>
  <c r="T120" i="1"/>
  <c r="R120" i="1"/>
  <c r="Z120" i="1"/>
  <c r="AI120" i="1" s="1"/>
  <c r="R119" i="1"/>
  <c r="Z119" i="1"/>
  <c r="AI119" i="1" s="1"/>
  <c r="T119" i="1"/>
  <c r="R118" i="1"/>
  <c r="T118" i="1"/>
  <c r="Z118" i="1"/>
  <c r="AI118" i="1" s="1"/>
  <c r="T117" i="1"/>
  <c r="R117" i="1"/>
  <c r="Z117" i="1"/>
  <c r="AI117" i="1" s="1"/>
  <c r="Z116" i="1"/>
  <c r="AI116" i="1" s="1"/>
  <c r="R116" i="1"/>
  <c r="T116" i="1"/>
  <c r="R114" i="1"/>
  <c r="T114" i="1"/>
  <c r="Z114" i="1"/>
  <c r="AI114" i="1" s="1"/>
  <c r="R113" i="1"/>
  <c r="Z113" i="1"/>
  <c r="AI113" i="1" s="1"/>
  <c r="Z112" i="1"/>
  <c r="AI112" i="1" s="1"/>
  <c r="T112" i="1"/>
  <c r="R112" i="1"/>
  <c r="R111" i="1"/>
  <c r="Z111" i="1"/>
  <c r="AI111" i="1" s="1"/>
  <c r="Z110" i="1"/>
  <c r="AI110" i="1" s="1"/>
  <c r="R110" i="1"/>
  <c r="Z109" i="1"/>
  <c r="AI109" i="1" s="1"/>
  <c r="T109" i="1"/>
  <c r="R109" i="1"/>
  <c r="R108" i="1"/>
  <c r="Z108" i="1"/>
  <c r="AI108" i="1" s="1"/>
  <c r="Z107" i="1"/>
  <c r="AI107" i="1" s="1"/>
  <c r="R107" i="1"/>
  <c r="Z106" i="1"/>
  <c r="AI106" i="1" s="1"/>
  <c r="T106" i="1"/>
  <c r="R106" i="1"/>
  <c r="Z105" i="1"/>
  <c r="AI105" i="1" s="1"/>
  <c r="T105" i="1"/>
  <c r="R105" i="1"/>
  <c r="Z104" i="1"/>
  <c r="AI104" i="1" s="1"/>
  <c r="R104" i="1"/>
  <c r="T104" i="1"/>
  <c r="R103" i="1"/>
  <c r="T103" i="1"/>
  <c r="Z103" i="1"/>
  <c r="AI103" i="1" s="1"/>
  <c r="Z102" i="1"/>
  <c r="AI102" i="1" s="1"/>
  <c r="R102" i="1"/>
  <c r="T102" i="1"/>
  <c r="T101" i="1"/>
  <c r="R101" i="1"/>
  <c r="Z101" i="1"/>
  <c r="AI101" i="1" s="1"/>
  <c r="Z100" i="1"/>
  <c r="AI100" i="1" s="1"/>
  <c r="T100" i="1"/>
  <c r="R100" i="1"/>
  <c r="T99" i="1"/>
  <c r="R99" i="1"/>
  <c r="Z99" i="1"/>
  <c r="AI99" i="1" s="1"/>
  <c r="Z98" i="1"/>
  <c r="AI98" i="1" s="1"/>
  <c r="T98" i="1"/>
  <c r="R98" i="1"/>
  <c r="R97" i="1"/>
  <c r="Z97" i="1"/>
  <c r="AI97" i="1" s="1"/>
  <c r="Z96" i="1"/>
  <c r="AI96" i="1" s="1"/>
  <c r="R96" i="1"/>
  <c r="T96" i="1"/>
  <c r="R95" i="1"/>
  <c r="Z95" i="1"/>
  <c r="AI95" i="1" s="1"/>
  <c r="T95" i="1"/>
  <c r="AV94" i="1"/>
  <c r="AS94" i="1" s="1"/>
  <c r="Z94" i="1"/>
  <c r="AI94" i="1" s="1"/>
  <c r="R94" i="1"/>
  <c r="T94" i="1"/>
  <c r="T93" i="1"/>
  <c r="Z93" i="1"/>
  <c r="AI93" i="1" s="1"/>
  <c r="R93" i="1"/>
  <c r="R92" i="1"/>
  <c r="T92" i="1"/>
  <c r="Z92" i="1"/>
  <c r="AI92" i="1" s="1"/>
  <c r="R91" i="1"/>
  <c r="Z91" i="1"/>
  <c r="AI91" i="1" s="1"/>
  <c r="R90" i="1"/>
  <c r="T90" i="1"/>
  <c r="Z90" i="1"/>
  <c r="AI90" i="1" s="1"/>
  <c r="T89" i="1"/>
  <c r="Z89" i="1"/>
  <c r="AI89" i="1" s="1"/>
  <c r="R89" i="1"/>
  <c r="R88" i="1"/>
  <c r="Z88" i="1"/>
  <c r="AI88" i="1" s="1"/>
  <c r="R87" i="1"/>
  <c r="Z87" i="1"/>
  <c r="AI87" i="1" s="1"/>
  <c r="Z86" i="1"/>
  <c r="AI86" i="1" s="1"/>
  <c r="R86" i="1"/>
  <c r="T86" i="1"/>
  <c r="Z85" i="1"/>
  <c r="AI85" i="1" s="1"/>
  <c r="R85" i="1"/>
  <c r="Z84" i="1"/>
  <c r="AI84" i="1" s="1"/>
  <c r="R84" i="1"/>
  <c r="Z83" i="1"/>
  <c r="AI83" i="1" s="1"/>
  <c r="R83" i="1"/>
  <c r="R82" i="1"/>
  <c r="Z82" i="1"/>
  <c r="AI82" i="1" s="1"/>
  <c r="Z81" i="1"/>
  <c r="AI81" i="1" s="1"/>
  <c r="R81" i="1"/>
  <c r="Z79" i="1"/>
  <c r="AI79" i="1" s="1"/>
  <c r="R79" i="1"/>
  <c r="T79" i="1"/>
  <c r="R78" i="1"/>
  <c r="T78" i="1"/>
  <c r="Z78" i="1"/>
  <c r="AI78" i="1" s="1"/>
  <c r="R77" i="1"/>
  <c r="Z77" i="1"/>
  <c r="AI77" i="1" s="1"/>
  <c r="T77" i="1"/>
  <c r="R76" i="1"/>
  <c r="Z76" i="1"/>
  <c r="AI76" i="1" s="1"/>
  <c r="T76" i="1"/>
  <c r="Z75" i="1"/>
  <c r="AI75" i="1" s="1"/>
  <c r="R75" i="1"/>
  <c r="T75" i="1"/>
  <c r="Z74" i="1"/>
  <c r="AI74" i="1" s="1"/>
  <c r="R74" i="1"/>
  <c r="T74" i="1"/>
  <c r="Z73" i="1"/>
  <c r="AI73" i="1" s="1"/>
  <c r="R73" i="1"/>
  <c r="T73" i="1"/>
  <c r="Z71" i="1"/>
  <c r="AI71" i="1" s="1"/>
  <c r="R71" i="1"/>
  <c r="T71" i="1"/>
  <c r="AI67" i="1"/>
  <c r="T67" i="1"/>
  <c r="R67" i="1"/>
  <c r="R66" i="1"/>
  <c r="Z66" i="1"/>
  <c r="AI66" i="1" s="1"/>
  <c r="T65" i="1"/>
  <c r="R65" i="1"/>
  <c r="Z65" i="1"/>
  <c r="AI65" i="1" s="1"/>
  <c r="R64" i="1"/>
  <c r="Z64" i="1"/>
  <c r="AI64" i="1" s="1"/>
  <c r="R63" i="1"/>
  <c r="Z63" i="1"/>
  <c r="AI63" i="1" s="1"/>
  <c r="R62" i="1"/>
  <c r="T62" i="1"/>
  <c r="Z62" i="1"/>
  <c r="AI62" i="1" s="1"/>
  <c r="R61" i="1"/>
  <c r="T61" i="1"/>
  <c r="Z61" i="1"/>
  <c r="AI61" i="1" s="1"/>
  <c r="T60" i="1"/>
  <c r="R60" i="1"/>
  <c r="Z60" i="1"/>
  <c r="AI60" i="1" s="1"/>
  <c r="R59" i="1"/>
  <c r="T59" i="1"/>
  <c r="Z59" i="1"/>
  <c r="AI59" i="1" s="1"/>
  <c r="Z58" i="1"/>
  <c r="AI58" i="1" s="1"/>
  <c r="R58" i="1"/>
  <c r="Z57" i="1"/>
  <c r="AI57" i="1" s="1"/>
  <c r="R57" i="1"/>
  <c r="R56" i="1"/>
  <c r="Z56" i="1"/>
  <c r="AI56" i="1" s="1"/>
  <c r="T56" i="1"/>
  <c r="R55" i="1"/>
  <c r="T55" i="1"/>
  <c r="Z55" i="1"/>
  <c r="AI55" i="1" s="1"/>
  <c r="R54" i="1"/>
  <c r="T54" i="1"/>
  <c r="Z54" i="1"/>
  <c r="AI54" i="1" s="1"/>
  <c r="R53" i="1"/>
  <c r="Z53" i="1"/>
  <c r="AI53" i="1" s="1"/>
  <c r="T52" i="1"/>
  <c r="R52" i="1"/>
  <c r="Z52" i="1"/>
  <c r="AI52" i="1" s="1"/>
  <c r="R51" i="1"/>
  <c r="Z51" i="1"/>
  <c r="AI51" i="1" s="1"/>
  <c r="T51" i="1"/>
  <c r="R50" i="1"/>
  <c r="T50" i="1"/>
  <c r="Z50" i="1"/>
  <c r="AI50" i="1" s="1"/>
  <c r="R49" i="1"/>
  <c r="Z49" i="1"/>
  <c r="AI49" i="1" s="1"/>
  <c r="T49" i="1"/>
  <c r="R48" i="1"/>
  <c r="T48" i="1"/>
  <c r="Z48" i="1"/>
  <c r="AI48" i="1" s="1"/>
  <c r="R47" i="1"/>
  <c r="T47" i="1"/>
  <c r="Z47" i="1"/>
  <c r="AI47" i="1" s="1"/>
  <c r="Z46" i="1"/>
  <c r="AI46" i="1" s="1"/>
  <c r="R46" i="1"/>
  <c r="T46" i="1"/>
  <c r="Z45" i="1"/>
  <c r="AI45" i="1" s="1"/>
  <c r="R45" i="1"/>
  <c r="T45" i="1"/>
  <c r="T44" i="1"/>
  <c r="Z44" i="1"/>
  <c r="AI44" i="1" s="1"/>
  <c r="R44" i="1"/>
  <c r="R43" i="1"/>
  <c r="T43" i="1"/>
  <c r="Z43" i="1"/>
  <c r="AI43" i="1" s="1"/>
  <c r="Z42" i="1"/>
  <c r="AI42" i="1" s="1"/>
  <c r="R42" i="1"/>
  <c r="T42" i="1"/>
  <c r="Z41" i="1"/>
  <c r="AI41" i="1" s="1"/>
  <c r="R41" i="1"/>
  <c r="T41" i="1"/>
  <c r="Z40" i="1"/>
  <c r="AI40" i="1" s="1"/>
  <c r="R40" i="1"/>
  <c r="T40" i="1"/>
  <c r="Z39" i="1"/>
  <c r="AI39" i="1" s="1"/>
  <c r="T39" i="1"/>
  <c r="R39" i="1"/>
  <c r="Z38" i="1"/>
  <c r="AI38" i="1" s="1"/>
  <c r="T38" i="1"/>
  <c r="R38" i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<sst xmlns="http://schemas.openxmlformats.org/spreadsheetml/2006/main" count="30033" uniqueCount="5051">
  <si>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</si>
  <si>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</si>
  <si>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</si>
  <si>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</si>
  <si>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</si>
  <si>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</si>
  <si>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</si>
  <si>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</si>
  <si>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</si>
  <si>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</si>
  <si>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</si>
  <si>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</si>
  <si>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</si>
  <si>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</si>
  <si>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</si>
  <si>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</si>
  <si>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</si>
  <si>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</si>
  <si>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</si>
  <si>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</si>
  <si>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</si>
  <si>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</si>
  <si>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</si>
  <si>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</si>
  <si>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</si>
  <si>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</si>
  <si>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</si>
  <si>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</si>
  <si>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</si>
  <si>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</si>
  <si>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</si>
  <si>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</si>
  <si>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</si>
  <si>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</si>
  <si>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</si>
  <si>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</si>
  <si>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</si>
  <si>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</si>
  <si>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</si>
  <si>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</si>
  <si>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</si>
  <si>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</si>
  <si>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</si>
  <si>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</si>
  <si>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</si>
  <si>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</si>
  <si>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</si>
  <si>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</si>
  <si>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</si>
  <si>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</si>
  <si>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</si>
  <si>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</si>
  <si>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</si>
  <si>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</si>
  <si>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</si>
  <si>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</si>
  <si>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</si>
  <si>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</si>
  <si>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</si>
  <si>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</si>
  <si>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</si>
  <si>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</si>
  <si>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</si>
  <si>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</si>
  <si>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</si>
  <si>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</si>
  <si>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</si>
  <si>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</si>
  <si>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</si>
  <si>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</si>
  <si>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</si>
  <si>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</si>
  <si>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</si>
  <si>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</si>
  <si>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</si>
  <si>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</si>
  <si>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</si>
  <si>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</si>
  <si>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</si>
  <si>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</si>
  <si>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</si>
  <si>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</si>
  <si>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</si>
  <si>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</si>
  <si>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</si>
  <si>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</si>
  <si>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</si>
  <si>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</si>
  <si>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</si>
  <si>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</si>
  <si>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</si>
  <si>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</si>
  <si>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</si>
  <si>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</si>
  <si>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</si>
  <si>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</si>
  <si>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</si>
  <si>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</si>
  <si>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</si>
  <si>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</si>
  <si>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</si>
  <si>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</si>
  <si>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</si>
  <si>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</si>
  <si>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</si>
  <si>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</si>
  <si>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</si>
  <si>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</si>
  <si>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</si>
  <si>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</si>
  <si>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</si>
  <si>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</si>
  <si>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</si>
  <si>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</si>
  <si>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</si>
  <si>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</si>
  <si>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</si>
  <si>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</si>
  <si>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</si>
  <si>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</si>
  <si>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</si>
  <si>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</si>
  <si>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</si>
  <si>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</si>
  <si>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</si>
  <si>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</si>
  <si>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</si>
  <si>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</si>
  <si>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</si>
  <si>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</si>
  <si>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</si>
  <si>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</si>
  <si>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</si>
  <si>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</si>
  <si>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</si>
  <si>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</si>
  <si>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</si>
  <si>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</si>
  <si>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</si>
  <si>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</si>
  <si>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</si>
  <si>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</si>
  <si>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</si>
  <si>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</si>
  <si>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</si>
  <si>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</si>
  <si>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</si>
  <si>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</si>
  <si>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</si>
  <si>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</si>
  <si>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</si>
  <si>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</si>
  <si>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</si>
  <si>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</si>
  <si>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</si>
  <si>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</si>
  <si>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</si>
  <si>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</si>
  <si>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</si>
  <si>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</si>
  <si>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</si>
  <si>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</si>
  <si>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</si>
  <si>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</si>
  <si>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</si>
  <si>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</si>
  <si>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</si>
  <si>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</si>
  <si>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</si>
  <si>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</si>
  <si>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</si>
  <si>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</si>
  <si>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</si>
  <si>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</si>
  <si>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</si>
  <si>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</si>
  <si>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</si>
  <si>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</si>
  <si>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</si>
  <si>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</si>
  <si>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</si>
  <si>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</si>
  <si>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</si>
  <si>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</si>
  <si>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</si>
  <si>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</si>
  <si>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</si>
  <si>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</si>
  <si>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</si>
  <si>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</si>
  <si>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</si>
  <si>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</si>
  <si>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</si>
  <si>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</si>
  <si>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</si>
  <si>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</si>
  <si>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</si>
  <si>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</si>
  <si>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</si>
  <si>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</si>
  <si>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</si>
  <si>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</si>
  <si>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</si>
  <si>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</si>
  <si>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</si>
  <si>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</si>
  <si>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</si>
  <si>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</si>
  <si>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</si>
  <si>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</si>
  <si>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</si>
  <si>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</si>
  <si>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</si>
  <si>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</si>
  <si>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</si>
  <si>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</si>
  <si>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</si>
  <si>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</si>
  <si>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</si>
  <si>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</si>
  <si>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</si>
  <si>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</si>
  <si>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</si>
  <si>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</si>
  <si>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</si>
  <si>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</si>
  <si>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</si>
  <si>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</si>
  <si>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</si>
  <si>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</si>
  <si>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</si>
  <si>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</si>
  <si>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</si>
  <si>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</si>
  <si>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</si>
  <si>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</si>
  <si>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</si>
  <si>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</si>
  <si>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</si>
  <si>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</si>
  <si>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</si>
  <si>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</si>
  <si>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</si>
  <si>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</si>
  <si>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</si>
  <si>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</si>
  <si>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</si>
  <si>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</si>
  <si>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</si>
  <si>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</si>
  <si>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</si>
  <si>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</si>
  <si>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</si>
  <si>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</si>
  <si>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</si>
  <si>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</si>
  <si>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</si>
  <si>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</si>
  <si>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</si>
  <si>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</si>
  <si>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</si>
  <si>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</si>
  <si>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</si>
  <si>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</si>
  <si>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</si>
  <si>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</si>
  <si>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</si>
  <si>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</si>
  <si>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</si>
  <si>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</si>
  <si>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</si>
  <si>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</si>
  <si>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</si>
  <si>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</si>
  <si>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</si>
  <si>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</si>
  <si>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</si>
  <si>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</si>
  <si>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</si>
  <si>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</si>
  <si>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</si>
  <si>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</si>
  <si>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</si>
  <si>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</si>
  <si>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</si>
  <si>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</si>
  <si>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</si>
  <si>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</si>
  <si>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</si>
  <si>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</si>
  <si>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</si>
  <si>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</si>
  <si>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</si>
  <si>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</si>
  <si>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</si>
  <si>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</si>
  <si>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</si>
  <si>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</si>
  <si>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</si>
  <si>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</si>
  <si>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</si>
  <si>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</si>
  <si>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</si>
  <si>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</si>
  <si>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</si>
  <si>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</si>
  <si>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</si>
  <si>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</si>
  <si>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</si>
  <si>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</si>
  <si>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</si>
  <si>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</si>
  <si>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</si>
  <si>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</si>
  <si>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</si>
  <si>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</si>
  <si>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</si>
  <si>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</si>
  <si>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</si>
  <si>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</si>
  <si>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</si>
  <si>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</si>
  <si>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</si>
  <si>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</si>
  <si>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</si>
  <si>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</si>
  <si>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</si>
  <si>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</si>
  <si>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</si>
  <si>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</si>
  <si>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</si>
  <si>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</si>
  <si>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</si>
  <si>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</si>
  <si>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</si>
  <si>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</si>
  <si>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</si>
  <si>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</si>
  <si>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</si>
  <si>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</si>
  <si>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</si>
  <si>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</si>
  <si>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</si>
  <si>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</si>
  <si>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</si>
  <si>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</si>
  <si>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</si>
  <si>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</si>
  <si>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</si>
  <si>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</si>
  <si>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</si>
  <si>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</si>
  <si>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</si>
  <si>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</si>
  <si>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</si>
  <si>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</si>
  <si>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</si>
  <si>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</si>
  <si>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</si>
  <si>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</si>
  <si>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</si>
  <si>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</si>
  <si>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</si>
  <si>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</si>
  <si>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</si>
  <si>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</si>
  <si>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</si>
  <si>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</si>
  <si>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</si>
  <si>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</si>
  <si>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</si>
  <si>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</si>
  <si>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</si>
  <si>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</si>
  <si>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</si>
  <si>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</si>
  <si>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</si>
  <si>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</si>
  <si>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</si>
  <si>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</si>
  <si>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</si>
  <si>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</si>
  <si>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</si>
  <si>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</si>
  <si>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</si>
  <si>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</si>
  <si>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</si>
  <si>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</si>
  <si>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</si>
  <si>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</si>
  <si>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</si>
  <si>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</si>
  <si>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</si>
  <si>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</si>
  <si>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</si>
  <si>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</si>
  <si>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</si>
  <si>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</si>
  <si>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</si>
  <si>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</si>
  <si>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</si>
  <si>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</si>
  <si>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</si>
  <si>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</si>
  <si>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</si>
  <si>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</si>
  <si>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</si>
  <si>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</si>
  <si>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</si>
  <si>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</si>
  <si>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</si>
  <si>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</si>
  <si>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</si>
  <si>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</si>
  <si>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</si>
  <si>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</si>
  <si>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</si>
  <si>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</si>
  <si>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</si>
  <si>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</si>
  <si>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</si>
  <si>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</si>
  <si>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</si>
  <si>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</si>
  <si>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</si>
  <si>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</si>
  <si>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</si>
  <si>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</si>
  <si>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</si>
  <si>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</si>
  <si>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</si>
  <si>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</si>
  <si>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</si>
  <si>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</si>
  <si>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</si>
  <si>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</si>
  <si>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</si>
  <si>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</si>
  <si>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</si>
  <si>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</si>
  <si>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</si>
  <si>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</si>
  <si>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</si>
  <si>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</si>
  <si>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</si>
  <si>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</si>
  <si>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</si>
  <si>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</si>
  <si>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</si>
  <si>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</si>
  <si>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</si>
  <si>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</si>
  <si>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</si>
  <si>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</si>
  <si>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</si>
  <si>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</si>
  <si>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</si>
  <si>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</si>
  <si>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</si>
  <si>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</si>
  <si>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</si>
  <si>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</si>
  <si>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</si>
  <si>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</si>
  <si>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</si>
  <si>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</si>
  <si>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</si>
  <si>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</si>
  <si>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</si>
  <si>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</si>
  <si>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</si>
  <si>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</si>
  <si>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</si>
  <si>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</si>
  <si>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</si>
  <si>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</si>
  <si>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</si>
  <si>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</si>
  <si>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</si>
  <si>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</si>
  <si>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</si>
  <si>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</si>
  <si>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</si>
  <si>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</si>
  <si>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</si>
  <si>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</si>
  <si>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</si>
  <si>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</si>
  <si>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</si>
  <si>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</si>
  <si>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</si>
  <si>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</si>
  <si>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</si>
  <si>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</si>
  <si>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</si>
  <si>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</si>
  <si>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</si>
  <si>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</si>
  <si>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</si>
  <si>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</si>
  <si>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</si>
  <si>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</si>
  <si>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</si>
  <si>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</si>
  <si>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</si>
  <si>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</si>
  <si>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</si>
  <si>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</si>
  <si>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</si>
  <si>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</si>
  <si>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</si>
  <si>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</si>
  <si>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</si>
  <si>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</si>
  <si>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</si>
  <si>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</si>
  <si>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</si>
  <si>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</si>
  <si>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</si>
  <si>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</si>
  <si>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</si>
  <si>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</si>
  <si>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</si>
  <si>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</si>
  <si>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</si>
  <si>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</si>
  <si>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</si>
  <si>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</si>
  <si>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</si>
  <si>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</si>
  <si>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</si>
  <si>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</si>
  <si>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</si>
  <si>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</si>
  <si>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</si>
  <si>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</si>
  <si>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</si>
  <si>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</si>
  <si>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</si>
  <si>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</si>
  <si>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</si>
  <si>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</si>
  <si>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</si>
  <si>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</si>
  <si>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</si>
  <si>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</si>
  <si>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</si>
  <si>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</si>
  <si>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</si>
  <si>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</si>
  <si>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</si>
  <si>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</si>
  <si>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</si>
  <si>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</si>
  <si>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</si>
  <si>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</si>
  <si>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</si>
  <si>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</si>
  <si>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</si>
  <si>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</si>
  <si>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</si>
  <si>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</si>
  <si>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</si>
  <si>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</si>
  <si>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</si>
  <si>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</si>
  <si>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</si>
  <si>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</si>
  <si>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</si>
  <si>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</si>
  <si>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</si>
  <si>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</si>
  <si>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</si>
  <si>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</si>
  <si>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</si>
  <si>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</si>
  <si>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</si>
  <si>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</si>
  <si>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</si>
  <si>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</si>
  <si>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</si>
  <si>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</si>
  <si>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</si>
  <si>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</si>
  <si>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</si>
  <si>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</si>
  <si>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</si>
  <si>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</si>
  <si>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</si>
  <si>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</si>
  <si>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</si>
  <si>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</si>
  <si>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</si>
  <si>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</si>
  <si>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</si>
  <si>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</si>
  <si>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</si>
  <si>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</si>
  <si>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</si>
  <si>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</si>
  <si>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</si>
  <si>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</si>
  <si>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</si>
  <si>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</si>
  <si>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</si>
  <si>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</si>
  <si>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</si>
  <si>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</si>
  <si>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</si>
  <si>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</si>
  <si>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</si>
  <si>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</si>
  <si>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</si>
  <si>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</si>
  <si>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</si>
  <si>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</si>
  <si>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</si>
  <si>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</si>
  <si>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</si>
  <si>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</si>
  <si>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</si>
  <si>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</si>
  <si>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</si>
  <si>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</si>
  <si>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</si>
  <si>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</si>
  <si>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</si>
  <si>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</si>
  <si>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</si>
  <si>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</si>
  <si>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</si>
  <si>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</si>
  <si>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</si>
  <si>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</si>
  <si>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</si>
  <si>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</si>
  <si>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</si>
  <si>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</si>
  <si>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</si>
  <si>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</si>
  <si>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</si>
  <si>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</si>
  <si>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</si>
  <si>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</si>
  <si>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</si>
  <si>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</si>
  <si>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</si>
  <si>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</si>
  <si>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</si>
  <si>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</si>
  <si>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</si>
  <si>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</si>
  <si>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</si>
  <si>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</si>
  <si>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</si>
  <si>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</si>
  <si>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</si>
  <si>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</si>
  <si>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</si>
  <si>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</si>
  <si>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</si>
  <si>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</si>
  <si>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</si>
  <si>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</si>
  <si>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</si>
  <si>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</si>
  <si>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</si>
  <si>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</si>
  <si>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</si>
  <si>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</si>
  <si>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</si>
  <si>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</si>
  <si>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</si>
  <si>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</si>
  <si>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</si>
  <si>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</si>
  <si>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</si>
  <si>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</si>
  <si>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</si>
  <si>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</si>
  <si>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</si>
  <si>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</si>
  <si>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</si>
  <si>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</si>
  <si>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</si>
  <si>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</si>
  <si>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</si>
  <si>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</si>
  <si>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</si>
  <si>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</si>
  <si>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</si>
  <si>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</si>
  <si>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</si>
  <si>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</si>
  <si>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</si>
  <si>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</si>
  <si>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</si>
  <si>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</si>
  <si>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</si>
  <si>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</si>
  <si>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</si>
  <si>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</si>
  <si>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</si>
  <si>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</si>
  <si>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</si>
  <si>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</si>
  <si>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</si>
  <si>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</si>
  <si>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</si>
  <si>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</si>
  <si>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</si>
  <si>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</si>
  <si>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</si>
  <si>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</si>
  <si>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</si>
  <si>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</si>
  <si>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</si>
  <si>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</si>
  <si>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</si>
  <si>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</si>
  <si>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</si>
  <si>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</si>
  <si>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</si>
  <si>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</si>
  <si>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</si>
  <si>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</si>
  <si>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</si>
  <si>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</si>
  <si>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</si>
  <si>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</si>
  <si>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</si>
  <si>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</si>
  <si>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</si>
  <si>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</si>
  <si>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</si>
  <si>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</si>
  <si>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</si>
  <si>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</si>
  <si>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</si>
  <si>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</si>
  <si>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</si>
  <si>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</si>
  <si>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</si>
  <si>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</si>
  <si>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</si>
  <si>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</si>
  <si>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</si>
  <si>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</si>
  <si>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</si>
  <si>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</si>
  <si>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</si>
  <si>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</si>
  <si>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</si>
  <si>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</si>
  <si>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</si>
  <si>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</si>
  <si>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</si>
  <si>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</si>
  <si>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</si>
  <si>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</si>
  <si>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</si>
  <si>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</si>
  <si>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</si>
  <si>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</si>
  <si>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</si>
  <si>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</si>
  <si>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</si>
  <si>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</si>
  <si>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</si>
  <si>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</si>
  <si>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</si>
  <si>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</si>
  <si>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</si>
  <si>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</si>
  <si>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</si>
  <si>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</si>
  <si>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</si>
  <si>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</si>
  <si>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</si>
  <si>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</si>
  <si>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</si>
  <si>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</si>
  <si>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</si>
  <si>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</si>
  <si>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</si>
  <si>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</si>
  <si>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</si>
  <si>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</si>
  <si>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</si>
  <si>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</si>
  <si>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</si>
  <si>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</si>
  <si>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</si>
  <si>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</si>
  <si>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</si>
  <si>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</si>
  <si>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</si>
  <si>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</si>
  <si>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</si>
  <si>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</si>
  <si>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</si>
  <si>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</si>
  <si>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</si>
  <si>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</si>
  <si>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</si>
  <si>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</si>
  <si>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</si>
  <si>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</si>
  <si>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</si>
  <si>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</si>
  <si>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</si>
  <si>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</si>
  <si>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</si>
  <si>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</si>
  <si>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</si>
  <si>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</si>
  <si>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</si>
  <si>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</si>
  <si>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</si>
  <si>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</si>
  <si>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</si>
  <si>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</si>
  <si>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</si>
  <si>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</si>
  <si>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</si>
  <si>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</si>
  <si>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</si>
  <si>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</si>
  <si>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</si>
  <si>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</si>
  <si>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</si>
  <si>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</si>
  <si>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</si>
  <si>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</si>
  <si>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</si>
  <si>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</si>
  <si>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</si>
  <si>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</si>
  <si>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</si>
  <si>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</si>
  <si>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</si>
  <si>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</si>
  <si>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</si>
  <si>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</si>
  <si>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</si>
  <si>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</si>
  <si>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</si>
  <si>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</si>
  <si>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</si>
  <si>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</si>
  <si>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</si>
  <si>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</si>
  <si>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</si>
  <si>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</si>
  <si>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</si>
  <si>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</si>
  <si>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</si>
  <si>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</si>
  <si>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</si>
  <si>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</si>
  <si>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</si>
  <si>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</si>
  <si>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</si>
  <si>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</si>
  <si>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</si>
  <si>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</si>
  <si>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</si>
  <si>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</si>
  <si>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</si>
  <si>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</si>
  <si>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</si>
  <si>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</si>
  <si>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</si>
  <si>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</si>
  <si>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</si>
  <si>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</si>
  <si>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</si>
  <si>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</si>
  <si>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</si>
  <si>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</si>
  <si>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</si>
  <si>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</si>
  <si>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</si>
  <si>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</si>
  <si>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</si>
  <si>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</si>
  <si>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</si>
  <si>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</si>
  <si>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</si>
  <si>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</si>
  <si>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</si>
  <si>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</si>
  <si>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</si>
  <si>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</si>
  <si>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</si>
  <si>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</si>
  <si>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</si>
  <si>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</si>
  <si>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</si>
  <si>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</si>
  <si>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</si>
  <si>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</si>
  <si>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</si>
  <si>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</si>
  <si>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</si>
  <si>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</si>
  <si>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</si>
  <si>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</si>
  <si>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</si>
  <si>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</si>
  <si>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</si>
  <si>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</si>
  <si>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</si>
  <si>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</si>
  <si>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</si>
  <si>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</si>
  <si>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</si>
  <si>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</si>
  <si>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</si>
  <si>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</si>
  <si>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</si>
  <si>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</si>
  <si>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</si>
  <si>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</si>
  <si>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</si>
  <si>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</si>
  <si>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</si>
  <si>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</si>
  <si>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</si>
  <si>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</si>
  <si>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</si>
  <si>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</si>
  <si>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</si>
  <si>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</si>
  <si>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</si>
  <si>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</si>
  <si>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</si>
  <si>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</si>
  <si>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</si>
  <si>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</si>
  <si>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</si>
  <si>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</si>
  <si>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</si>
  <si>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</si>
  <si>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</si>
  <si>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</si>
  <si>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</si>
  <si>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</si>
  <si>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</si>
  <si>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</si>
  <si>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</si>
  <si>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</si>
  <si>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</si>
  <si>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</si>
  <si>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</si>
  <si>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</si>
  <si>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</si>
  <si>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</si>
  <si>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</si>
  <si>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</si>
  <si>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</si>
  <si>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</si>
  <si>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</si>
  <si>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</si>
  <si>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</si>
  <si>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</si>
  <si>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</si>
  <si>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</si>
  <si>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</si>
  <si>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</si>
  <si>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</si>
  <si>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</si>
  <si>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</si>
  <si>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</si>
  <si>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</si>
  <si>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</si>
  <si>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</si>
  <si>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</si>
  <si>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</si>
  <si>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</si>
  <si>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</si>
  <si>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</si>
  <si>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</si>
  <si>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</si>
  <si>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</si>
  <si>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</si>
  <si>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</si>
  <si>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</si>
  <si>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</si>
  <si>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</si>
  <si>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</si>
  <si>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</si>
  <si>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</si>
  <si>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</si>
  <si>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</si>
  <si>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</si>
  <si>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</si>
  <si>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</si>
  <si>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</si>
  <si>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</si>
  <si>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</si>
  <si>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</si>
  <si>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</si>
  <si>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</si>
  <si>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</si>
  <si>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</si>
  <si>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</si>
  <si>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</si>
  <si>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</si>
  <si>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</si>
  <si>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</si>
  <si>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</si>
  <si>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</si>
  <si>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</si>
  <si>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</si>
  <si>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</si>
  <si>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</si>
  <si>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</si>
  <si>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</si>
  <si>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</si>
  <si>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</si>
  <si>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</si>
  <si>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</si>
  <si>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</si>
  <si>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</si>
  <si>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</si>
  <si>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</si>
  <si>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</si>
  <si>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</si>
  <si>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</si>
  <si>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</si>
  <si>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</si>
  <si>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</si>
  <si>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</si>
  <si>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</si>
  <si>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</si>
  <si>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</si>
  <si>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</si>
  <si>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</si>
  <si>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</si>
  <si>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</si>
  <si>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</si>
  <si>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</si>
  <si>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</si>
  <si>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</si>
  <si>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</si>
  <si>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</si>
  <si>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</si>
  <si>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</si>
  <si>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</si>
  <si>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</si>
  <si>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</si>
  <si>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</si>
  <si>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</si>
  <si>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</si>
  <si>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</si>
  <si>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</si>
  <si>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</si>
  <si>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</si>
  <si>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</si>
  <si>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</si>
  <si>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</si>
  <si>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</si>
  <si>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</si>
  <si>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</si>
  <si>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</si>
  <si>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</si>
  <si>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</si>
  <si>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</si>
  <si>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</si>
  <si>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</si>
  <si>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</si>
  <si>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</si>
  <si>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</si>
  <si>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</si>
  <si>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</si>
  <si>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</si>
  <si>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</si>
  <si>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</si>
  <si>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</si>
  <si>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</si>
  <si>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</si>
  <si>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</si>
  <si>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</si>
  <si>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</si>
  <si>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</si>
  <si>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</si>
  <si>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</si>
  <si>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</si>
  <si>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</si>
  <si>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</si>
  <si>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</si>
  <si>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</si>
  <si>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</si>
  <si>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</si>
  <si>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</si>
  <si>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</si>
  <si>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</si>
  <si>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</si>
  <si>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</si>
  <si>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</si>
  <si>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</si>
  <si>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</si>
  <si>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</si>
  <si>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</si>
  <si>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</si>
  <si>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</si>
  <si>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</si>
  <si>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</si>
  <si>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</si>
  <si>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</si>
  <si>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</si>
  <si>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</si>
  <si>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</si>
  <si>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</si>
  <si>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</si>
  <si>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</si>
  <si>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</si>
  <si>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</si>
  <si>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</si>
  <si>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</si>
  <si>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</si>
  <si>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</si>
  <si>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</si>
  <si>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</si>
  <si>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</si>
  <si>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</si>
  <si>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</si>
  <si>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</si>
  <si>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</si>
  <si>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</si>
  <si>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</si>
  <si>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</si>
  <si>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</si>
  <si>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</si>
  <si>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</si>
  <si>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</si>
  <si>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</si>
  <si>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</si>
  <si>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</si>
  <si>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</si>
  <si>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</si>
  <si>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</si>
  <si>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</si>
  <si>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</si>
  <si>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</si>
  <si>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</si>
  <si>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</si>
  <si>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</si>
  <si>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</si>
  <si>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</si>
  <si>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</si>
  <si>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</si>
  <si>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</si>
  <si>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</si>
  <si>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</si>
  <si>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</si>
  <si>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</si>
  <si>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</si>
  <si>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</si>
  <si>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</si>
  <si>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</si>
  <si>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</si>
  <si>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</si>
  <si>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</si>
  <si>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</si>
  <si>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</si>
  <si>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</si>
  <si>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</si>
  <si>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</si>
  <si>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</si>
  <si>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</si>
  <si>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</si>
  <si>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</si>
  <si>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</si>
  <si>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</si>
  <si>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</si>
  <si>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</si>
  <si>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</si>
  <si>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</si>
  <si>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</si>
  <si>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</si>
  <si>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</si>
  <si>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</si>
  <si>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</si>
  <si>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</si>
  <si>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</si>
  <si>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</si>
  <si>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</si>
  <si>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</si>
  <si>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</si>
  <si>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</si>
  <si>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</si>
  <si>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</si>
  <si>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</si>
  <si>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</si>
  <si>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</si>
  <si>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</si>
  <si>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</si>
  <si>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</si>
  <si>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</si>
  <si>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</si>
  <si>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</si>
  <si>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</si>
  <si>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</si>
  <si>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</si>
  <si>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</si>
  <si>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</si>
  <si>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</si>
  <si>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</si>
  <si>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</si>
  <si>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</si>
  <si>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</si>
  <si>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</si>
  <si>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</si>
  <si>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</si>
  <si>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</si>
  <si>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</si>
  <si>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</si>
  <si>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</si>
  <si>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</si>
  <si>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</si>
  <si>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</si>
  <si>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</si>
  <si>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</si>
  <si>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</si>
  <si>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</si>
  <si>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</si>
  <si>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</si>
  <si>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</si>
  <si>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</si>
  <si>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</si>
  <si>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</si>
  <si>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</si>
  <si>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</si>
  <si>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</si>
  <si>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</si>
  <si>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</si>
  <si>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</si>
  <si>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</si>
  <si>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</si>
  <si>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</si>
  <si>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</si>
  <si>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</si>
  <si>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</si>
  <si>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</si>
  <si>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</si>
  <si>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</si>
  <si>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</si>
  <si>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</si>
  <si>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</si>
  <si>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</si>
  <si>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</si>
  <si>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</si>
  <si>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</si>
  <si>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</si>
  <si>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</si>
  <si>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</si>
  <si>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</si>
  <si>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</si>
  <si>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</si>
  <si>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</si>
  <si>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</si>
  <si>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</si>
  <si>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</si>
  <si>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</si>
  <si>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</si>
  <si>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</si>
  <si>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</si>
  <si>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</si>
  <si>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</si>
  <si>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</si>
  <si>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</si>
  <si>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</si>
  <si>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</si>
  <si>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</si>
  <si>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</si>
  <si>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</si>
  <si>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</si>
  <si>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</si>
  <si>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</si>
  <si>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</si>
  <si>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</si>
  <si>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</si>
  <si>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</si>
  <si>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</si>
  <si>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</si>
  <si>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</si>
  <si>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</si>
  <si>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</si>
  <si>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</si>
  <si>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</si>
  <si>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</si>
  <si>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</si>
  <si>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</si>
  <si>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</si>
  <si>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</si>
  <si>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</si>
  <si>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</si>
  <si>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</si>
  <si>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</si>
  <si>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</si>
  <si>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</si>
  <si>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</si>
  <si>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</si>
  <si>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</si>
  <si>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</si>
  <si>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</si>
  <si>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</si>
  <si>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</si>
  <si>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</si>
  <si>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</si>
  <si>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</si>
  <si>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</si>
  <si>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</si>
  <si>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</si>
  <si>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</si>
  <si>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</si>
  <si>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</si>
  <si>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</si>
  <si>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</si>
  <si>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</si>
  <si>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</si>
  <si>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</si>
  <si>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</si>
  <si>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</si>
  <si>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</si>
  <si>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</si>
  <si>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</si>
  <si>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</si>
  <si>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</si>
  <si>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</si>
  <si>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</si>
  <si>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</si>
  <si>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</si>
  <si>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</si>
  <si>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</si>
  <si>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</si>
  <si>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</si>
  <si>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</si>
  <si>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</si>
  <si>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</si>
  <si>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</si>
  <si>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</si>
  <si>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</si>
  <si>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</si>
  <si>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</si>
  <si>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</si>
  <si>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</si>
  <si>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</si>
  <si>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</si>
  <si>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</si>
  <si>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</si>
  <si>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</si>
  <si>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</si>
  <si>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</si>
  <si>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</si>
  <si>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</si>
  <si>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</si>
  <si>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</si>
  <si>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</si>
  <si>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</si>
  <si>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</si>
  <si>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</si>
  <si>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</si>
  <si>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</si>
  <si>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</si>
  <si>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</si>
  <si>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</si>
  <si>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</si>
  <si>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</si>
  <si>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</si>
  <si>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</si>
  <si>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</si>
  <si>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</si>
  <si>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</si>
  <si>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</si>
  <si>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</si>
  <si>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</si>
  <si>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</si>
  <si>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</si>
  <si>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</si>
  <si>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</si>
  <si>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</si>
  <si>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</si>
  <si>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</si>
  <si>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</si>
  <si>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</si>
  <si>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</si>
  <si>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</si>
  <si>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</si>
  <si>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</si>
  <si>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</si>
  <si>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</si>
  <si>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</si>
  <si>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</si>
  <si>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</si>
  <si>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</si>
  <si>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</si>
  <si>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</si>
  <si>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</si>
  <si>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</si>
  <si>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</si>
  <si>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</si>
  <si>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</si>
  <si>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</si>
  <si>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</si>
  <si>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</si>
  <si>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</si>
  <si>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</si>
  <si>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</si>
  <si>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</si>
  <si>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</si>
  <si>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</si>
  <si>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</si>
  <si>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</si>
  <si>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</si>
  <si>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</si>
  <si>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</si>
  <si>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</si>
  <si>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</si>
  <si>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</si>
  <si>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</si>
  <si>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</si>
  <si>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</si>
  <si>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</si>
  <si>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</si>
  <si>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</si>
  <si>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</si>
  <si>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</si>
  <si>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</si>
  <si>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</si>
  <si>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</si>
  <si>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</si>
  <si>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</si>
  <si>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</si>
  <si>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</si>
  <si>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</si>
  <si>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</si>
  <si>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</si>
  <si>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</si>
  <si>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</si>
  <si>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</si>
  <si>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</si>
  <si>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</si>
  <si>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</si>
  <si>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</si>
  <si>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</si>
  <si>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</si>
  <si>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</si>
  <si>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</si>
  <si>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</si>
  <si>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</si>
  <si>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</si>
  <si>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</si>
  <si>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</si>
  <si>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</si>
  <si>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</si>
  <si>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</si>
  <si>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</si>
  <si>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</si>
  <si>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</si>
  <si>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</si>
  <si>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</si>
  <si>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</si>
  <si>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</si>
  <si>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</si>
  <si>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</si>
  <si>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</si>
  <si>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</si>
  <si>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</si>
  <si>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</si>
  <si>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</si>
  <si>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</si>
  <si>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</si>
  <si>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</si>
  <si>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</si>
  <si>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</si>
  <si>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</si>
  <si>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</si>
  <si>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</si>
  <si>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</si>
  <si>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</si>
  <si>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</si>
  <si>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</si>
  <si>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</si>
  <si>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</si>
  <si>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</si>
  <si>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</si>
  <si>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</si>
  <si>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</si>
  <si>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</si>
  <si>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</si>
  <si>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</si>
  <si>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</si>
  <si>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</si>
  <si>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</si>
  <si>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</si>
  <si>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</si>
  <si>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</si>
  <si>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</si>
  <si>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</si>
  <si>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</si>
  <si>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</si>
  <si>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</si>
  <si>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</si>
  <si>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</si>
  <si>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</si>
  <si>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</si>
  <si>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</si>
  <si>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</si>
  <si>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</si>
  <si>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</si>
  <si>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</si>
  <si>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</si>
  <si>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</si>
  <si>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</si>
  <si>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</si>
  <si>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</si>
  <si>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</si>
  <si>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</si>
  <si>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</si>
  <si>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</si>
  <si>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</si>
  <si>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</si>
  <si>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</si>
  <si>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</si>
  <si>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</si>
  <si>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</si>
  <si>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</si>
  <si>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</si>
  <si>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</si>
  <si>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</si>
  <si>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</si>
  <si>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</si>
  <si>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</si>
  <si>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</si>
  <si>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</si>
  <si>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</si>
  <si>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</si>
  <si>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</si>
  <si>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</si>
  <si>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</si>
  <si>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</si>
  <si>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</si>
  <si>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</si>
  <si>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</si>
  <si>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</si>
  <si>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</si>
  <si>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</si>
  <si>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</si>
  <si>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</si>
  <si>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</si>
  <si>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</si>
  <si>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</si>
  <si>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</si>
  <si>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</si>
  <si>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</si>
  <si>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</si>
  <si>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</si>
  <si>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</si>
  <si>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</si>
  <si>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</si>
  <si>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</si>
  <si>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</si>
  <si>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</si>
  <si>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</si>
  <si>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</si>
  <si>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</si>
  <si>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</si>
  <si>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</si>
  <si>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</si>
  <si>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</si>
  <si>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</si>
  <si>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</si>
  <si>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</si>
  <si>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</si>
  <si>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</si>
  <si>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</si>
  <si>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</si>
  <si>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</si>
  <si>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</si>
  <si>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</si>
  <si>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</si>
  <si>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</si>
  <si>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</si>
  <si>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</si>
  <si>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</si>
  <si>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</si>
  <si>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</si>
  <si>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</si>
  <si>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</si>
  <si>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</si>
  <si>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</si>
  <si>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</si>
  <si>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</si>
  <si>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</si>
  <si>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</si>
  <si>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</si>
  <si>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</si>
  <si>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</si>
  <si>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</si>
  <si>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</si>
  <si>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</si>
  <si>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</si>
  <si>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</si>
  <si>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</si>
  <si>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</si>
  <si>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</si>
  <si>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</si>
  <si>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</si>
  <si>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</si>
  <si>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</si>
  <si>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</si>
  <si>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</si>
  <si>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</si>
  <si>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</si>
  <si>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</si>
  <si>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</si>
  <si>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</si>
  <si>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</si>
  <si>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</si>
  <si>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</si>
  <si>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</si>
  <si>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</si>
  <si>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</si>
  <si>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</si>
  <si>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</si>
  <si>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</si>
  <si>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</si>
  <si>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</si>
  <si>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</si>
  <si>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</si>
  <si>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</si>
  <si>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</si>
  <si>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</si>
  <si>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</si>
  <si>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</si>
  <si>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</si>
  <si>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</si>
  <si>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</si>
  <si>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</si>
  <si>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</si>
  <si>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</si>
  <si>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</si>
  <si>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</si>
  <si>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</si>
  <si>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</si>
  <si>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</si>
  <si>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</si>
  <si>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</si>
  <si>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</si>
  <si>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</si>
  <si>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</si>
  <si>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</si>
  <si>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</si>
  <si>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</si>
  <si>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</si>
  <si>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</si>
  <si>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</si>
  <si>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</si>
  <si>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</si>
  <si>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</si>
  <si>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</si>
  <si>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</si>
  <si>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</si>
  <si>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</si>
  <si>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</si>
  <si>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</si>
  <si>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</si>
  <si>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</si>
  <si>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</si>
  <si>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</si>
  <si>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</si>
  <si>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</si>
  <si>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</si>
  <si>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</si>
  <si>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</si>
  <si>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</si>
  <si>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</si>
  <si>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</si>
  <si>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</si>
  <si>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</si>
  <si>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</si>
  <si>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</si>
  <si>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</si>
  <si>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</si>
  <si>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</si>
  <si>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</si>
  <si>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</si>
  <si>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</si>
  <si>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</si>
  <si>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</si>
  <si>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</si>
  <si>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</si>
  <si>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</si>
  <si>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</si>
  <si>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</si>
  <si>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</si>
  <si>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</si>
  <si>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</si>
  <si>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</si>
  <si>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</si>
  <si>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</si>
  <si>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</si>
  <si>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</si>
  <si>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</si>
  <si>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</si>
  <si>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</si>
  <si>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</si>
  <si>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</si>
  <si>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</si>
  <si>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</si>
  <si>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</si>
  <si>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</si>
  <si>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</si>
  <si>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</si>
  <si>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</si>
  <si>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</si>
  <si>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</si>
  <si>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</si>
  <si>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</si>
  <si>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</si>
  <si>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</si>
  <si>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</si>
  <si>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</si>
  <si>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</si>
  <si>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</si>
  <si>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</si>
  <si>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</si>
  <si>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</si>
  <si>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</si>
  <si>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</si>
  <si>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</si>
  <si>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</si>
  <si>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</si>
  <si>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</si>
  <si>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</si>
  <si>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</si>
  <si>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</si>
  <si>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</si>
  <si>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</si>
  <si>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</si>
  <si>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</si>
  <si>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</si>
  <si>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</si>
  <si>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</si>
  <si>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</si>
  <si>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</si>
  <si>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</si>
  <si>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</si>
  <si>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</si>
  <si>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</si>
  <si>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</si>
  <si>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</si>
  <si>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</si>
  <si>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</si>
  <si>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</si>
  <si>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</si>
  <si>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</si>
  <si>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</si>
  <si>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</si>
  <si>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</si>
  <si>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</si>
  <si>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</si>
  <si>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</si>
  <si>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</si>
  <si>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</si>
  <si>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</si>
  <si>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</si>
  <si>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</si>
  <si>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</si>
  <si>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</si>
  <si>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</si>
  <si>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</si>
  <si>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</si>
  <si>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</si>
  <si>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</si>
  <si>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</si>
  <si>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</si>
  <si>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</si>
  <si>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</si>
  <si>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</si>
  <si>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</si>
  <si>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</si>
  <si>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</si>
  <si>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</si>
  <si>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</si>
  <si>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</si>
  <si>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</si>
  <si>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</si>
  <si>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</si>
  <si>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</si>
  <si>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</si>
  <si>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</si>
  <si>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</si>
  <si>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</si>
  <si>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</si>
  <si>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</si>
  <si>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</si>
  <si>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</si>
  <si>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</si>
  <si>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</si>
  <si>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</si>
  <si>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</si>
  <si>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</si>
  <si>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</si>
  <si>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</si>
  <si>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</si>
  <si>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</si>
  <si>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</si>
  <si>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</si>
  <si>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</si>
  <si>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</si>
  <si>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</si>
  <si>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</si>
  <si>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</si>
  <si>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</si>
  <si>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</si>
  <si>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</si>
  <si>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</si>
  <si>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</si>
  <si>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</si>
  <si>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</si>
  <si>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</si>
  <si>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</si>
  <si>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</si>
  <si>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</si>
  <si>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</si>
  <si>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</si>
  <si>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</si>
  <si>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</si>
  <si>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</si>
  <si>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</si>
  <si>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</si>
  <si>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</si>
  <si>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</si>
  <si>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</si>
  <si>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</si>
  <si>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</si>
  <si>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</si>
  <si>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</si>
  <si>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</si>
  <si>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</si>
  <si>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</si>
  <si>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</si>
  <si>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</si>
  <si>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</si>
  <si>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</si>
  <si>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</si>
  <si>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</si>
  <si>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</si>
  <si>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</si>
  <si>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</si>
  <si>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</si>
  <si>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</si>
  <si>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</si>
  <si>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</si>
  <si>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</si>
  <si>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</si>
  <si>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</si>
  <si>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</si>
  <si>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</si>
  <si>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</si>
  <si>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</si>
  <si>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</si>
  <si>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</si>
  <si>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</si>
  <si>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</si>
  <si>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</si>
  <si>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</si>
  <si>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</si>
  <si>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</si>
  <si>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</si>
  <si>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</si>
  <si>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</si>
  <si>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</si>
  <si>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</si>
  <si>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</si>
  <si>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</si>
  <si>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</si>
  <si>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</si>
  <si>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</si>
  <si>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</si>
  <si>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</si>
  <si>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</si>
  <si>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</si>
  <si>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</si>
  <si>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</si>
  <si>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</si>
  <si>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</si>
  <si>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</si>
  <si>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</si>
  <si>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</si>
  <si>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</si>
  <si>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</si>
  <si>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</si>
  <si>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</si>
  <si>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</si>
  <si>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</si>
  <si>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</si>
  <si>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</si>
  <si>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</si>
  <si>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</si>
  <si>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</si>
  <si>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</si>
  <si>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</si>
  <si>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</si>
  <si>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</si>
  <si>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</si>
  <si>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</si>
  <si>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</si>
  <si>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</si>
  <si>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</si>
  <si>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</si>
  <si>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</si>
  <si>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</si>
  <si>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</si>
  <si>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</si>
  <si>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</si>
  <si>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</si>
  <si>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</si>
  <si>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</si>
  <si>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</si>
  <si>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</si>
  <si>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</si>
  <si>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</si>
  <si>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</si>
  <si>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</si>
  <si>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</si>
  <si>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</si>
  <si>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</si>
  <si>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</si>
  <si>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</si>
  <si>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</si>
  <si>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</si>
  <si>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</si>
  <si>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</si>
  <si>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</si>
  <si>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</si>
  <si>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</si>
  <si>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</si>
  <si>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</si>
  <si>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</si>
  <si>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</si>
  <si>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</si>
  <si>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</si>
  <si>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</si>
  <si>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</si>
  <si>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</si>
  <si>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</si>
  <si>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</si>
  <si>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</si>
  <si>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</si>
  <si>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</si>
  <si>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</si>
  <si>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</si>
  <si>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</si>
  <si>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</si>
  <si>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</si>
  <si>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</si>
  <si>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</si>
  <si>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</si>
  <si>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</si>
  <si>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</si>
  <si>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</si>
  <si>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</si>
  <si>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</si>
  <si>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</si>
  <si>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</si>
  <si>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</si>
  <si>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</si>
  <si>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</si>
  <si>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</si>
  <si>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</si>
  <si>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</si>
  <si>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</si>
  <si>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</si>
  <si>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</si>
  <si>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</si>
  <si>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</si>
  <si>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</si>
  <si>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</si>
  <si>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</si>
  <si>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</si>
  <si>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</si>
  <si>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</si>
  <si>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</si>
  <si>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</si>
  <si>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</si>
  <si>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</si>
  <si>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</si>
  <si>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</si>
  <si>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</si>
  <si>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</si>
  <si>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</si>
  <si>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</si>
  <si>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</si>
  <si>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</si>
  <si>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</si>
  <si>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</si>
  <si>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</si>
  <si>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</si>
  <si>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</si>
  <si>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</si>
  <si>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</si>
  <si>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</si>
  <si>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</si>
  <si>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</si>
  <si>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</si>
  <si>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</si>
  <si>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</si>
  <si>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</si>
  <si>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</si>
  <si>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</si>
  <si>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</si>
  <si>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</si>
  <si>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</si>
  <si>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</si>
  <si>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</si>
  <si>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</si>
  <si>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</si>
  <si>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</si>
  <si>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</si>
  <si>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</si>
  <si>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</si>
  <si>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</si>
  <si>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</si>
  <si>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</si>
  <si>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</si>
  <si>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</si>
  <si>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</si>
  <si>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</si>
  <si>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</si>
  <si>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</si>
  <si>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</si>
  <si>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</si>
  <si>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</si>
  <si>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</si>
  <si>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</si>
  <si>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</si>
  <si>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</si>
  <si>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</si>
  <si>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</si>
  <si>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</si>
  <si>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</si>
  <si>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</si>
  <si>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</si>
  <si>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</si>
  <si>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</si>
  <si>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</si>
  <si>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</si>
  <si>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</si>
  <si>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</si>
  <si>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</si>
  <si>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</si>
  <si>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</si>
  <si>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</si>
  <si>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</si>
  <si>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</si>
  <si>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</si>
  <si>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</si>
  <si>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</si>
  <si>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</si>
  <si>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</si>
  <si>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</si>
  <si>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</si>
  <si>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</si>
  <si>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</si>
  <si>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</si>
  <si>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</si>
  <si>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</si>
  <si>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</si>
  <si>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</si>
  <si>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</si>
  <si>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</si>
  <si>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</si>
  <si>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</si>
  <si>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</si>
  <si>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</si>
  <si>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</si>
  <si>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</si>
  <si>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</si>
  <si>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</si>
  <si>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</si>
  <si>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</si>
  <si>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</si>
  <si>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</si>
  <si>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</si>
  <si>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</si>
  <si>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</si>
  <si>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</si>
  <si>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</si>
  <si>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</si>
  <si>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</si>
  <si>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</si>
  <si>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</si>
  <si>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</si>
  <si>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</si>
  <si>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</si>
  <si>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</si>
  <si>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</si>
  <si>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</si>
  <si>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</si>
  <si>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</si>
  <si>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</si>
  <si>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</si>
  <si>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</si>
  <si>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</si>
  <si>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</si>
  <si>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</si>
  <si>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</si>
  <si>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</si>
  <si>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</si>
  <si>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</si>
  <si>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</si>
  <si>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</si>
  <si>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</si>
  <si>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</si>
  <si>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</si>
  <si>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</si>
  <si>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</si>
  <si>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</si>
  <si>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</si>
  <si>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</si>
  <si>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</si>
  <si>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</si>
  <si>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</si>
  <si>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</si>
  <si>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</si>
  <si>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</si>
  <si>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</si>
  <si>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</si>
  <si>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</si>
  <si>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</si>
  <si>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</si>
  <si>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</si>
  <si>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</si>
  <si>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</si>
  <si>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</si>
  <si>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</si>
  <si>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</si>
  <si>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</si>
  <si>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</si>
  <si>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</si>
  <si>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</si>
  <si>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</si>
  <si>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</si>
  <si>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</si>
  <si>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</si>
  <si>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</si>
  <si>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</si>
  <si>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</si>
  <si>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</si>
  <si>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</si>
  <si>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</si>
  <si>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</si>
  <si>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</si>
  <si>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</si>
  <si>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</si>
  <si>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</si>
  <si>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</si>
  <si>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</si>
  <si>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</si>
  <si>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</si>
  <si>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</si>
  <si>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</si>
  <si>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</si>
  <si>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</si>
  <si>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</si>
  <si>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</si>
  <si>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</si>
  <si>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</si>
  <si>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</si>
  <si>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</si>
  <si>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</si>
  <si>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</si>
  <si>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</si>
  <si>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</si>
  <si>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</si>
  <si>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</si>
  <si>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</si>
  <si>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</si>
  <si>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</si>
  <si>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</si>
  <si>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</si>
  <si>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</si>
  <si>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</si>
  <si>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</si>
  <si>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</si>
  <si>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</si>
  <si>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</si>
  <si>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</si>
  <si>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</si>
  <si>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</si>
  <si>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</si>
  <si>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</si>
  <si>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</si>
  <si>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</si>
  <si>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</si>
  <si>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</si>
  <si>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</si>
  <si>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</si>
  <si>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</si>
  <si>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</si>
  <si>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</si>
  <si>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</si>
  <si>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</si>
  <si>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</si>
  <si>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</si>
  <si>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</si>
  <si>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</si>
  <si>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</si>
  <si>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</si>
  <si>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</si>
  <si>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</si>
  <si>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</si>
  <si>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</si>
  <si>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</si>
  <si>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</si>
  <si>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</si>
  <si>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</si>
  <si>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</si>
  <si>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</si>
  <si>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</si>
  <si>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</si>
  <si>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</si>
  <si>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</si>
  <si>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</si>
  <si>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</si>
  <si>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</si>
  <si>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</si>
  <si>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</si>
  <si>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</si>
  <si>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</si>
  <si>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</si>
  <si>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</si>
  <si>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</si>
  <si>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</si>
  <si>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</si>
  <si>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</si>
  <si>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</si>
  <si>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</si>
  <si>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</si>
  <si>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</si>
  <si>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</si>
  <si>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</si>
  <si>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</si>
  <si>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</si>
  <si>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</si>
  <si>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</si>
  <si>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</si>
  <si>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</si>
  <si>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</si>
  <si>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</si>
  <si>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</si>
  <si>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</si>
  <si>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</si>
  <si>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</si>
  <si>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</si>
  <si>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</si>
  <si>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</si>
  <si>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</si>
  <si>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</si>
  <si>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</si>
  <si>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</si>
  <si>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</si>
  <si>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</si>
  <si>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</si>
  <si>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</si>
  <si>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</si>
  <si>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</si>
  <si>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</si>
  <si>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</si>
  <si>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</si>
  <si>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</si>
  <si>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</si>
  <si>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</si>
  <si>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</si>
  <si>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</si>
  <si>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</si>
  <si>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</si>
  <si>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</si>
  <si>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</si>
  <si>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</si>
  <si>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</si>
  <si>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</si>
  <si>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</si>
  <si>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</si>
  <si>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</si>
  <si>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</si>
  <si>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</si>
  <si>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</si>
  <si>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</si>
  <si>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</si>
  <si>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</si>
  <si>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</si>
  <si>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</si>
  <si>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</si>
  <si>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</si>
  <si>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</si>
  <si>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</si>
  <si>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</si>
  <si>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</si>
  <si>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</si>
  <si>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</si>
  <si>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</si>
  <si>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</si>
  <si>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</si>
  <si>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</si>
  <si>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</si>
  <si>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</si>
  <si>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</si>
  <si>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</si>
  <si>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</si>
  <si>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</si>
  <si>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</si>
  <si>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</si>
  <si>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</si>
  <si>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</si>
  <si>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</si>
  <si>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</si>
  <si>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</si>
  <si>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</si>
  <si>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</si>
  <si>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</si>
  <si>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</si>
  <si>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</si>
  <si>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</si>
  <si>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</si>
  <si>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</si>
  <si>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</si>
  <si>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</si>
  <si>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</si>
  <si>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</si>
  <si>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</si>
  <si>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</si>
  <si>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</si>
  <si>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</si>
  <si>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</si>
  <si>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</si>
  <si>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</si>
  <si>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</si>
  <si>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</si>
  <si>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</si>
  <si>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</si>
  <si>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</si>
  <si>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</si>
  <si>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</si>
  <si>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</si>
  <si>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</si>
  <si>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</si>
  <si>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</si>
  <si>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</si>
  <si>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</si>
  <si>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</si>
  <si>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</si>
  <si>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</si>
  <si>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</si>
  <si>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</si>
  <si>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</si>
  <si>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</si>
  <si>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</si>
  <si>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</si>
  <si>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</si>
  <si>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</si>
  <si>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</si>
  <si>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</si>
  <si>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</si>
  <si>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</si>
  <si>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</si>
  <si>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</si>
  <si>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</si>
  <si>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</si>
  <si>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</si>
  <si>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</si>
  <si>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</si>
  <si>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</si>
  <si>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</si>
  <si>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</si>
  <si>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</si>
  <si>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</si>
  <si>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</si>
  <si>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</si>
  <si>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</si>
  <si>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</si>
  <si>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</si>
  <si>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</si>
  <si>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</si>
  <si>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</si>
  <si>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</si>
  <si>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</si>
  <si>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</si>
  <si>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</si>
  <si>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</si>
  <si>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</si>
  <si>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</si>
  <si>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</si>
  <si>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</si>
  <si>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</si>
  <si>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</si>
  <si>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</si>
  <si>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</si>
  <si>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</si>
  <si>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</si>
  <si>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</si>
  <si>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</si>
  <si>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</si>
  <si>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</si>
  <si>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</si>
  <si>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</si>
  <si>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</si>
  <si>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</si>
  <si>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</si>
  <si>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</si>
  <si>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</si>
  <si>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</si>
  <si>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</si>
  <si>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</si>
  <si>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</si>
  <si>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</si>
  <si>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</si>
  <si>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</si>
  <si>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</si>
  <si>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</si>
  <si>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</si>
  <si>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</si>
  <si>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</si>
  <si>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</si>
  <si>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</si>
  <si>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</si>
  <si>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</si>
  <si>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</si>
  <si>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</si>
  <si>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</si>
  <si>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</si>
  <si>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</si>
  <si>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</si>
  <si>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</si>
  <si>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</si>
  <si>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</si>
  <si>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</si>
  <si>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</si>
  <si>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</si>
  <si>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</si>
  <si>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</si>
  <si>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</si>
  <si>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</si>
  <si>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</si>
  <si>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</si>
  <si>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</si>
  <si>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</si>
  <si>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</si>
  <si>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</si>
  <si>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</si>
  <si>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</si>
  <si>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</si>
  <si>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</si>
  <si>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</si>
  <si>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</si>
  <si>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</si>
  <si>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</si>
  <si>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</si>
  <si>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</si>
  <si>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</si>
  <si>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</si>
  <si>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</si>
  <si>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</si>
  <si>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</si>
  <si>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</si>
  <si>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</si>
  <si>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</si>
  <si>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</si>
  <si>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</si>
  <si>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</si>
  <si>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</si>
  <si>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</si>
  <si>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</si>
  <si>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</si>
  <si>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</si>
  <si>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</si>
  <si>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</si>
  <si>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</si>
  <si>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</si>
  <si>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</si>
  <si>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</si>
  <si>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</si>
  <si>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</si>
  <si>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</si>
  <si>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</si>
  <si>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</si>
  <si>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</si>
  <si>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</si>
  <si>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</si>
  <si>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</si>
  <si>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</si>
  <si>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</si>
  <si>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</si>
  <si>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</si>
  <si>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</si>
  <si>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</si>
  <si>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</si>
  <si>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</si>
  <si>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</si>
  <si>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</si>
  <si>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</si>
  <si>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</si>
  <si>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</si>
  <si>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</si>
  <si>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</si>
  <si>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</si>
  <si>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</si>
  <si>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</si>
  <si>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</si>
  <si>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</si>
  <si>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</si>
  <si>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</si>
  <si>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</si>
  <si>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</si>
  <si>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</si>
  <si>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</si>
  <si>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</si>
  <si>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</si>
  <si>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</si>
  <si>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</si>
  <si>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</si>
  <si>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</si>
  <si>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</si>
  <si>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</si>
  <si>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</si>
  <si>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</si>
  <si>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</si>
  <si>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</si>
  <si>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</si>
  <si>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</si>
  <si>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</si>
  <si>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</si>
  <si>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</si>
  <si>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</si>
  <si>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</si>
  <si>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</si>
  <si>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</si>
  <si>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</si>
  <si>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</si>
  <si>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</si>
  <si>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</si>
  <si>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</si>
  <si>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</si>
  <si>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</si>
  <si>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</si>
  <si>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</si>
  <si>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</si>
  <si>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</si>
  <si>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</si>
  <si>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</si>
  <si>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</si>
  <si>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</si>
  <si>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</si>
  <si>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</si>
  <si>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</si>
  <si>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</si>
  <si>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</si>
  <si>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</si>
  <si>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</si>
  <si>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</si>
  <si>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</si>
  <si>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</si>
  <si>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</si>
  <si>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</si>
  <si>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</si>
  <si>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</si>
  <si>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</si>
  <si>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</si>
  <si>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</si>
  <si>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</si>
  <si>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</si>
  <si>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</si>
  <si>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</si>
  <si>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</si>
  <si>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</si>
  <si>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</si>
  <si>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</si>
  <si>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</si>
  <si>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</si>
  <si>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</si>
  <si>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</si>
  <si>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</si>
  <si>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</si>
  <si>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</si>
  <si>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</si>
  <si>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</si>
  <si>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</si>
  <si>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</si>
  <si>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</si>
  <si>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</si>
  <si>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</si>
  <si>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</si>
  <si>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</si>
  <si>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</si>
  <si>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</si>
  <si>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</si>
  <si>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</si>
  <si>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</si>
  <si>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</si>
  <si>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</si>
  <si>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</si>
  <si>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</si>
  <si>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</si>
  <si>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</si>
  <si>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</si>
  <si>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</si>
  <si>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</si>
  <si>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</si>
  <si>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</si>
  <si>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</si>
  <si>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</si>
  <si>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</si>
  <si>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</si>
  <si>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</si>
  <si>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</si>
  <si>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</si>
  <si>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</si>
  <si>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</si>
  <si>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</si>
  <si>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</si>
  <si>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</si>
  <si>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</si>
  <si>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</si>
  <si>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</si>
  <si>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</si>
  <si>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</si>
  <si>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</si>
  <si>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</si>
  <si>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</si>
  <si>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</si>
  <si>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</si>
  <si>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</si>
  <si>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</si>
  <si>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</si>
  <si>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</si>
  <si>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</si>
  <si>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</si>
  <si>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</si>
  <si>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</si>
  <si>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</si>
  <si>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</si>
  <si>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</si>
  <si>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</si>
  <si>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</si>
  <si>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</si>
  <si>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</si>
  <si>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</si>
  <si>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</si>
  <si>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</si>
  <si>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</si>
  <si>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</si>
  <si>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</si>
  <si>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</si>
  <si>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</si>
  <si>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</si>
  <si>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</si>
  <si>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</si>
  <si>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</si>
  <si>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</si>
  <si>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</si>
  <si>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</si>
  <si>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</si>
  <si>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</si>
  <si>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</si>
  <si>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</si>
  <si>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</si>
  <si>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</si>
  <si>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</si>
  <si>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</si>
  <si>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</si>
  <si>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</si>
  <si>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</si>
  <si>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</si>
  <si>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</si>
  <si>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</si>
  <si>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</si>
  <si>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</si>
  <si>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</si>
  <si>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</si>
  <si>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</si>
  <si>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</si>
  <si>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</si>
  <si>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</si>
  <si>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</si>
  <si>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</si>
  <si>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</si>
  <si>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</si>
  <si>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</si>
  <si>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</si>
  <si>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</si>
  <si>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</si>
  <si>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</si>
  <si>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</si>
  <si>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</si>
  <si>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</si>
  <si>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</si>
  <si>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</si>
  <si>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</si>
  <si>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</si>
  <si>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</si>
  <si>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</si>
  <si>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</si>
  <si>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</si>
  <si>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</si>
  <si>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</si>
  <si>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</si>
  <si>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</si>
  <si>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</si>
  <si>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</si>
  <si>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</si>
  <si>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</si>
  <si>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</si>
  <si>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</si>
  <si>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</si>
  <si>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</si>
  <si>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</si>
  <si>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</si>
  <si>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</si>
  <si>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</si>
  <si>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</si>
  <si>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</si>
  <si>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</si>
  <si>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</si>
  <si>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</si>
  <si>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</si>
  <si>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</si>
  <si>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</si>
  <si>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</si>
  <si>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</si>
  <si>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</si>
  <si>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</si>
  <si>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</si>
  <si>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</si>
  <si>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</si>
  <si>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</si>
  <si>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</si>
  <si>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</si>
  <si>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</si>
  <si>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</si>
  <si>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</si>
  <si>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</si>
  <si>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</si>
  <si>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</si>
  <si>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</si>
  <si>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</si>
  <si>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</si>
  <si>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</si>
  <si>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</si>
  <si>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</si>
  <si>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</si>
  <si>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</si>
  <si>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</si>
  <si>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</si>
  <si>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</si>
  <si>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</si>
  <si>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</si>
  <si>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</si>
  <si>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</si>
  <si>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</si>
  <si>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</si>
  <si>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</si>
  <si>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</si>
  <si>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</si>
  <si>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</si>
  <si>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</si>
  <si>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</si>
  <si>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</si>
  <si>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</si>
  <si>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</si>
  <si>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</si>
  <si>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</si>
  <si>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</si>
  <si>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</si>
  <si>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</si>
  <si>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</si>
  <si>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</si>
  <si>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</si>
  <si>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</si>
  <si>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</si>
  <si>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</si>
  <si>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</si>
  <si>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</si>
  <si>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</si>
  <si>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</si>
  <si>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</si>
  <si>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</si>
  <si>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</si>
  <si>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</si>
  <si>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</si>
  <si>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</si>
  <si>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</si>
  <si>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</si>
  <si>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</si>
  <si>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</si>
  <si>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</si>
  <si>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</si>
  <si>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</si>
  <si>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</si>
  <si>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</si>
  <si>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</si>
  <si>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</si>
  <si>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</si>
  <si>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</si>
  <si>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</si>
  <si>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</si>
  <si>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</si>
  <si>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</si>
  <si>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</si>
  <si>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</si>
  <si>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</si>
  <si>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</si>
  <si>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</si>
  <si>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</si>
  <si>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</si>
  <si>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</si>
  <si>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</si>
  <si>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</si>
  <si>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</si>
  <si>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</si>
  <si>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</si>
  <si>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</si>
  <si>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</si>
  <si>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</si>
  <si>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</si>
  <si>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</si>
  <si>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</si>
  <si>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</si>
  <si>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</si>
  <si>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</si>
  <si>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</si>
  <si>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</si>
  <si>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</si>
  <si>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</si>
  <si>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</si>
  <si>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</si>
  <si>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</si>
  <si>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</si>
  <si>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</si>
  <si>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</si>
  <si>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</si>
  <si>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</si>
  <si>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</si>
  <si>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</si>
  <si>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</si>
  <si>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</si>
  <si>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</si>
  <si>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</si>
  <si>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</si>
  <si>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</si>
  <si>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</si>
  <si>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</si>
  <si>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</si>
  <si>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</si>
  <si>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</si>
  <si>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</si>
  <si>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</si>
  <si>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</si>
  <si>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</si>
  <si>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</si>
  <si>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</si>
  <si>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</si>
  <si>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</si>
  <si>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</si>
  <si>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</si>
  <si>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</si>
  <si>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</si>
  <si>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</si>
  <si>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</si>
  <si>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</si>
  <si>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</si>
  <si>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</si>
  <si>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</si>
  <si>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</si>
  <si>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</si>
  <si>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</si>
  <si>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</si>
  <si>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</si>
  <si>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</si>
  <si>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</si>
  <si>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</si>
  <si>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</si>
  <si>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</si>
  <si>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</si>
  <si>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</si>
  <si>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</si>
  <si>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</si>
  <si>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</si>
  <si>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</si>
  <si>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</si>
  <si>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</si>
  <si>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</si>
  <si>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</si>
  <si>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</si>
  <si>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</si>
  <si>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</si>
  <si>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</si>
  <si>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</si>
  <si>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</si>
  <si>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</si>
  <si>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</si>
  <si>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</si>
  <si>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</si>
  <si>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</si>
  <si>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</si>
  <si>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</si>
  <si>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</si>
  <si>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</si>
  <si>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</si>
  <si>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</si>
  <si>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</si>
  <si>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</si>
  <si>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</si>
  <si>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</si>
  <si>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</si>
  <si>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</si>
  <si>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</si>
  <si>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</si>
  <si>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</si>
  <si>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</si>
  <si>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</si>
  <si>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</si>
  <si>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</si>
  <si>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</si>
  <si>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</si>
  <si>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</si>
  <si>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</si>
  <si>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</si>
  <si>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</si>
  <si>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</si>
  <si>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</si>
  <si>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</si>
  <si>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</si>
  <si>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</si>
  <si>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</si>
  <si>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</si>
  <si>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</si>
  <si>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</si>
  <si>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</si>
  <si>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</si>
  <si>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</si>
  <si>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</si>
  <si>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</si>
  <si>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</si>
  <si>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</si>
  <si>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</si>
  <si>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</si>
  <si>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</si>
  <si>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</si>
  <si>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</si>
  <si>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</si>
  <si>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</si>
  <si>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</si>
  <si>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</si>
  <si>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</si>
  <si>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</si>
  <si>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</si>
  <si>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</si>
  <si>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</si>
  <si>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</si>
  <si>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</si>
  <si>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</si>
  <si>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</si>
  <si>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</si>
  <si>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</si>
  <si>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</si>
  <si>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</si>
  <si>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</si>
  <si>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</si>
  <si>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</si>
  <si>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</si>
  <si>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</si>
  <si>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</si>
  <si>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</si>
  <si>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</si>
  <si>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</si>
  <si>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</si>
  <si>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</si>
  <si>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</si>
  <si>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</si>
  <si>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</si>
  <si>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</si>
  <si>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</si>
  <si>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</si>
  <si>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</si>
  <si>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</si>
  <si>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</si>
  <si>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</si>
  <si>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</si>
  <si>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</si>
  <si>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</si>
  <si>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</si>
  <si>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</si>
  <si>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</si>
  <si>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</si>
  <si>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</si>
  <si>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</si>
  <si>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</si>
  <si>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</si>
  <si>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</si>
  <si>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</si>
  <si>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</si>
  <si>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</si>
  <si>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</si>
  <si>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</si>
  <si>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</si>
  <si>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</si>
  <si>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</si>
  <si>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</si>
  <si>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</si>
  <si>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</si>
  <si>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</si>
  <si>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</si>
  <si>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</si>
  <si>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</si>
  <si>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</si>
  <si>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</si>
  <si>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</si>
  <si>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</si>
  <si>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</si>
  <si>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</si>
  <si>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</si>
  <si>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</si>
  <si>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</si>
  <si>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</si>
  <si>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</si>
  <si>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</si>
  <si>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</si>
  <si>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</si>
  <si>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</si>
  <si>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</si>
  <si>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</si>
  <si>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</si>
  <si>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</si>
  <si>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</si>
  <si>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</si>
  <si>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</si>
  <si>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</si>
  <si>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</si>
  <si>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</si>
  <si>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</si>
  <si>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</si>
  <si>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</si>
  <si>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</si>
  <si>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</si>
  <si>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</si>
  <si>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</si>
  <si>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</si>
  <si>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</si>
  <si>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</si>
  <si>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</si>
  <si>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</si>
  <si>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</si>
  <si>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</si>
  <si>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</si>
  <si>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</si>
  <si>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</si>
  <si>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</si>
  <si>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</si>
  <si>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</si>
  <si>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</si>
  <si>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</si>
  <si>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</si>
  <si>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</si>
  <si>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</si>
  <si>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</si>
  <si>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</si>
  <si>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</si>
  <si>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</si>
  <si>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</si>
  <si>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</si>
  <si>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</si>
  <si>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</si>
  <si>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</si>
  <si>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</si>
  <si>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</si>
  <si>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</si>
  <si>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</si>
  <si>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</si>
  <si>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</si>
  <si>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</si>
  <si>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</si>
  <si>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</si>
  <si>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</si>
  <si>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</si>
  <si>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</si>
  <si>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</si>
  <si>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</si>
  <si>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</si>
  <si>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</si>
  <si>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</si>
  <si>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</si>
  <si>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</si>
  <si>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</si>
  <si>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</si>
  <si>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</si>
  <si>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</si>
  <si>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</si>
  <si>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</si>
  <si>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</si>
  <si>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</si>
  <si>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</si>
  <si>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</si>
  <si>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</si>
  <si>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</si>
  <si>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</si>
  <si>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</si>
  <si>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</si>
  <si>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</si>
  <si>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</si>
  <si>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</si>
  <si>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</si>
  <si>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</si>
  <si>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</si>
  <si>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</si>
  <si>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</si>
  <si>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</si>
  <si>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</si>
  <si>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</si>
  <si>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</si>
  <si>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</si>
  <si>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</si>
  <si>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</si>
  <si>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</si>
  <si>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</si>
  <si>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</si>
  <si>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</si>
  <si>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</si>
  <si>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</si>
  <si>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</si>
  <si>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</si>
  <si>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</si>
  <si>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</si>
  <si>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</si>
  <si>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</si>
  <si>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</si>
  <si>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</si>
  <si>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</si>
  <si>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</si>
  <si>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</si>
  <si>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</si>
  <si>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</si>
  <si>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</si>
  <si>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</si>
  <si>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</si>
  <si>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</si>
  <si>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</si>
  <si>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</si>
  <si>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</si>
  <si>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</si>
  <si>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</si>
  <si>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</si>
  <si>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</si>
  <si>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</si>
  <si>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</si>
  <si>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</si>
  <si>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</si>
  <si>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</si>
  <si>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</si>
  <si>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</si>
  <si>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</si>
  <si>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</si>
  <si>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</si>
  <si>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</si>
  <si>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</si>
  <si>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</si>
  <si>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</si>
  <si>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</si>
  <si>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</si>
  <si>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</si>
  <si>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</si>
  <si>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</si>
  <si>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</si>
  <si>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</si>
  <si>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</si>
  <si>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</si>
  <si>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</si>
  <si>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</si>
  <si>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</si>
  <si>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</si>
  <si>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</si>
  <si>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</si>
  <si>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</si>
  <si>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</si>
  <si>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</si>
  <si>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</si>
  <si>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</si>
  <si>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</si>
  <si>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</si>
  <si>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</si>
  <si>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</si>
  <si>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</si>
  <si>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</si>
  <si>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</si>
  <si>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</si>
  <si>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</si>
  <si>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</si>
  <si>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</si>
  <si>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</si>
  <si>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</si>
  <si>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</si>
  <si>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</si>
  <si>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</si>
  <si>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</si>
  <si>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</si>
  <si>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</si>
  <si>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</si>
  <si>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</si>
  <si>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</si>
  <si>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</si>
  <si>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</si>
  <si>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</si>
  <si>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</si>
  <si>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</si>
  <si>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</si>
  <si>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</si>
  <si>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</si>
  <si>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</si>
  <si>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</si>
  <si>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</si>
  <si>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</si>
  <si>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</si>
  <si>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</si>
  <si>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</si>
  <si>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</si>
  <si>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</si>
  <si>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</si>
  <si>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</si>
  <si>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</si>
  <si>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</si>
  <si>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</si>
  <si>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</si>
  <si>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</si>
  <si>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</si>
  <si>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</si>
  <si>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</si>
  <si>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</si>
  <si>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</si>
  <si>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</si>
  <si>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</si>
  <si>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</si>
  <si>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</si>
  <si>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</si>
  <si>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</si>
  <si>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</si>
  <si>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</si>
  <si>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</si>
  <si>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</si>
  <si>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</si>
  <si>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</si>
  <si>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</si>
  <si>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</si>
  <si>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</si>
  <si>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</si>
  <si>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</si>
  <si>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</si>
  <si>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</si>
  <si>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</si>
  <si>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</si>
  <si>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</si>
  <si>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</si>
  <si>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</si>
  <si>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</si>
  <si>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</si>
  <si>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</si>
  <si>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</si>
  <si>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</si>
  <si>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</si>
  <si>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</si>
  <si>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</si>
  <si>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</si>
  <si>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</si>
  <si>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</si>
  <si>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</si>
  <si>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</si>
  <si>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</si>
  <si>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</si>
  <si>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</si>
  <si>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</si>
  <si>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</si>
  <si>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</si>
  <si>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</si>
  <si>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</si>
  <si>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</si>
  <si>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</si>
  <si>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</si>
  <si>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</si>
  <si>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</si>
  <si>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</si>
  <si>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</si>
  <si>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</si>
  <si>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</si>
  <si>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</si>
  <si>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</si>
  <si>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</si>
  <si>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</si>
  <si>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</si>
  <si>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</si>
  <si>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</si>
  <si>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</si>
  <si>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</si>
  <si>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</si>
  <si>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</si>
  <si>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</si>
  <si>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</si>
  <si>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</si>
  <si>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</si>
  <si>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</si>
  <si>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</si>
  <si>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</si>
  <si>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</si>
  <si>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</si>
  <si>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</si>
  <si>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</si>
  <si>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</si>
  <si>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</si>
  <si>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</si>
  <si>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</si>
  <si>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</si>
  <si>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</si>
  <si>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</si>
  <si>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</si>
  <si>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</si>
  <si>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</si>
  <si>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</si>
  <si>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</si>
  <si>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</si>
  <si>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</si>
  <si>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</si>
  <si>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</si>
  <si>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</si>
  <si>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</si>
  <si>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</si>
  <si>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</si>
  <si>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</si>
  <si>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</si>
  <si>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</si>
  <si>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</si>
  <si>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</si>
  <si>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</si>
  <si>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</si>
  <si>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</si>
  <si>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</si>
  <si>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</si>
  <si>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</si>
  <si>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</si>
  <si>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</si>
  <si>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</si>
  <si>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</si>
  <si>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</si>
  <si>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</si>
  <si>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</si>
  <si>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</si>
  <si>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</si>
  <si>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</si>
  <si>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</si>
  <si>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</si>
  <si>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</si>
  <si>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</si>
  <si>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</si>
  <si>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</si>
  <si>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</si>
  <si>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</si>
  <si>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</si>
  <si>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</si>
  <si>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</si>
  <si>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</si>
  <si>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</si>
  <si>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</si>
  <si>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</si>
  <si>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</si>
  <si>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</si>
  <si>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</si>
  <si>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</si>
  <si>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</si>
  <si>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</si>
  <si>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</si>
  <si>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</si>
  <si>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</si>
  <si>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</si>
  <si>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</si>
  <si>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</si>
  <si>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</si>
  <si>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</si>
  <si>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</si>
  <si>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</si>
  <si>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</si>
  <si>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</si>
  <si>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</si>
  <si>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</si>
  <si>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</si>
  <si>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</si>
  <si>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</si>
  <si>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</si>
  <si>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</si>
  <si>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</si>
  <si>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</si>
  <si>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</si>
  <si>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</si>
  <si>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</si>
  <si>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</si>
  <si>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</si>
  <si>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</si>
  <si>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</si>
  <si>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</si>
  <si>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</si>
  <si>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</si>
  <si>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</si>
  <si>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</si>
  <si>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</si>
  <si>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</si>
  <si>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</si>
  <si>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</si>
  <si>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</si>
  <si>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</si>
  <si>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</si>
  <si>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</si>
  <si>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</si>
  <si>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</si>
  <si>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</si>
  <si>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</si>
  <si>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</si>
  <si>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</si>
  <si>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</si>
  <si>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</si>
  <si>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</si>
  <si>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</si>
  <si>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</si>
  <si>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</si>
  <si>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</si>
  <si>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</si>
  <si>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</si>
  <si>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</si>
  <si>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</si>
  <si>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</si>
  <si>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</si>
  <si>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</si>
  <si>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</si>
  <si>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</si>
  <si>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</si>
  <si>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</si>
  <si>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</si>
  <si>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</si>
  <si>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</si>
  <si>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</si>
  <si>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</si>
  <si>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</si>
  <si>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</si>
  <si>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</si>
  <si>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</si>
  <si>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</si>
  <si>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</si>
  <si>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</si>
  <si>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</si>
  <si>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</si>
  <si>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</si>
  <si>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</si>
  <si>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</si>
  <si>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</si>
  <si>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</si>
  <si>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</si>
  <si>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</si>
  <si>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</si>
  <si>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</si>
  <si>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</si>
  <si>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</si>
  <si>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</si>
  <si>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</si>
  <si>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</si>
  <si>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</si>
  <si>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</si>
  <si>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</si>
  <si>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</si>
  <si>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</si>
  <si>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</si>
  <si>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</si>
  <si>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</si>
  <si>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</si>
  <si>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</si>
  <si>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</si>
  <si>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</si>
  <si>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</si>
  <si>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</si>
  <si>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</si>
  <si>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</si>
  <si>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</si>
  <si>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</si>
  <si>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</si>
  <si>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</si>
  <si>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</si>
  <si>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</si>
  <si>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</si>
  <si>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</si>
  <si>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</si>
  <si>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</si>
  <si>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</si>
  <si>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</si>
  <si>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</si>
  <si>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</si>
  <si>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</si>
  <si>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</si>
  <si>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</si>
  <si>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</si>
  <si>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</si>
  <si>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</si>
  <si>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</si>
  <si>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</si>
  <si>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</si>
  <si>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</si>
  <si>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</si>
  <si>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</si>
  <si>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</si>
  <si>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</si>
  <si>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</si>
  <si>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</si>
  <si>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</si>
  <si>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</si>
  <si>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</si>
  <si>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</si>
  <si>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</si>
  <si>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</si>
  <si>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</si>
  <si>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</si>
  <si>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</si>
  <si>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</si>
  <si>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</si>
  <si>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</si>
  <si>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</si>
  <si>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</si>
  <si>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</si>
  <si>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</si>
  <si>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</si>
  <si>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</si>
  <si>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</si>
  <si>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</si>
  <si>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</si>
  <si>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</si>
  <si>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</si>
  <si>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</si>
  <si>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</si>
  <si>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</si>
  <si>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</si>
  <si>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</si>
  <si>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</si>
  <si>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</si>
  <si>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</si>
  <si>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</si>
  <si>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</si>
  <si>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</si>
  <si>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</si>
  <si>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</si>
  <si>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</si>
  <si>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</si>
  <si>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</si>
  <si>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</si>
  <si>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</si>
  <si>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</si>
  <si>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</si>
  <si>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</si>
  <si>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</si>
  <si>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</si>
  <si>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</si>
  <si>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</si>
  <si>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</si>
  <si>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</si>
  <si>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</si>
  <si>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</si>
  <si>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</si>
  <si>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</si>
  <si>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</si>
  <si>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</si>
  <si>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</si>
  <si>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</si>
  <si>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</si>
  <si>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</si>
  <si>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</si>
  <si>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</si>
  <si>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</si>
  <si>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</si>
  <si>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</si>
  <si>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</si>
  <si>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</si>
  <si>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</si>
  <si>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</si>
  <si>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</si>
  <si>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</si>
  <si>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</si>
  <si>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</si>
  <si>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</si>
  <si>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</si>
  <si>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</si>
  <si>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</si>
  <si>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</si>
  <si>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</si>
  <si>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</si>
  <si>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</si>
  <si>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</si>
  <si>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</si>
  <si>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</si>
  <si>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</si>
  <si>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</si>
  <si>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</si>
  <si>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</si>
  <si>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</si>
  <si>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</si>
  <si>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</si>
  <si>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</si>
  <si>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</si>
  <si>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</si>
  <si>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</si>
  <si>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</si>
  <si>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</si>
  <si>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</si>
  <si>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</si>
  <si>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</si>
  <si>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</si>
  <si>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</si>
  <si>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</si>
  <si>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</si>
  <si>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</si>
  <si>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</si>
  <si>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</si>
  <si>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</si>
  <si>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</si>
  <si>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</si>
  <si>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</si>
  <si>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</si>
  <si>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</si>
  <si>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</si>
  <si>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</si>
  <si>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</si>
  <si>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</si>
  <si>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</si>
  <si>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</si>
  <si>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</si>
  <si>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</si>
  <si>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</si>
  <si>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</si>
  <si>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</si>
  <si>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</si>
  <si>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</si>
  <si>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</si>
  <si>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</si>
  <si>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</si>
  <si>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</si>
  <si>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</si>
  <si>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</si>
  <si>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</si>
  <si>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</si>
  <si>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</si>
  <si>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</si>
  <si>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</si>
  <si>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</si>
  <si>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</si>
  <si>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</si>
  <si>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</si>
  <si>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</si>
  <si>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</si>
  <si>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</si>
  <si>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</si>
  <si>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</si>
  <si>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</si>
  <si>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</si>
  <si>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</si>
  <si>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</si>
  <si>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</si>
  <si>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</si>
  <si>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</si>
  <si>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</si>
  <si>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</si>
  <si>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</si>
  <si>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</si>
  <si>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</si>
  <si>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</si>
  <si>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</si>
  <si>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</si>
  <si>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</si>
  <si>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</si>
  <si>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</si>
  <si>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</si>
  <si>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</si>
  <si>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</si>
  <si>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</si>
  <si>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</si>
  <si>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</si>
  <si>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</si>
  <si>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</si>
  <si>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</si>
  <si>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</si>
  <si>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</si>
  <si>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</si>
  <si>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</si>
  <si>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</si>
  <si>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</si>
  <si>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</si>
  <si>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</si>
  <si>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</si>
  <si>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</si>
  <si>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</si>
  <si>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</si>
  <si>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</si>
  <si>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</si>
  <si>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</si>
  <si>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</si>
  <si>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</si>
  <si>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</si>
  <si>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</si>
  <si>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</si>
  <si>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</si>
  <si>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</si>
  <si>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</si>
  <si>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</si>
  <si>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</si>
  <si>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</si>
  <si>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</si>
  <si>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</si>
  <si>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</si>
  <si>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</si>
  <si>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</si>
  <si>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</si>
  <si>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</si>
  <si>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</si>
  <si>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</si>
  <si>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</si>
  <si>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</si>
  <si>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</si>
  <si>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</si>
  <si>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</si>
  <si>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</si>
  <si>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</si>
  <si>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</si>
  <si>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</si>
  <si>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</si>
  <si>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</si>
  <si>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</si>
  <si>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</si>
  <si>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</si>
  <si>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</si>
  <si>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</si>
  <si>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</si>
  <si>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</si>
  <si>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</si>
  <si>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</si>
  <si>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</si>
  <si>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</si>
  <si>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</si>
  <si>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</si>
  <si>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</si>
  <si>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</si>
  <si>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</si>
  <si>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</si>
  <si>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</si>
  <si>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</si>
  <si>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</si>
  <si>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</si>
  <si>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</si>
  <si>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</si>
  <si>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</si>
  <si>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</si>
  <si>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</si>
  <si>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</si>
  <si>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</si>
  <si>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</si>
  <si>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</si>
  <si>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</si>
  <si>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</si>
  <si>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</si>
  <si>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</si>
  <si>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</si>
  <si>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</si>
  <si>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</si>
  <si>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</si>
  <si>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</si>
  <si>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</si>
  <si>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</si>
  <si>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</si>
  <si>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</si>
  <si>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</si>
  <si>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</si>
  <si>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</si>
  <si>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</si>
  <si>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</si>
  <si>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</si>
  <si>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</si>
  <si>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</si>
  <si>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</si>
  <si>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</si>
  <si>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</si>
  <si>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</si>
  <si>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</si>
  <si>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</si>
  <si>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</si>
  <si>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</si>
  <si>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</si>
  <si>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</si>
  <si>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</si>
  <si>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</si>
  <si>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</si>
  <si>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</si>
  <si>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</si>
  <si>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</si>
  <si>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</si>
  <si>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</si>
  <si>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</si>
  <si>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</si>
  <si>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</si>
  <si>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</si>
  <si>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</si>
  <si>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</si>
  <si>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</si>
  <si>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</si>
  <si>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</si>
  <si>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</si>
  <si>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</si>
  <si>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</si>
  <si>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</si>
  <si>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</si>
  <si>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</si>
  <si>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</si>
  <si>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</si>
  <si>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</si>
  <si>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</si>
  <si>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</si>
  <si>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</si>
  <si>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</si>
  <si>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</si>
  <si>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</si>
  <si>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</si>
  <si>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</si>
  <si>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</si>
  <si>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</si>
  <si>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</si>
  <si>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</si>
  <si>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</si>
  <si>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</si>
  <si>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</si>
  <si>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</si>
  <si>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</si>
  <si>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</si>
  <si>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</si>
  <si>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</si>
  <si>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</si>
  <si>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</si>
  <si>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</si>
  <si>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</si>
  <si>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</si>
  <si>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</si>
  <si>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</si>
  <si>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</si>
  <si>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</si>
  <si>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</si>
  <si>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</si>
  <si>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</si>
  <si>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</si>
  <si>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</si>
  <si>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</si>
  <si>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</si>
  <si>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</si>
  <si>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</si>
  <si>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</si>
  <si>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</si>
  <si>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</si>
  <si>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</si>
  <si>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</si>
  <si>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</si>
  <si>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</si>
  <si>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</si>
  <si>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</si>
  <si>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</si>
  <si>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</si>
  <si>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</si>
  <si>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</si>
  <si>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</si>
  <si>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</si>
  <si>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</si>
  <si>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</si>
  <si>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</si>
  <si>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</si>
  <si>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</si>
  <si>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</si>
  <si>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</si>
  <si>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</si>
  <si>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</si>
  <si>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</si>
  <si>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</si>
  <si>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</si>
  <si>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</si>
  <si>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</si>
  <si>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</si>
  <si>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</si>
  <si>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</si>
  <si>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</si>
  <si>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</si>
  <si>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</si>
  <si>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</si>
  <si>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</si>
  <si>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</si>
  <si>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</si>
  <si>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</si>
  <si>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</si>
  <si>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</si>
  <si>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</si>
  <si>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</si>
  <si>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</si>
  <si>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</si>
  <si>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</si>
  <si>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</si>
  <si>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</si>
  <si>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</si>
  <si>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</si>
  <si>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</si>
  <si>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</si>
  <si>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</si>
  <si>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</si>
  <si>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</si>
  <si>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</si>
  <si>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</si>
  <si>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</si>
  <si>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</si>
  <si>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</si>
  <si>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</si>
  <si>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</si>
  <si>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</si>
  <si>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</si>
  <si>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</si>
  <si>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</si>
  <si>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</si>
  <si>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</si>
  <si>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</si>
  <si>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</si>
  <si>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</si>
  <si>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</si>
  <si>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</si>
  <si>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</si>
  <si>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</si>
  <si>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</si>
  <si>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</si>
  <si>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</si>
  <si>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</si>
  <si>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</si>
  <si>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</si>
  <si>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</si>
  <si>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</si>
  <si>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</si>
  <si>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</si>
  <si>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</si>
  <si>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</si>
  <si>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</si>
  <si>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</si>
  <si>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</si>
  <si>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</si>
  <si>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</si>
  <si>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</si>
  <si>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</si>
  <si>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</si>
  <si>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</si>
  <si>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</si>
  <si>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</si>
  <si>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</si>
  <si>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</si>
  <si>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</si>
  <si>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</si>
  <si>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</si>
  <si>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</si>
  <si>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</si>
  <si>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</si>
  <si>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</si>
  <si>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</si>
  <si>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</si>
  <si>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</si>
  <si>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</si>
  <si>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</si>
  <si>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</si>
  <si>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</si>
  <si>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</si>
  <si>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</si>
  <si>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</si>
  <si>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</si>
  <si>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</si>
  <si>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</si>
  <si>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</si>
  <si>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</si>
  <si>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</si>
  <si>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</si>
  <si>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</si>
  <si>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</si>
  <si>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</si>
  <si>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</si>
  <si>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</si>
  <si>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</si>
  <si>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</si>
  <si>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</si>
  <si>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</si>
  <si>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</si>
  <si>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</si>
  <si>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</si>
  <si>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</si>
  <si>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</si>
  <si>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</si>
  <si>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</si>
  <si>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</si>
  <si>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</si>
  <si>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</si>
  <si>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</si>
  <si>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</si>
  <si>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</si>
  <si>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</si>
  <si>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</si>
  <si>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</si>
  <si>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</si>
  <si>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</si>
  <si>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</si>
  <si>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</si>
  <si>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</si>
  <si>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</si>
  <si>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</si>
  <si>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</si>
  <si>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</si>
  <si>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</si>
  <si>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</si>
  <si>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</si>
  <si>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</si>
  <si>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</si>
  <si>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</si>
  <si>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</si>
  <si>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</si>
  <si>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</si>
  <si>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</si>
  <si>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</si>
  <si>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</si>
  <si>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</si>
  <si>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</si>
  <si>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</si>
  <si>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</si>
  <si>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</si>
  <si>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</si>
  <si>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</si>
  <si>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</si>
  <si>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</si>
  <si>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</si>
  <si>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</si>
  <si>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</si>
  <si>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</si>
  <si>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</si>
  <si>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</si>
  <si>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</si>
  <si>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</si>
  <si>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</si>
  <si>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</si>
  <si>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</si>
  <si>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</si>
  <si>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</si>
  <si>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</si>
  <si>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</si>
  <si>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</si>
  <si>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</si>
  <si>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</si>
  <si>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</si>
  <si>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</si>
  <si>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</si>
  <si>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</si>
  <si>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</si>
  <si>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</si>
  <si>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</si>
  <si>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</si>
  <si>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</si>
  <si>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</si>
  <si>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</si>
  <si>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</si>
  <si>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</si>
  <si>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</si>
  <si>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</si>
  <si>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</si>
  <si>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</si>
  <si>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</si>
  <si>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</si>
  <si>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</si>
  <si>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</si>
  <si>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</si>
  <si>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</si>
  <si>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</si>
  <si>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</si>
  <si>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</si>
  <si>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</si>
  <si>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</si>
  <si>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</si>
  <si>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</si>
  <si>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</si>
  <si>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</si>
  <si>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</si>
  <si>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</si>
  <si>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</si>
  <si>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</si>
  <si>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</si>
  <si>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</si>
  <si>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</si>
  <si>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</si>
  <si>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</si>
  <si>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</si>
  <si>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</si>
  <si>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</si>
  <si>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</si>
  <si>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</si>
  <si>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</si>
  <si>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</si>
  <si>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</si>
  <si>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</si>
  <si>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</si>
  <si>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</si>
  <si>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</si>
  <si>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</si>
  <si>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</si>
  <si>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</si>
  <si>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</si>
  <si>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</si>
  <si>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</si>
  <si>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</si>
  <si>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</si>
  <si>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</si>
  <si>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</si>
  <si>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</si>
  <si>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</si>
  <si>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</si>
  <si>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</si>
  <si>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</si>
  <si>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</si>
  <si>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</si>
  <si>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</si>
  <si>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</si>
  <si>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</si>
  <si>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</si>
  <si>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</si>
  <si>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</si>
  <si>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</si>
  <si>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</si>
  <si>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</si>
  <si>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</si>
  <si>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</si>
  <si>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</si>
  <si>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</si>
  <si>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</si>
  <si>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</si>
  <si>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</si>
  <si>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</si>
  <si>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</si>
  <si>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</si>
  <si>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</si>
  <si>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</si>
  <si>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</si>
  <si>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</si>
  <si>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</si>
  <si>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</si>
  <si>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</si>
  <si>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</si>
  <si>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</si>
  <si>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</si>
  <si>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</si>
  <si>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</si>
  <si>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</si>
  <si>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</si>
  <si>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</si>
  <si>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</si>
  <si>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</si>
  <si>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</si>
  <si>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</si>
  <si>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</si>
  <si>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</si>
  <si>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</si>
  <si>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</si>
  <si>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</si>
  <si>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</si>
  <si>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</si>
  <si>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</si>
  <si>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</si>
  <si>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</si>
  <si>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</si>
  <si>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</si>
  <si>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</si>
  <si>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</si>
  <si>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</si>
  <si>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</si>
  <si>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</si>
  <si>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</si>
  <si>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</si>
  <si>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</si>
  <si>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</si>
  <si>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</si>
  <si>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</si>
  <si>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</si>
  <si>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</si>
  <si>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</si>
  <si>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</si>
  <si>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</si>
  <si>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</si>
  <si>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</si>
  <si>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</si>
  <si>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</si>
  <si>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</si>
  <si>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</si>
  <si>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</si>
  <si>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</si>
  <si>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</si>
  <si>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</si>
  <si>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</si>
  <si>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</si>
  <si>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</si>
  <si>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</si>
  <si>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</si>
  <si>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</si>
  <si>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</si>
  <si>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</si>
  <si>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</si>
  <si>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</si>
  <si>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</si>
  <si>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</si>
  <si>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</si>
  <si>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</si>
  <si>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</si>
  <si>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</si>
  <si>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</si>
  <si>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</si>
  <si>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</si>
  <si>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</si>
  <si>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</si>
  <si>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</si>
  <si>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</si>
  <si>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</si>
  <si>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</si>
  <si>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</si>
  <si>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</si>
  <si>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</si>
  <si>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</si>
  <si>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</si>
  <si>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</si>
  <si>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</si>
  <si>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</si>
  <si>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</si>
  <si>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</si>
  <si>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</si>
  <si>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</si>
  <si>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</si>
  <si>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</si>
  <si>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</si>
  <si>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</si>
  <si>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</si>
  <si>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</si>
  <si>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</si>
  <si>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</si>
  <si>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</si>
  <si>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</si>
  <si>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</si>
  <si>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</si>
  <si>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</si>
  <si>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</si>
  <si>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</si>
  <si>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</si>
  <si>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</si>
  <si>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</si>
  <si>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</si>
  <si>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</si>
  <si>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</si>
  <si>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</si>
  <si>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</si>
  <si>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</si>
  <si>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</si>
  <si>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</si>
  <si>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</si>
  <si>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</si>
  <si>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</si>
  <si>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</si>
  <si>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</si>
  <si>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</si>
  <si>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</si>
  <si>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</si>
  <si>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</si>
  <si>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</si>
  <si>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</si>
  <si>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</si>
  <si>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</si>
  <si>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</si>
  <si>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</si>
  <si>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</si>
  <si>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</si>
  <si>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</si>
  <si>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</si>
  <si>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</si>
  <si>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</si>
  <si>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</si>
  <si>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</si>
  <si>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</si>
  <si>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</si>
  <si>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</si>
  <si>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</si>
  <si>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</si>
  <si>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</si>
  <si>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</si>
  <si>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</si>
  <si>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</si>
  <si>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</si>
  <si>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</si>
  <si>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</si>
  <si>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</si>
  <si>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</si>
  <si>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</si>
  <si>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</si>
  <si>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</si>
  <si>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</si>
  <si>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</si>
  <si>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</si>
  <si>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</si>
  <si>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</si>
  <si>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</si>
  <si>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</si>
  <si>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</si>
  <si>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</si>
  <si>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</si>
  <si>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</si>
  <si>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</si>
  <si>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</si>
  <si>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</si>
  <si>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</si>
  <si>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</si>
  <si>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</si>
  <si>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</si>
  <si>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</si>
  <si>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</si>
  <si>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</si>
  <si>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</si>
  <si>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</si>
  <si>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</si>
  <si>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</si>
  <si>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</si>
  <si>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</si>
  <si>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</si>
  <si>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</si>
  <si>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</si>
  <si>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</si>
  <si>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</si>
  <si>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</si>
  <si>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</si>
  <si>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</si>
  <si>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</si>
  <si>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</si>
  <si>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</si>
  <si>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</si>
  <si>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</si>
  <si>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</si>
  <si>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</si>
  <si>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</si>
  <si>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</si>
  <si>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</si>
  <si>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</si>
  <si>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</si>
  <si>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</si>
  <si>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</si>
  <si>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</si>
  <si>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</si>
  <si>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</si>
  <si>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</si>
  <si>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</si>
  <si>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</si>
  <si>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</si>
  <si>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</si>
  <si>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</si>
  <si>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</si>
  <si>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</si>
  <si>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</si>
  <si>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</si>
  <si>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</si>
  <si>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</si>
  <si>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</si>
  <si>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</si>
  <si>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</si>
  <si>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</si>
  <si>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</si>
  <si>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</si>
  <si>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</si>
  <si>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</si>
  <si>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</si>
  <si>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</si>
  <si>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</si>
  <si>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</si>
  <si>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</si>
  <si>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</si>
  <si>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</si>
  <si>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</si>
  <si>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</si>
  <si>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</si>
  <si>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</si>
  <si>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</si>
  <si>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</si>
  <si>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</si>
  <si>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</si>
  <si>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</si>
  <si>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</si>
  <si>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</si>
  <si>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</si>
  <si>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</si>
  <si>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</si>
  <si>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</si>
  <si>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</si>
  <si>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</si>
  <si>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</si>
  <si>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</si>
  <si>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</si>
  <si>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</si>
  <si>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</si>
  <si>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</si>
  <si>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</si>
  <si>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</si>
  <si>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</si>
  <si>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</si>
  <si>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</si>
  <si>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</si>
  <si>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</si>
  <si>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</si>
  <si>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</si>
  <si>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</si>
  <si>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</si>
  <si>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</si>
  <si>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</si>
  <si>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</si>
  <si>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</si>
  <si>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</si>
  <si>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</si>
  <si>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</si>
  <si>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</si>
  <si>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</si>
  <si>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</si>
  <si>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</si>
  <si>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</si>
  <si>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</si>
  <si>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</si>
  <si>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</si>
  <si>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</si>
  <si>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</si>
  <si>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</si>
  <si>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</si>
  <si>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</si>
  <si>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</si>
  <si>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</si>
  <si>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</si>
  <si>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</si>
  <si>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</si>
  <si>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</si>
  <si>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</si>
  <si>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</si>
  <si>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</si>
  <si>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</si>
  <si>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</si>
  <si>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</si>
  <si>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</si>
  <si>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</si>
  <si>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</si>
  <si>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</si>
  <si>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</si>
  <si>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</si>
  <si>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</si>
  <si>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</si>
  <si>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</si>
  <si>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</si>
  <si>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</si>
  <si>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</si>
  <si>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</si>
  <si>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</si>
  <si>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</si>
  <si>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</si>
  <si>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</si>
  <si>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</si>
  <si>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</si>
  <si>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</si>
  <si>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</si>
  <si>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</si>
  <si>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</si>
  <si>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</si>
  <si>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</si>
  <si>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</si>
  <si>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</si>
  <si>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</si>
  <si>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</si>
  <si>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</si>
  <si>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</si>
  <si>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</si>
  <si>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</si>
  <si>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</si>
  <si>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</si>
  <si>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</si>
  <si>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</si>
  <si>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</si>
  <si>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</si>
  <si>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</si>
  <si>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</si>
  <si>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</si>
  <si>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</si>
  <si>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</si>
  <si>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</si>
  <si>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</si>
  <si>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</si>
  <si>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</si>
  <si>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</si>
  <si>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</si>
  <si>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</si>
  <si>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</si>
  <si>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</si>
  <si>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</si>
  <si>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</si>
  <si>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</si>
  <si>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</si>
  <si>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</si>
  <si>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</si>
  <si>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</si>
  <si>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</si>
  <si>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</si>
  <si>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</si>
  <si>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</si>
  <si>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</si>
  <si>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</si>
  <si>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</si>
  <si>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</si>
  <si>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</si>
  <si>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</si>
  <si>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</si>
  <si>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</si>
  <si>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</si>
  <si>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</si>
  <si>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</si>
  <si>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</si>
  <si>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</si>
  <si>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</si>
  <si>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</si>
  <si>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</si>
  <si>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</si>
  <si>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</si>
  <si>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</si>
  <si>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</si>
  <si>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</si>
  <si>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</si>
  <si>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</si>
  <si>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</si>
  <si>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</si>
  <si>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</si>
  <si>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</si>
  <si>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</si>
  <si>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</si>
  <si>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</si>
  <si>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</si>
  <si>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</si>
  <si>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</si>
  <si>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</si>
  <si>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</si>
  <si>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</si>
  <si>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</si>
  <si>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</si>
  <si>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</si>
  <si>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</si>
  <si>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</si>
  <si>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</si>
  <si>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</si>
  <si>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</si>
  <si>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</si>
  <si>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</si>
  <si>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</si>
  <si>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</si>
  <si>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</si>
  <si>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</si>
  <si>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</si>
  <si>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</si>
  <si>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</si>
  <si>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</si>
  <si>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</si>
  <si>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</si>
  <si>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</si>
  <si>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</si>
  <si>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</si>
  <si>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</si>
  <si>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</si>
  <si>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</si>
  <si>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</si>
  <si>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</si>
  <si>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</si>
  <si>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</si>
  <si>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</si>
  <si>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</si>
  <si>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</si>
  <si>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</si>
  <si>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</si>
  <si>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</si>
  <si>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</si>
  <si>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</si>
  <si>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</si>
  <si>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</si>
  <si>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</si>
  <si>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</si>
  <si>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</si>
  <si>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</si>
  <si>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</si>
  <si>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</si>
  <si>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</si>
  <si>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</si>
  <si>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</si>
  <si>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</si>
  <si>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</si>
  <si>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</si>
  <si>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</si>
  <si>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</si>
  <si>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</si>
  <si>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</si>
  <si>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</si>
  <si>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</si>
  <si>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</si>
  <si>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</si>
  <si>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</si>
  <si>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</si>
  <si>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</si>
  <si>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</si>
  <si>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</si>
  <si>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</si>
  <si>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</si>
  <si>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</si>
  <si>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</si>
  <si>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</si>
  <si>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</si>
  <si>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</si>
  <si>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</si>
  <si>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</si>
  <si>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</si>
  <si>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</si>
  <si>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</si>
  <si>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</si>
  <si>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</si>
  <si>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</si>
  <si>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</si>
  <si>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</si>
  <si>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</si>
  <si>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</si>
  <si>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</si>
  <si>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</si>
  <si>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</si>
  <si>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</si>
  <si>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</si>
  <si>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</si>
  <si>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</si>
  <si>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</si>
  <si>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</si>
  <si>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</si>
  <si>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</si>
  <si>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</si>
  <si>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</si>
  <si>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</si>
  <si>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</si>
  <si>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</si>
  <si>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</si>
  <si>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</si>
  <si>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</si>
  <si>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</si>
  <si>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</si>
  <si>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</si>
  <si>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</si>
  <si>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</si>
  <si>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</si>
  <si>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</si>
  <si>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</si>
  <si>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</si>
  <si>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</si>
  <si>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</si>
  <si>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</si>
  <si>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</si>
  <si>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</si>
  <si>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</si>
  <si>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</si>
  <si>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</si>
  <si>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</si>
  <si>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</si>
  <si>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</si>
  <si>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</si>
  <si>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</si>
  <si>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</si>
  <si>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</si>
  <si>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</si>
  <si>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</si>
  <si>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</si>
  <si>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</si>
  <si>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</si>
  <si>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</si>
  <si>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</si>
  <si>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</si>
  <si>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</si>
  <si>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</si>
  <si>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</si>
  <si>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</si>
  <si>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</si>
  <si>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</si>
  <si>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</si>
  <si>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</si>
  <si>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</si>
  <si>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</si>
  <si>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</si>
  <si>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</si>
  <si>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</si>
  <si>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</si>
  <si>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</si>
  <si>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</si>
  <si>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</si>
  <si>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</si>
  <si>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</si>
  <si>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</si>
  <si>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</si>
  <si>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</si>
  <si>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</si>
  <si>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</si>
  <si>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</si>
  <si>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</si>
  <si>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</si>
  <si>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</si>
  <si>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</si>
  <si>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</si>
  <si>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</si>
  <si>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</si>
  <si>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</si>
  <si>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</si>
  <si>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</si>
  <si>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</si>
  <si>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</si>
  <si>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</si>
  <si>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</si>
  <si>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</si>
  <si>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</si>
  <si>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</si>
  <si>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</si>
  <si>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</si>
  <si>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</si>
  <si>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</si>
  <si>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</si>
  <si>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</si>
  <si>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</si>
  <si>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</si>
  <si>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</si>
  <si>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</si>
  <si>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</si>
  <si>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</si>
  <si>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</si>
  <si>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</si>
  <si>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</si>
  <si>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</si>
  <si>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</si>
  <si>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</si>
  <si>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</si>
  <si>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</si>
  <si>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</si>
  <si>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</si>
  <si>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</si>
  <si>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</si>
  <si>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</si>
  <si>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</si>
  <si>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</si>
  <si>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</si>
  <si>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</si>
  <si>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</si>
  <si>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</si>
  <si>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</si>
  <si>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</si>
  <si>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</si>
  <si>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</si>
  <si>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</si>
  <si>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</si>
  <si>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</si>
  <si>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</si>
  <si>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</si>
  <si>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</si>
  <si>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</si>
  <si>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</si>
  <si>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</si>
  <si>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</si>
  <si>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</si>
  <si>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</si>
  <si>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</si>
  <si>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</si>
  <si>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</si>
  <si>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</si>
  <si>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</si>
  <si>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</si>
  <si>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</si>
  <si>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</si>
  <si>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</si>
  <si>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</si>
  <si>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</si>
  <si>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</si>
  <si>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</si>
  <si>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</si>
  <si>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</si>
  <si>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</si>
  <si>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</si>
  <si>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</si>
  <si>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</si>
  <si>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</si>
  <si>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</si>
  <si>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</si>
  <si>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</si>
  <si>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</si>
  <si>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</si>
  <si>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</si>
  <si>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</si>
  <si>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</si>
  <si>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</si>
  <si>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</si>
  <si>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</si>
  <si>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</si>
  <si>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</si>
  <si>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</si>
  <si>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</si>
  <si>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</si>
  <si>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</si>
  <si>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</si>
  <si>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</si>
  <si>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</si>
  <si>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</si>
  <si>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</si>
  <si>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</si>
  <si>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</si>
  <si>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</si>
  <si>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</si>
  <si>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</si>
  <si>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</si>
  <si>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</si>
  <si>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</si>
  <si>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</si>
  <si>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</si>
  <si>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</si>
  <si>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</si>
  <si>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</si>
  <si>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</si>
  <si>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</si>
  <si>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</si>
  <si>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</si>
  <si>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</si>
  <si>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</si>
  <si>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</si>
  <si>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</si>
  <si>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</si>
  <si>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</si>
  <si>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</si>
  <si>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</si>
  <si>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</si>
  <si>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</si>
  <si>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</si>
  <si>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</si>
  <si>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</si>
  <si>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</si>
  <si>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</si>
  <si>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</si>
  <si>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</si>
  <si>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</si>
  <si>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</si>
  <si>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</si>
  <si>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</si>
  <si>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</si>
  <si>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</si>
  <si>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>Liberado para expedição</t>
  </si>
  <si>
    <t>LIBERADO PARA EXPEDIÇÃO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</si>
  <si>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</si>
  <si>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</si>
  <si>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</si>
  <si>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</si>
  <si>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</si>
  <si>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</si>
  <si>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</si>
  <si>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</si>
  <si>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</si>
  <si>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</si>
  <si>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</si>
  <si>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</si>
  <si>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</si>
  <si>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</si>
  <si>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</si>
  <si>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</si>
  <si>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</si>
  <si>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</si>
  <si>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</si>
  <si>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</si>
  <si>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</si>
  <si>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</si>
  <si>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</si>
  <si>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</si>
  <si>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</si>
  <si>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</si>
  <si>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</si>
  <si>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</si>
  <si>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</si>
  <si>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</si>
  <si>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</si>
  <si>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</si>
  <si>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</si>
  <si>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</si>
  <si>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</si>
  <si>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</si>
  <si>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</si>
  <si>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</si>
  <si>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</si>
  <si>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</si>
  <si>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</si>
  <si>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</si>
  <si>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</si>
  <si>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</si>
  <si>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</si>
  <si>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</si>
  <si>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</si>
  <si>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</si>
  <si>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</si>
  <si>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</si>
  <si>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</si>
  <si>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</si>
  <si>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</si>
  <si>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</si>
  <si>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</si>
  <si>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</si>
  <si>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</si>
  <si>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</si>
  <si>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</si>
  <si>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</si>
  <si>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</si>
  <si>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</si>
  <si>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</si>
  <si>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</si>
  <si>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</si>
  <si>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</si>
  <si>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</si>
  <si>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</si>
  <si>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</si>
  <si>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</si>
  <si>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</si>
  <si>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</si>
  <si>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</si>
  <si>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</si>
  <si>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</si>
  <si>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</si>
  <si>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</si>
  <si>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</si>
  <si>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</si>
  <si>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</si>
  <si>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</si>
  <si>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</si>
  <si>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</si>
  <si>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</si>
  <si>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</si>
  <si>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</si>
  <si>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</si>
  <si>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</si>
  <si>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</si>
  <si>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</si>
  <si>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</si>
  <si>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</si>
  <si>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</si>
  <si>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</si>
  <si>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</si>
  <si>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</si>
  <si>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</si>
  <si>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</si>
  <si>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</si>
  <si>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</si>
  <si>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</si>
  <si>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</si>
  <si>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</si>
  <si>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</si>
  <si>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</si>
  <si>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</si>
  <si>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</si>
  <si>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</si>
  <si>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Em processo de compra de material Lista avançada / Aguardando desenhos</t>
  </si>
  <si>
    <t>AGUARDADNO MATERIA PRIMA</t>
  </si>
  <si>
    <t>Base para Roletes estão fabricadas/ Estamos aguardando Materia Prima dos roletes</t>
  </si>
  <si>
    <t>P.897</t>
  </si>
  <si>
    <t>NEW WAVE</t>
  </si>
  <si>
    <t xml:space="preserve">PENDENCIA DE OBRA 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</si>
  <si>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</si>
  <si>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</si>
  <si>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</si>
  <si>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</si>
  <si>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</si>
  <si>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</si>
  <si>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</si>
  <si>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</si>
  <si>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BASE P/ ROLO DE CARGA (BASE P/ ROLO DE CARGA) 73352-A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</si>
  <si>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</si>
  <si>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</si>
  <si>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</si>
  <si>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</si>
  <si>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</si>
  <si>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</si>
  <si>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</si>
  <si>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</si>
  <si>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</si>
  <si>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</si>
  <si>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</si>
  <si>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</si>
  <si>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</si>
  <si>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</si>
  <si>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</si>
  <si>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</si>
  <si>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</si>
  <si>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</si>
  <si>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</si>
  <si>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</si>
  <si>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</si>
  <si>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</si>
  <si>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</si>
  <si>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</si>
  <si>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</si>
  <si>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</si>
  <si>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</si>
  <si>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</si>
  <si>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</si>
  <si>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</si>
  <si>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</si>
  <si>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1 - 07/08/2026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</si>
  <si>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</si>
  <si>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</si>
  <si>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</si>
  <si>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</si>
  <si>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</si>
  <si>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</si>
  <si>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</si>
  <si>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</si>
  <si>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</si>
  <si>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</si>
  <si>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</si>
  <si>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2 - 07/08/2026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</si>
  <si>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</si>
  <si>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</si>
  <si>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</si>
  <si>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</si>
  <si>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</si>
  <si>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</si>
  <si>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</si>
  <si>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</si>
  <si>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</si>
  <si>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</si>
  <si>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</si>
  <si>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</si>
  <si>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</si>
  <si>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</si>
  <si>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</si>
  <si>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</si>
  <si>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</si>
  <si>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10 ROLOS</t>
  </si>
  <si>
    <t>P.203</t>
  </si>
  <si>
    <t>PONTE TRELIÇADA 1 _ 73243-A</t>
  </si>
  <si>
    <t>PONTE TRELIÇADA 2 (INTERMEDIÁRIA) _73244-A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</si>
</sst>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1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scheme val="minor"/>
    </font>
    <font>
      <sz val="11"/>
      <color theme="1"/>
      <name val="Calibri"/>
      <scheme val="minor"/>
    </font>
    <font>
      <b/>
      <sz val="14"/>
      <name val="Arial Narrow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4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43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12.782800000000002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97.556899999999999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7.9078999999999979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10.004800000000003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33.991700000000002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17.277200000000001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63.565199999999997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16.941300000000002</c:v>
                </c:pt>
                <c:pt idx="1">
                  <c:v>0</c:v>
                </c:pt>
                <c:pt idx="2">
                  <c:v>3.3136999999999999</c:v>
                </c:pt>
                <c:pt idx="3">
                  <c:v>12.960799999999999</c:v>
                </c:pt>
                <c:pt idx="4">
                  <c:v>11.876800000000001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77.262600000000006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7.8437999999999972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6.5799999999999415E-2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19.787699999999994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871" totalsRowShown="0" headerRowDxfId="142" tableBorderDxfId="141">
  <autoFilter ref="A1:AW871" xr:uid="{00000000-000C-0000-FFFF-FFFF00000000}">
    <filterColumn colId="10">
      <filters>
        <filter val="ESTRUTURA"/>
      </filters>
    </filterColumn>
    <filterColumn colId="11">
      <filters>
        <filter val="P-198"/>
      </filters>
    </filterColumn>
  </autoFilter>
  <tableColumns count="49">
    <tableColumn id="1" xr3:uid="{00000000-0010-0000-0000-000001000000}" name="DESENHO_x000a_MDE" dataDxfId="140"/>
    <tableColumn id="43" xr3:uid="{56981E1B-CD3E-434D-AB02-C5F83A6F3E43}" name="DESENHO_x000a_CLIENTE" dataDxfId="139"/>
    <tableColumn id="2" xr3:uid="{00000000-0010-0000-0000-000002000000}" name="QTE" dataDxfId="138"/>
    <tableColumn id="3" xr3:uid="{00000000-0010-0000-0000-000003000000}" name="DESCRIÇÃO" dataDxfId="137"/>
    <tableColumn id="41" xr3:uid="{00000000-0010-0000-0000-000029000000}" name="COD.MDE" dataDxfId="136"/>
    <tableColumn id="40" xr3:uid="{00000000-0010-0000-0000-000028000000}" name="REMESSA" dataDxfId="135"/>
    <tableColumn id="4" xr3:uid="{00000000-0010-0000-0000-000004000000}" name="PESO UNI" dataDxfId="134"/>
    <tableColumn id="5" xr3:uid="{00000000-0010-0000-0000-000005000000}" name="PESO TOTAL" dataDxfId="133"/>
    <tableColumn id="6" xr3:uid="{00000000-0010-0000-0000-000006000000}" name="Revisão" dataDxfId="132"/>
    <tableColumn id="7" xr3:uid="{00000000-0010-0000-0000-000007000000}" name="TAG" dataDxfId="131"/>
    <tableColumn id="38" xr3:uid="{00000000-0010-0000-0000-000026000000}" name="PRODUTO" dataDxfId="130"/>
    <tableColumn id="8" xr3:uid="{00000000-0010-0000-0000-000008000000}" name="PEDIDO" dataDxfId="129"/>
    <tableColumn id="9" xr3:uid="{00000000-0010-0000-0000-000009000000}" name="Engenharia" dataDxfId="128"/>
    <tableColumn id="10" xr3:uid="{00000000-0010-0000-0000-00000A000000}" name="FORNECEDOR" dataDxfId="127"/>
    <tableColumn id="11" xr3:uid="{00000000-0010-0000-0000-00000B000000}" name="QTDE/ Fabricação" dataDxfId="126"/>
    <tableColumn id="12" xr3:uid="{00000000-0010-0000-0000-00000C000000}" name="DATA/Fabricação" dataDxfId="125"/>
    <tableColumn id="13" xr3:uid="{00000000-0010-0000-0000-00000D000000}" name="SALDO PENDENTE/Fabricação" dataDxfId="124"/>
    <tableColumn id="14" xr3:uid="{00000000-0010-0000-0000-00000E000000}" name="EVOLUÇÃO PRETO / Fabricação_x000a_(kg)" dataDxfId="123"/>
    <tableColumn id="15" xr3:uid="{00000000-0010-0000-0000-00000F000000}" name="PRONTO ACABADO kg" dataDxfId="122">
      <calculatedColumnFormula>IFERROR(H2*AG2,"")</calculatedColumnFormula>
    </tableColumn>
    <tableColumn id="16" xr3:uid="{00000000-0010-0000-0000-000010000000}" name="Pendencia  / Fabricação_x000a_EM KG" dataDxfId="121"/>
    <tableColumn id="17" xr3:uid="{00000000-0010-0000-0000-000011000000}" name="QIANTIDADE EXPEDIDA" dataDxfId="120"/>
    <tableColumn id="18" xr3:uid="{00000000-0010-0000-0000-000012000000}" name="ROMANEIO " dataDxfId="119"/>
    <tableColumn id="19" xr3:uid="{00000000-0010-0000-0000-000013000000}" name="DATA EXPEDIÇÃO" dataDxfId="118"/>
    <tableColumn id="20" xr3:uid="{00000000-0010-0000-0000-000014000000}" name="Peso Expedido" dataDxfId="117"/>
    <tableColumn id="21" xr3:uid="{00000000-0010-0000-0000-000015000000}" name="QUANTIDADE PENDENTE/Expedição" dataDxfId="116"/>
    <tableColumn id="22" xr3:uid="{00000000-0010-0000-0000-000016000000}" name="PESO PENDENTE/Expedição" dataDxfId="115"/>
    <tableColumn id="23" xr3:uid="{00000000-0010-0000-0000-000017000000}" name="MATÉRIA PRIMA" dataDxfId="114"/>
    <tableColumn id="24" xr3:uid="{00000000-0010-0000-0000-000018000000}" name="RELATORIO" dataDxfId="113"/>
    <tableColumn id="25" xr3:uid="{00000000-0010-0000-0000-000019000000}" name="PREPARAÇÃO " dataDxfId="112"/>
    <tableColumn id="26" xr3:uid="{00000000-0010-0000-0000-00001A000000}" name="CALDEIRARIA" dataDxfId="111"/>
    <tableColumn id="27" xr3:uid="{00000000-0010-0000-0000-00001B000000}" name="SOLDA" dataDxfId="110"/>
    <tableColumn id="28" xr3:uid="{00000000-0010-0000-0000-00001C000000}" name="ACABAMENTO" dataDxfId="109"/>
    <tableColumn id="29" xr3:uid="{00000000-0010-0000-0000-00001D000000}" name="PRONTO ACABADO" dataDxfId="108"/>
    <tableColumn id="30" xr3:uid="{00000000-0010-0000-0000-00001E000000}" name="EXPEDIÇÃO " dataDxfId="107"/>
    <tableColumn id="31" xr3:uid="{00000000-0010-0000-0000-00001F000000}" name="FINALIZADO " dataDxfId="106"/>
    <tableColumn id="32" xr3:uid="{00000000-0010-0000-0000-000020000000}" name="Coluna1" dataDxfId="105"/>
    <tableColumn id="33" xr3:uid="{00000000-0010-0000-0000-000021000000}" name="Coluna2" dataDxfId="104"/>
    <tableColumn id="34" xr3:uid="{00000000-0010-0000-0000-000022000000}" name="Coluna3" dataDxfId="103"/>
    <tableColumn id="35" xr3:uid="{00000000-0010-0000-0000-000023000000}" name="Coluna4" dataDxfId="102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01"/>
    <tableColumn id="42" xr3:uid="{44772FB5-94B9-4683-9D51-42A525419432}" name="Colunas7" dataDxfId="100"/>
    <tableColumn id="44" xr3:uid="{7DBCA215-A831-41EC-8668-4217050D7CEF}" name="Coluna5" dataDxfId="99"/>
    <tableColumn id="52" xr3:uid="{0F1E3E30-ACD2-41A7-9FEB-CFC4141C720F}" name="PRONTO NO PRETO" dataDxfId="98"/>
    <tableColumn id="53" xr3:uid="{7B42991E-C57D-449B-9CA4-FF51ED3B7EE1}" name="PRONTO ACABADO3" dataDxfId="97"/>
    <tableColumn id="54" xr3:uid="{B185D57F-2904-41B4-A913-414AD30553DC}" name="PESO EXPEDIDO2" dataDxfId="96"/>
    <tableColumn id="55" xr3:uid="{216FC5C0-1E81-4ACF-B1FE-D38AAA1F26E6}" name="PRONTO ACABADO2" dataDxfId="95"/>
    <tableColumn id="57" xr3:uid="{58807113-78D0-4422-B88A-8E66792B9681}" name="Coluna7" dataDxfId="94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2" totalsRowShown="0" headerRowDxfId="93" headerRowBorderDxfId="92" tableBorderDxfId="91" totalsRowBorderDxfId="90">
  <autoFilter ref="A1:F22" xr:uid="{9E04BDB3-7991-400D-A075-6EF4E207F167}"/>
  <tableColumns count="6">
    <tableColumn id="1" xr3:uid="{0986BF72-EBA9-4CAA-A22C-20021A2F0193}" name="PEDIDO" dataDxfId="89"/>
    <tableColumn id="2" xr3:uid="{1E29E510-3230-4D4A-9101-BF1603DA1959}" name="EQUIPAMENTO" dataDxfId="88"/>
    <tableColumn id="3" xr3:uid="{27EA8246-98FE-4DF0-AB4F-2563340E3A33}" name="DATA PREVISTA " dataDxfId="87"/>
    <tableColumn id="4" xr3:uid="{178705E0-20E1-4EA8-BD6A-04EDA09B960F}" name="DATA REPROGRAMADA" dataDxfId="86"/>
    <tableColumn id="5" xr3:uid="{D69E8AE6-FCF7-4D70-8443-DFF41092DBA5}" name="Observação" dataDxfId="85"/>
    <tableColumn id="6" xr3:uid="{7ED96CF2-6F65-4A02-A0B9-FFDE23E894EB}" name="CLIENTE" dataDxfId="84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83">
  <autoFilter ref="D3:R395" xr:uid="{D635AFD0-01A4-4F4C-B4BB-2C0A84AFA373}"/>
  <tableColumns count="15">
    <tableColumn id="1" xr3:uid="{71019319-E348-41C4-90A8-BD800AFA385A}" name="TAG" dataDxfId="82"/>
    <tableColumn id="2" xr3:uid="{6205B1F5-4B96-401E-A8F0-D0B582A87E91}" name="PEDIDO" dataDxfId="81">
      <calculatedColumnFormula>VLOOKUP(Tabela2[[#This Row],[TAG]],MICRO!J:L,3,0)</calculatedColumnFormula>
    </tableColumn>
    <tableColumn id="3" xr3:uid="{EBC41BBB-459B-4DB5-8152-2C7C2C7ADFAA}" name="FORNECEDOR" dataDxfId="80" dataCellStyle="Normal 2"/>
    <tableColumn id="4" xr3:uid="{EE719B42-3B82-4AC6-AB4D-66A5AF76AAFC}" name="RECEBIDO ENGENHARIA (kg)" dataDxfId="79">
      <calculatedColumnFormula>SUMIF(MICRO!AP:AP,O:O,MICRO!H:H)</calculatedColumnFormula>
    </tableColumn>
    <tableColumn id="5" xr3:uid="{F8EF71F0-2467-40E6-8596-0C50AE8B2E56}" name="EM AVANÇO NO PRETO (kg)" dataDxfId="78">
      <calculatedColumnFormula>SUMIF(MICRO!AP:AP,O:O,MICRO!R:R)</calculatedColumnFormula>
    </tableColumn>
    <tableColumn id="6" xr3:uid="{70FA8036-1726-409E-865E-BBD68DD0CF2B}" name="Pendencia  / Fabricação_x000a_EM KG _x000a_(Kg)" dataDxfId="77">
      <calculatedColumnFormula>SUMIF(MICRO!AP:AP,O:O,MICRO!T:T)</calculatedColumnFormula>
    </tableColumn>
    <tableColumn id="7" xr3:uid="{2EDBF5C8-B6A0-4234-9B37-F4D245CBE335}" name="EVOLUÇÃO %" dataDxfId="76">
      <calculatedColumnFormula>IF(G4 = 0,0,H4/G4)</calculatedColumnFormula>
    </tableColumn>
    <tableColumn id="8" xr3:uid="{981D372E-5C81-43AA-82CF-C526D0CD7BC5}" name="PESO EXPEDIDO" dataDxfId="75">
      <calculatedColumnFormula>SUMIF(MICRO!AP:AP,O:O,MICRO!X:X)</calculatedColumnFormula>
    </tableColumn>
    <tableColumn id="9" xr3:uid="{9581E1B5-4976-4A66-B050-5EDFF64499FF}" name="% EXPEDIDO" dataDxfId="74">
      <calculatedColumnFormula>IF(G4&lt;&gt;0,SUM(K4/G4*1),"0%")</calculatedColumnFormula>
    </tableColumn>
    <tableColumn id="10" xr3:uid="{5A0DEF47-FBD5-46D6-A019-DB5E3CF46E5B}" name="PESO PENDENTE4" dataDxfId="73">
      <calculatedColumnFormula>G4-K4</calculatedColumnFormula>
    </tableColumn>
    <tableColumn id="11" xr3:uid="{AD13F8E0-0652-4176-B922-E74BEC175E7A}" name="Coluna1" dataDxfId="72">
      <calculatedColumnFormula>E4&amp;F4</calculatedColumnFormula>
    </tableColumn>
    <tableColumn id="12" xr3:uid="{9AB5E2D8-1AD6-4B63-A9ED-66372E94A48F}" name="Coluna2" dataDxfId="71">
      <calculatedColumnFormula>D4&amp;E4&amp;F4</calculatedColumnFormula>
    </tableColumn>
    <tableColumn id="13" xr3:uid="{ED15B1A8-5672-4E4D-9246-3BC797332C64}" name="PRONTO NO PRETO" dataDxfId="70">
      <calculatedColumnFormula>SUMIF(MICRO!AP:AP,O4,MICRO!AS:AS)</calculatedColumnFormula>
    </tableColumn>
    <tableColumn id="14" xr3:uid="{986427E9-0E8F-46D1-987F-01DBA908B397}" name="PRONTO ACABADO" dataDxfId="69">
      <calculatedColumnFormula>SUMIF(MICRO!AP:AP,O4,MICRO!AT:AT)</calculatedColumnFormula>
    </tableColumn>
    <tableColumn id="15" xr3:uid="{4361E9F4-014E-4677-9D4A-8DBAE707BA31}" name="PESO EXPEDIDO2" dataDxfId="68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32" t="s">
        <v>326</v>
      </c>
      <c r="B1" s="234" t="s">
        <v>891</v>
      </c>
      <c r="C1" s="235"/>
      <c r="D1" s="235"/>
      <c r="E1" s="235"/>
      <c r="F1" s="235"/>
      <c r="G1" s="236"/>
      <c r="H1" s="229" t="s">
        <v>331</v>
      </c>
      <c r="I1" s="230"/>
      <c r="J1" s="230"/>
      <c r="K1" s="231"/>
    </row>
    <row r="2" spans="1:11" x14ac:dyDescent="0.25">
      <c r="A2" s="233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26"/>
      <c r="B5" s="227"/>
      <c r="C5" s="227"/>
      <c r="D5" s="227"/>
      <c r="E5" s="227"/>
      <c r="F5" s="227"/>
      <c r="G5" s="227"/>
      <c r="H5" s="227"/>
      <c r="I5" s="227"/>
      <c r="J5" s="227"/>
      <c r="K5" s="228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871"/>
  <sheetViews>
    <sheetView showGridLines="0" tabSelected="1" topLeftCell="C1" zoomScale="77" zoomScaleNormal="77" workbookViewId="0">
      <pane ySplit="1" topLeftCell="A50" activePane="bottomLeft" state="frozen"/>
      <selection pane="bottomLeft" activeCell="J83" sqref="J83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28.8</v>
      </c>
      <c r="T53" s="19">
        <f t="shared" si="16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7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0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2"/>
        <v>28.8</v>
      </c>
      <c r="AV53" s="37">
        <f t="shared" si="13"/>
        <v>28.8</v>
      </c>
      <c r="AW53" s="37"/>
    </row>
    <row r="54" spans="1:49" ht="15.75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520</v>
      </c>
      <c r="T54" s="19">
        <f t="shared" si="16"/>
        <v>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520</v>
      </c>
      <c r="AU54" s="37">
        <f t="shared" si="12"/>
        <v>0</v>
      </c>
      <c r="AV54" s="37">
        <f t="shared" si="13"/>
        <v>520</v>
      </c>
      <c r="AW54" s="37"/>
    </row>
    <row r="55" spans="1:49" ht="15.75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16.8</v>
      </c>
      <c r="S55" s="18">
        <f t="shared" si="15"/>
        <v>16.8</v>
      </c>
      <c r="T55" s="19">
        <f t="shared" si="16"/>
        <v>0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16.8</v>
      </c>
      <c r="AU55" s="37">
        <f t="shared" si="12"/>
        <v>0</v>
      </c>
      <c r="AV55" s="37">
        <f t="shared" si="13"/>
        <v>16.8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7"/>
        <v>8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122.99999999999999</v>
      </c>
      <c r="S80" s="18">
        <f t="shared" ref="S80:S117" si="20">IFERROR(H80*AG80,"")</f>
        <v>122.99999999999999</v>
      </c>
      <c r="T80" s="19">
        <f t="shared" ref="T80:T114" si="21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6" si="22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2"/>
        <v>122.99999999999999</v>
      </c>
      <c r="AV80" s="37">
        <f t="shared" si="13"/>
        <v>122.99999999999999</v>
      </c>
      <c r="AW80" s="37"/>
    </row>
    <row r="81" spans="1:49" ht="15.75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2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10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2"/>
        <v>396.3</v>
      </c>
      <c r="AV82" s="37">
        <f t="shared" si="13"/>
        <v>396.3</v>
      </c>
      <c r="AW82" s="37"/>
    </row>
    <row r="83" spans="1:49" ht="15.75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2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10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2"/>
        <v>290.60000000000002</v>
      </c>
      <c r="AV83" s="37">
        <f t="shared" si="13"/>
        <v>290.60000000000002</v>
      </c>
      <c r="AW83" s="37"/>
    </row>
    <row r="84" spans="1:49" ht="15.75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2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10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2"/>
        <v>290.60000000000002</v>
      </c>
      <c r="AV84" s="37">
        <f t="shared" si="13"/>
        <v>290.60000000000002</v>
      </c>
      <c r="AW84" s="37"/>
    </row>
    <row r="85" spans="1:49" ht="15.75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2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10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2"/>
        <v>295</v>
      </c>
      <c r="AV85" s="37">
        <f t="shared" si="13"/>
        <v>295</v>
      </c>
      <c r="AW85" s="37"/>
    </row>
    <row r="86" spans="1:49" ht="15.75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144</v>
      </c>
      <c r="S86" s="18">
        <f t="shared" si="20"/>
        <v>144</v>
      </c>
      <c r="T86" s="19">
        <f t="shared" si="21"/>
        <v>0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17">
        <v>1</v>
      </c>
      <c r="AE86" s="17">
        <v>1</v>
      </c>
      <c r="AF86" s="17">
        <v>1</v>
      </c>
      <c r="AG86" s="17">
        <v>1</v>
      </c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144</v>
      </c>
      <c r="AU86" s="37">
        <f t="shared" si="12"/>
        <v>0</v>
      </c>
      <c r="AV86" s="37">
        <f t="shared" si="13"/>
        <v>144</v>
      </c>
      <c r="AW86" s="37"/>
    </row>
    <row r="87" spans="1:49" ht="15.75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2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10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2"/>
        <v>29.6</v>
      </c>
      <c r="AV87" s="37">
        <f t="shared" si="13"/>
        <v>29.6</v>
      </c>
      <c r="AW87" s="37"/>
    </row>
    <row r="88" spans="1:49" ht="15.75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2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10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2"/>
        <v>252</v>
      </c>
      <c r="AV88" s="37">
        <f t="shared" si="13"/>
        <v>252</v>
      </c>
      <c r="AW88" s="37"/>
    </row>
    <row r="89" spans="1:49" ht="15.75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154.6</v>
      </c>
      <c r="S89" s="18">
        <f t="shared" si="20"/>
        <v>154.6</v>
      </c>
      <c r="T89" s="19">
        <f t="shared" si="21"/>
        <v>0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154.6</v>
      </c>
      <c r="AU89" s="37">
        <f t="shared" si="12"/>
        <v>0</v>
      </c>
      <c r="AV89" s="37">
        <f t="shared" si="13"/>
        <v>154.6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2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10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2"/>
        <v>291.2</v>
      </c>
      <c r="AV91" s="37">
        <f t="shared" si="13"/>
        <v>291.2</v>
      </c>
      <c r="AW91" s="37"/>
    </row>
    <row r="92" spans="1:49" ht="15.75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470.01600000000008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>
        <v>0.8</v>
      </c>
      <c r="AE92" s="33"/>
      <c r="AF92" s="33"/>
      <c r="AG92" s="33"/>
      <c r="AH92" s="33"/>
      <c r="AI92" s="33" t="str">
        <f t="shared" ref="AI92:AI154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78.336000000000013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>
        <v>0.8</v>
      </c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2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3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2"/>
        <v>26.3</v>
      </c>
      <c r="AV97" s="37">
        <f t="shared" si="13"/>
        <v>26.3</v>
      </c>
      <c r="AW97" s="37"/>
    </row>
    <row r="98" spans="1:49" ht="15.75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4">IF(AH101="",0,IF(ISTEXT(AH101),H101*VALUE(SUBSTITUTE(AH101,"%",""))/100,H101*AH101))</f>
        <v>10.8</v>
      </c>
      <c r="AV101" s="37">
        <f t="shared" ref="AV101:AV163" si="25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97.199999999999989</v>
      </c>
      <c r="S115" s="18">
        <f t="shared" si="20"/>
        <v>97.199999999999989</v>
      </c>
      <c r="T115" s="19">
        <f t="shared" ref="T115:T148" si="27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4"/>
        <v>0</v>
      </c>
      <c r="AV115" s="37">
        <f t="shared" si="25"/>
        <v>97.199999999999989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2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2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33</v>
      </c>
      <c r="S128" s="18">
        <f t="shared" si="29"/>
        <v>33</v>
      </c>
      <c r="T128" s="19">
        <f t="shared" si="27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4"/>
        <v>0</v>
      </c>
      <c r="AV128" s="37">
        <f t="shared" si="25"/>
        <v>33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4868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453.9</v>
      </c>
      <c r="S129" s="18">
        <f t="shared" si="29"/>
        <v>453.9</v>
      </c>
      <c r="T129" s="19">
        <f t="shared" si="27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28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453.9</v>
      </c>
      <c r="AV129" s="37">
        <f t="shared" si="25"/>
        <v>453.9</v>
      </c>
      <c r="AW129" s="37"/>
    </row>
    <row r="130" spans="1:49" ht="15.75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4868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22.200000000000003</v>
      </c>
      <c r="S130" s="18">
        <f t="shared" si="29"/>
        <v>22.200000000000003</v>
      </c>
      <c r="T130" s="19">
        <f t="shared" si="27"/>
        <v>0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22.200000000000003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22.200000000000003</v>
      </c>
      <c r="AU130" s="37">
        <f t="shared" si="24"/>
        <v>0</v>
      </c>
      <c r="AV130" s="37">
        <f t="shared" si="25"/>
        <v>22.200000000000003</v>
      </c>
      <c r="AW130" s="37"/>
    </row>
    <row r="131" spans="1:49" ht="15.75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4868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470.6</v>
      </c>
      <c r="S131" s="18">
        <f t="shared" si="29"/>
        <v>470.6</v>
      </c>
      <c r="T131" s="19">
        <f t="shared" si="27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28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23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470.6</v>
      </c>
      <c r="AV131" s="37">
        <f t="shared" si="25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316.8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324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>IF(Z134&lt;=0,"ok","")</f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2" si="31">IFERROR(H149*((AA149*0.25)+(AC149*0.25)+(AD149*0.225)+(AE149*0.225)+(AF149*0.05)),"")</f>
        <v>0</v>
      </c>
      <c r="S149" s="18">
        <f t="shared" si="29"/>
        <v>0</v>
      </c>
      <c r="T149" s="19">
        <f t="shared" ref="T149:T152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240.4</v>
      </c>
      <c r="S151" s="18">
        <f t="shared" si="29"/>
        <v>240.4</v>
      </c>
      <c r="T151" s="19">
        <f t="shared" si="32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28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23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240.4</v>
      </c>
      <c r="AV151" s="37">
        <f t="shared" si="25"/>
        <v>240.4</v>
      </c>
      <c r="AW151" s="37"/>
    </row>
    <row r="152" spans="1:49" ht="15.75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4871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1"/>
        <v>271.44</v>
      </c>
      <c r="S152" s="18">
        <f t="shared" si="29"/>
        <v>0</v>
      </c>
      <c r="T152" s="19">
        <f t="shared" si="32"/>
        <v>-374.4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-1</v>
      </c>
      <c r="Z152" s="20">
        <f>Tabela1[[#This Row],[PESO TOTAL]]-Tabela1[[#This Row],[Peso Expedido]]</f>
        <v>374.4</v>
      </c>
      <c r="AA152" s="17">
        <v>1</v>
      </c>
      <c r="AB152" s="33"/>
      <c r="AC152" s="33">
        <v>1</v>
      </c>
      <c r="AD152" s="33">
        <v>1</v>
      </c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33">IFERROR(H153*((AA153*0.25)+(AC153*0.25)+(AD153*0.225)+(AE153*0.225)+(AF153*0.05)),"")</f>
        <v>1360</v>
      </c>
      <c r="S153" s="18">
        <f t="shared" ref="S153:S180" si="34">IFERROR(H153*AG153,"")</f>
        <v>1360</v>
      </c>
      <c r="T153" s="19">
        <f t="shared" ref="T153:T216" si="35">IFERROR(S153-H153,"")</f>
        <v>0</v>
      </c>
      <c r="U153" s="206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36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2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33"/>
        <v>1360</v>
      </c>
      <c r="S154" s="18">
        <f t="shared" si="34"/>
        <v>1360</v>
      </c>
      <c r="T154" s="19">
        <f t="shared" si="35"/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3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3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4"/>
        <v>1360</v>
      </c>
      <c r="AV154" s="37">
        <f t="shared" si="25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1335.1</v>
      </c>
      <c r="S155" s="18">
        <f t="shared" si="34"/>
        <v>1335.1</v>
      </c>
      <c r="T155" s="19">
        <f t="shared" si="35"/>
        <v>0</v>
      </c>
      <c r="U155" s="206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37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1335.1</v>
      </c>
      <c r="AV155" s="37">
        <f t="shared" si="25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37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33"/>
        <v>25.2</v>
      </c>
      <c r="S157" s="18">
        <f t="shared" si="34"/>
        <v>25.2</v>
      </c>
      <c r="T157" s="19">
        <f t="shared" si="35"/>
        <v>0</v>
      </c>
      <c r="U157" s="206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25.2</v>
      </c>
      <c r="AV157" s="37">
        <f t="shared" si="25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33"/>
        <v>50.4</v>
      </c>
      <c r="S158" s="18">
        <f t="shared" si="34"/>
        <v>50.4</v>
      </c>
      <c r="T158" s="19">
        <f t="shared" si="35"/>
        <v>0</v>
      </c>
      <c r="U158" s="206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50.4</v>
      </c>
      <c r="AV158" s="37">
        <f t="shared" si="25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228.4</v>
      </c>
      <c r="S159" s="18">
        <f t="shared" si="34"/>
        <v>228.4</v>
      </c>
      <c r="T159" s="19">
        <f t="shared" si="35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228.4</v>
      </c>
      <c r="AV159" s="37">
        <f t="shared" si="25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33"/>
        <v>19.200000000000003</v>
      </c>
      <c r="S160" s="18">
        <f t="shared" si="34"/>
        <v>19.200000000000003</v>
      </c>
      <c r="T160" s="19">
        <f t="shared" si="35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36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19.200000000000003</v>
      </c>
      <c r="AV160" s="37">
        <f t="shared" si="25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33"/>
        <v>128.80000000000001</v>
      </c>
      <c r="S161" s="18">
        <f t="shared" si="34"/>
        <v>128.80000000000001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4"/>
        <v>128.80000000000001</v>
      </c>
      <c r="AV161" s="37">
        <f t="shared" si="25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33"/>
        <v>25.2</v>
      </c>
      <c r="S162" s="18">
        <f t="shared" si="34"/>
        <v>25.2</v>
      </c>
      <c r="T162" s="19">
        <f t="shared" si="35"/>
        <v>0</v>
      </c>
      <c r="U162" s="206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36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4"/>
        <v>25.2</v>
      </c>
      <c r="AV162" s="37">
        <f t="shared" si="25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33"/>
        <v>50.4</v>
      </c>
      <c r="S163" s="18">
        <f t="shared" si="34"/>
        <v>50.4</v>
      </c>
      <c r="T163" s="19">
        <f t="shared" si="35"/>
        <v>0</v>
      </c>
      <c r="U163" s="206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50.4</v>
      </c>
      <c r="AV163" s="37">
        <f t="shared" si="25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228.4</v>
      </c>
      <c r="S164" s="18">
        <f t="shared" si="34"/>
        <v>228.4</v>
      </c>
      <c r="T164" s="19">
        <f t="shared" si="35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38">IF(AH164="",0,IF(ISTEXT(AH164),H164*VALUE(SUBSTITUTE(AH164,"%",""))/100,H164*AH164))</f>
        <v>228.4</v>
      </c>
      <c r="AV164" s="37">
        <f t="shared" ref="AV164:AV227" si="39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33"/>
        <v>128.80000000000001</v>
      </c>
      <c r="S165" s="18">
        <f t="shared" si="34"/>
        <v>128.80000000000001</v>
      </c>
      <c r="T165" s="19">
        <f t="shared" si="35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36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38"/>
        <v>128.80000000000001</v>
      </c>
      <c r="AV165" s="37">
        <f t="shared" si="39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33"/>
        <v>19.200000000000003</v>
      </c>
      <c r="S166" s="18">
        <f t="shared" si="34"/>
        <v>19.200000000000003</v>
      </c>
      <c r="T166" s="19">
        <f t="shared" si="35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38"/>
        <v>19.200000000000003</v>
      </c>
      <c r="AV166" s="37">
        <f t="shared" si="39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33"/>
        <v>1137.2</v>
      </c>
      <c r="S167" s="18">
        <f t="shared" si="34"/>
        <v>1137.2</v>
      </c>
      <c r="T167" s="19">
        <f t="shared" si="35"/>
        <v>0</v>
      </c>
      <c r="U167" s="206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36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37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38"/>
        <v>1137.2</v>
      </c>
      <c r="AV167" s="37">
        <f t="shared" si="39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142.19999999999999</v>
      </c>
      <c r="S168" s="18">
        <f t="shared" si="34"/>
        <v>142.19999999999999</v>
      </c>
      <c r="T168" s="19">
        <f t="shared" si="35"/>
        <v>0</v>
      </c>
      <c r="U168" s="206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142.19999999999999</v>
      </c>
      <c r="AV168" s="37">
        <f t="shared" si="39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295.39999999999998</v>
      </c>
      <c r="S169" s="18">
        <f t="shared" si="34"/>
        <v>295.39999999999998</v>
      </c>
      <c r="T169" s="19">
        <f t="shared" si="35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295.39999999999998</v>
      </c>
      <c r="AV169" s="37">
        <f t="shared" si="39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1137.2</v>
      </c>
      <c r="S170" s="18">
        <f t="shared" si="34"/>
        <v>1137.2</v>
      </c>
      <c r="T170" s="19">
        <f t="shared" si="35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1137.2</v>
      </c>
      <c r="AV170" s="37">
        <f t="shared" si="39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142.19999999999999</v>
      </c>
      <c r="S171" s="18">
        <f t="shared" si="34"/>
        <v>142.19999999999999</v>
      </c>
      <c r="T171" s="19">
        <f t="shared" si="35"/>
        <v>0</v>
      </c>
      <c r="U171" s="206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142.19999999999999</v>
      </c>
      <c r="AV171" s="37">
        <f t="shared" si="39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295.39999999999998</v>
      </c>
      <c r="S172" s="18">
        <f t="shared" si="34"/>
        <v>295.39999999999998</v>
      </c>
      <c r="T172" s="19">
        <f t="shared" si="35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295.39999999999998</v>
      </c>
      <c r="AV172" s="37">
        <f t="shared" si="39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950.5</v>
      </c>
      <c r="S173" s="18">
        <f t="shared" si="34"/>
        <v>950.5</v>
      </c>
      <c r="T173" s="19">
        <f t="shared" si="35"/>
        <v>0</v>
      </c>
      <c r="U173" s="206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950.5</v>
      </c>
      <c r="AV173" s="37">
        <f t="shared" si="39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675.7</v>
      </c>
      <c r="S175" s="18">
        <f t="shared" si="34"/>
        <v>675.7</v>
      </c>
      <c r="T175" s="19">
        <f t="shared" si="35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675.7</v>
      </c>
      <c r="AV175" s="37">
        <f t="shared" si="39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33"/>
        <v>1.04</v>
      </c>
      <c r="S177" s="18">
        <f t="shared" si="34"/>
        <v>1.04</v>
      </c>
      <c r="T177" s="19">
        <f t="shared" si="35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1.04</v>
      </c>
      <c r="AV177" s="37">
        <f t="shared" si="39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1.32</v>
      </c>
      <c r="S178" s="18">
        <f t="shared" si="34"/>
        <v>1.32</v>
      </c>
      <c r="T178" s="19">
        <f t="shared" si="35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36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37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1.32</v>
      </c>
      <c r="AV178" s="37">
        <f t="shared" si="39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33"/>
        <v>2.04</v>
      </c>
      <c r="S179" s="18">
        <f t="shared" si="34"/>
        <v>2.04</v>
      </c>
      <c r="T179" s="19">
        <f t="shared" si="35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36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37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2.04</v>
      </c>
      <c r="AV179" s="37">
        <f t="shared" si="39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33"/>
        <v>0.4</v>
      </c>
      <c r="S180" s="18">
        <f t="shared" si="34"/>
        <v>0.4</v>
      </c>
      <c r="T180" s="19">
        <f t="shared" si="35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0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37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0.4</v>
      </c>
      <c r="AV180" s="37">
        <f t="shared" si="39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2.56</v>
      </c>
      <c r="S181" s="18">
        <f t="shared" ref="S181:S244" si="41">IFERROR(H181*AG181,"")</f>
        <v>2.56</v>
      </c>
      <c r="T181" s="19">
        <f t="shared" si="35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0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37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2.56</v>
      </c>
      <c r="AV181" s="37">
        <f t="shared" si="39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3.12</v>
      </c>
      <c r="S182" s="18">
        <f t="shared" si="41"/>
        <v>3.12</v>
      </c>
      <c r="T182" s="19">
        <f t="shared" si="35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0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37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3.12</v>
      </c>
      <c r="AV182" s="37">
        <f t="shared" si="39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33"/>
        <v>1.06</v>
      </c>
      <c r="S183" s="18">
        <f t="shared" si="41"/>
        <v>1.06</v>
      </c>
      <c r="T183" s="19">
        <f t="shared" si="35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-2</v>
      </c>
      <c r="Z183" s="20">
        <f>Tabela1[[#This Row],[PESO TOTAL]]-Tabela1[[#This Row],[Peso Expedido]]</f>
        <v>1.06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1.06</v>
      </c>
      <c r="AU183" s="37">
        <f t="shared" si="38"/>
        <v>0</v>
      </c>
      <c r="AV183" s="37">
        <f t="shared" si="39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1.48</v>
      </c>
      <c r="S184" s="18">
        <f t="shared" si="41"/>
        <v>1.48</v>
      </c>
      <c r="T184" s="19">
        <f t="shared" si="35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1.48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1.48</v>
      </c>
      <c r="AU184" s="37">
        <f t="shared" si="38"/>
        <v>0</v>
      </c>
      <c r="AV184" s="37">
        <f t="shared" si="39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1.02</v>
      </c>
      <c r="S185" s="18">
        <f t="shared" si="41"/>
        <v>1.02</v>
      </c>
      <c r="T185" s="19">
        <f t="shared" si="35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1.02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1.02</v>
      </c>
      <c r="AU185" s="37">
        <f t="shared" si="38"/>
        <v>0</v>
      </c>
      <c r="AV185" s="37">
        <f t="shared" si="39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33"/>
        <v>0.30000000000000004</v>
      </c>
      <c r="S186" s="18">
        <f t="shared" si="41"/>
        <v>0.30000000000000004</v>
      </c>
      <c r="T186" s="19">
        <f t="shared" si="35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-6</v>
      </c>
      <c r="Z186" s="20">
        <f>Tabela1[[#This Row],[PESO TOTAL]]-Tabela1[[#This Row],[Peso Expedido]]</f>
        <v>0.30000000000000004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0.30000000000000004</v>
      </c>
      <c r="AU186" s="37">
        <f t="shared" si="38"/>
        <v>0</v>
      </c>
      <c r="AV186" s="37">
        <f t="shared" si="39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33"/>
        <v>323.33999999999997</v>
      </c>
      <c r="S187" s="18">
        <f t="shared" si="41"/>
        <v>323.33999999999997</v>
      </c>
      <c r="T187" s="19">
        <f t="shared" si="35"/>
        <v>0</v>
      </c>
      <c r="U187" s="206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0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37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323.33999999999997</v>
      </c>
      <c r="AV187" s="37">
        <f t="shared" si="39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33"/>
        <v>189.44</v>
      </c>
      <c r="S189" s="18">
        <f t="shared" si="41"/>
        <v>189.44</v>
      </c>
      <c r="T189" s="19">
        <f t="shared" si="35"/>
        <v>0</v>
      </c>
      <c r="U189" s="206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189.44</v>
      </c>
      <c r="AV189" s="37">
        <f t="shared" si="39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33"/>
        <v>51.88</v>
      </c>
      <c r="S190" s="18">
        <f t="shared" si="41"/>
        <v>51.88</v>
      </c>
      <c r="T190" s="19">
        <f t="shared" si="35"/>
        <v>0</v>
      </c>
      <c r="U190" s="206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51.88</v>
      </c>
      <c r="AV190" s="37">
        <f t="shared" si="39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33"/>
        <v>133.64000000000001</v>
      </c>
      <c r="S191" s="18">
        <f t="shared" si="41"/>
        <v>133.64000000000001</v>
      </c>
      <c r="T191" s="19">
        <f t="shared" si="35"/>
        <v>0</v>
      </c>
      <c r="U191" s="206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133.64000000000001</v>
      </c>
      <c r="AV191" s="37">
        <f t="shared" si="39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33"/>
        <v>51.88</v>
      </c>
      <c r="S192" s="18">
        <f t="shared" si="41"/>
        <v>51.88</v>
      </c>
      <c r="T192" s="19">
        <f t="shared" si="35"/>
        <v>0</v>
      </c>
      <c r="U192" s="206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51.88</v>
      </c>
      <c r="AV192" s="37">
        <f t="shared" si="39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33"/>
        <v>195.76</v>
      </c>
      <c r="S193" s="18">
        <f t="shared" si="41"/>
        <v>195.76</v>
      </c>
      <c r="T193" s="19">
        <f t="shared" si="35"/>
        <v>0</v>
      </c>
      <c r="U193" s="206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195.76</v>
      </c>
      <c r="AV193" s="37">
        <f t="shared" si="39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327.64</v>
      </c>
      <c r="S194" s="18">
        <f t="shared" si="41"/>
        <v>327.64</v>
      </c>
      <c r="T194" s="19">
        <f t="shared" si="35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327.64</v>
      </c>
      <c r="AV194" s="37">
        <f t="shared" si="39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186.12</v>
      </c>
      <c r="S195" s="18">
        <f t="shared" si="41"/>
        <v>186.12</v>
      </c>
      <c r="T195" s="19">
        <f t="shared" si="35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186.12</v>
      </c>
      <c r="AV195" s="37">
        <f t="shared" si="39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199.48</v>
      </c>
      <c r="S196" s="18">
        <f t="shared" si="41"/>
        <v>199.48</v>
      </c>
      <c r="T196" s="19">
        <f t="shared" si="35"/>
        <v>0</v>
      </c>
      <c r="U196" s="16">
        <f>IFERROR(SUMIF('LISTA DE EMBARQUE'!B:B,MICRO!E:E,'LISTA DE EMBARQUE'!G:G),"")</f>
        <v>0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0</v>
      </c>
      <c r="Y196" s="14">
        <f t="shared" si="40"/>
        <v>-4</v>
      </c>
      <c r="Z196" s="20">
        <f>Tabela1[[#This Row],[PESO TOTAL]]-Tabela1[[#This Row],[Peso Expedido]]</f>
        <v>199.48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/>
      <c r="AI196" s="33" t="str">
        <f t="shared" si="37"/>
        <v/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42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199.48</v>
      </c>
      <c r="AU196" s="37">
        <f t="shared" si="38"/>
        <v>0</v>
      </c>
      <c r="AV196" s="37">
        <f t="shared" si="39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33"/>
        <v>318.5</v>
      </c>
      <c r="S197" s="18">
        <f t="shared" si="41"/>
        <v>318.5</v>
      </c>
      <c r="T197" s="19">
        <f t="shared" si="35"/>
        <v>0</v>
      </c>
      <c r="U197" s="206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0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37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42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38"/>
        <v>318.5</v>
      </c>
      <c r="AV197" s="37">
        <f t="shared" si="39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66.819999999999993</v>
      </c>
      <c r="S199" s="18">
        <f t="shared" si="41"/>
        <v>66.819999999999993</v>
      </c>
      <c r="T199" s="19">
        <f t="shared" si="35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66.819999999999993</v>
      </c>
      <c r="AV199" s="37">
        <f t="shared" si="39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47.36</v>
      </c>
      <c r="S200" s="18">
        <f t="shared" si="41"/>
        <v>47.36</v>
      </c>
      <c r="T200" s="19">
        <f t="shared" si="35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47.36</v>
      </c>
      <c r="AV200" s="37">
        <f t="shared" si="39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33"/>
        <v>142.07999999999998</v>
      </c>
      <c r="S201" s="18">
        <f t="shared" si="41"/>
        <v>142.07999999999998</v>
      </c>
      <c r="T201" s="19">
        <f t="shared" si="35"/>
        <v>0</v>
      </c>
      <c r="U201" s="206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142.07999999999998</v>
      </c>
      <c r="AV201" s="37">
        <f t="shared" si="39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33"/>
        <v>103.76</v>
      </c>
      <c r="S202" s="18">
        <f t="shared" si="41"/>
        <v>103.76</v>
      </c>
      <c r="T202" s="19">
        <f t="shared" si="35"/>
        <v>0</v>
      </c>
      <c r="U202" s="206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103.76</v>
      </c>
      <c r="AV202" s="37">
        <f t="shared" si="39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308</v>
      </c>
      <c r="S203" s="18">
        <f t="shared" si="41"/>
        <v>308</v>
      </c>
      <c r="T203" s="19">
        <f t="shared" si="35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308</v>
      </c>
      <c r="AV203" s="37">
        <f t="shared" si="39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340</v>
      </c>
      <c r="S204" s="18">
        <f t="shared" si="41"/>
        <v>340</v>
      </c>
      <c r="T204" s="19">
        <f t="shared" si="35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340</v>
      </c>
      <c r="AV204" s="37">
        <f t="shared" si="39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200</v>
      </c>
      <c r="S205" s="18">
        <f t="shared" si="41"/>
        <v>200</v>
      </c>
      <c r="T205" s="19">
        <f t="shared" si="35"/>
        <v>0</v>
      </c>
      <c r="U205" s="16">
        <f>IFERROR(SUMIF('LISTA DE EMBARQUE'!B:B,MICRO!E:E,'LISTA DE EMBARQUE'!G:G),"")</f>
        <v>0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0</v>
      </c>
      <c r="Y205" s="14">
        <f t="shared" si="40"/>
        <v>-4</v>
      </c>
      <c r="Z205" s="20">
        <f>Tabela1[[#This Row],[PESO TOTAL]]-Tabela1[[#This Row],[Peso Expedido]]</f>
        <v>200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/>
      <c r="AI205" s="33" t="str">
        <f t="shared" si="37"/>
        <v/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200</v>
      </c>
      <c r="AU205" s="37">
        <f t="shared" si="38"/>
        <v>0</v>
      </c>
      <c r="AV205" s="37">
        <f t="shared" si="39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33"/>
        <v>163.36000000000001</v>
      </c>
      <c r="S206" s="18">
        <f t="shared" si="41"/>
        <v>163.36000000000001</v>
      </c>
      <c r="T206" s="19">
        <f t="shared" si="35"/>
        <v>0</v>
      </c>
      <c r="U206" s="206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0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37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163.36000000000001</v>
      </c>
      <c r="AV206" s="37">
        <f t="shared" si="39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166.34</v>
      </c>
      <c r="S207" s="18">
        <f t="shared" si="41"/>
        <v>166.34</v>
      </c>
      <c r="T207" s="19">
        <f t="shared" si="35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166.34</v>
      </c>
      <c r="AV207" s="37">
        <f t="shared" si="39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230.2</v>
      </c>
      <c r="S208" s="18">
        <f t="shared" si="41"/>
        <v>230.2</v>
      </c>
      <c r="T208" s="19">
        <f t="shared" si="35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230.2</v>
      </c>
      <c r="AV208" s="37">
        <f t="shared" si="39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88.64</v>
      </c>
      <c r="S209" s="18">
        <f t="shared" si="41"/>
        <v>88.64</v>
      </c>
      <c r="T209" s="19">
        <f t="shared" si="35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88.64</v>
      </c>
      <c r="AV209" s="37">
        <f t="shared" si="39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203.5</v>
      </c>
      <c r="S210" s="18">
        <f t="shared" si="41"/>
        <v>203.5</v>
      </c>
      <c r="T210" s="19">
        <f t="shared" si="35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203.5</v>
      </c>
      <c r="AV210" s="37">
        <f t="shared" si="39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33"/>
        <v>125.56</v>
      </c>
      <c r="S211" s="18">
        <f t="shared" si="41"/>
        <v>125.56</v>
      </c>
      <c r="T211" s="19">
        <f t="shared" si="35"/>
        <v>0</v>
      </c>
      <c r="U211" s="206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125.56</v>
      </c>
      <c r="AV211" s="37">
        <f t="shared" si="39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33"/>
        <v>124.24</v>
      </c>
      <c r="S212" s="18">
        <f t="shared" si="41"/>
        <v>124.24</v>
      </c>
      <c r="T212" s="19">
        <f t="shared" si="35"/>
        <v>0</v>
      </c>
      <c r="U212" s="206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124.24</v>
      </c>
      <c r="AV212" s="37">
        <f t="shared" si="39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81.64</v>
      </c>
      <c r="S213" s="18">
        <f t="shared" si="41"/>
        <v>81.64</v>
      </c>
      <c r="T213" s="19">
        <f t="shared" si="35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81.64</v>
      </c>
      <c r="AV213" s="37">
        <f t="shared" si="39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78.760000000000005</v>
      </c>
      <c r="S214" s="18">
        <f t="shared" si="41"/>
        <v>78.760000000000005</v>
      </c>
      <c r="T214" s="19">
        <f t="shared" si="35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78.760000000000005</v>
      </c>
      <c r="AV214" s="37">
        <f t="shared" si="39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33"/>
        <v>159.12</v>
      </c>
      <c r="S215" s="18">
        <f t="shared" si="41"/>
        <v>159.12</v>
      </c>
      <c r="T215" s="19">
        <f t="shared" si="35"/>
        <v>0</v>
      </c>
      <c r="U215" s="206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159.12</v>
      </c>
      <c r="AV215" s="37">
        <f t="shared" si="39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539.91999999999996</v>
      </c>
      <c r="S216" s="18">
        <f t="shared" si="41"/>
        <v>539.91999999999996</v>
      </c>
      <c r="T216" s="19">
        <f t="shared" si="35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539.91999999999996</v>
      </c>
      <c r="AV216" s="37">
        <f t="shared" si="39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43">IFERROR(H217*((AA217*0.25)+(AC217*0.25)+(AD217*0.225)+(AE217*0.225)+(AF217*0.05)),"")</f>
        <v>189.88</v>
      </c>
      <c r="S217" s="18">
        <f t="shared" si="41"/>
        <v>189.88</v>
      </c>
      <c r="T217" s="19">
        <f t="shared" ref="T217:T280" si="44">IFERROR(S217-H217,"")</f>
        <v>0</v>
      </c>
      <c r="U217" s="206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189.88</v>
      </c>
      <c r="AV217" s="37">
        <f t="shared" si="39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43"/>
        <v>101.64</v>
      </c>
      <c r="S218" s="18">
        <f t="shared" si="41"/>
        <v>101.64</v>
      </c>
      <c r="T218" s="19">
        <f t="shared" si="44"/>
        <v>0</v>
      </c>
      <c r="U218" s="206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101.64</v>
      </c>
      <c r="AV218" s="37">
        <f t="shared" si="39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111.62</v>
      </c>
      <c r="S219" s="18">
        <f t="shared" si="41"/>
        <v>111.62</v>
      </c>
      <c r="T219" s="19">
        <f t="shared" si="44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45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111.62</v>
      </c>
      <c r="AV219" s="37">
        <f t="shared" si="39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156.66</v>
      </c>
      <c r="S220" s="18">
        <f t="shared" si="41"/>
        <v>156.66</v>
      </c>
      <c r="T220" s="19">
        <f t="shared" si="44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45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156.66</v>
      </c>
      <c r="AV220" s="37">
        <f t="shared" si="39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151.04</v>
      </c>
      <c r="S221" s="18">
        <f t="shared" si="41"/>
        <v>151.04</v>
      </c>
      <c r="T221" s="19">
        <f t="shared" si="44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151.04</v>
      </c>
      <c r="AV221" s="37">
        <f t="shared" si="39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350.08</v>
      </c>
      <c r="S222" s="18">
        <f t="shared" si="41"/>
        <v>350.08</v>
      </c>
      <c r="T222" s="19">
        <f t="shared" si="44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350.08</v>
      </c>
      <c r="AV222" s="37">
        <f t="shared" si="39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304.44</v>
      </c>
      <c r="S223" s="18">
        <f t="shared" si="41"/>
        <v>304.44</v>
      </c>
      <c r="T223" s="19">
        <f t="shared" si="44"/>
        <v>0</v>
      </c>
      <c r="U223" s="206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0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45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38"/>
        <v>304.44</v>
      </c>
      <c r="AV223" s="37">
        <f t="shared" si="39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43"/>
        <v>279</v>
      </c>
      <c r="S225" s="18">
        <f t="shared" si="41"/>
        <v>279</v>
      </c>
      <c r="T225" s="19">
        <f t="shared" si="44"/>
        <v>0</v>
      </c>
      <c r="U225" s="206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279</v>
      </c>
      <c r="AV225" s="37">
        <f t="shared" si="39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43"/>
        <v>50.04</v>
      </c>
      <c r="S226" s="18">
        <f t="shared" si="41"/>
        <v>50.04</v>
      </c>
      <c r="T226" s="19">
        <f t="shared" si="44"/>
        <v>0</v>
      </c>
      <c r="U226" s="206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50.04</v>
      </c>
      <c r="AV226" s="37">
        <f t="shared" si="39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47.36</v>
      </c>
      <c r="S227" s="18">
        <f t="shared" si="41"/>
        <v>47.36</v>
      </c>
      <c r="T227" s="19">
        <f t="shared" si="44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47.36</v>
      </c>
      <c r="AV227" s="37">
        <f t="shared" si="39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245.96</v>
      </c>
      <c r="S228" s="18">
        <f t="shared" si="41"/>
        <v>245.96</v>
      </c>
      <c r="T228" s="19">
        <f t="shared" si="44"/>
        <v>0</v>
      </c>
      <c r="U228" s="206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46">IF(AH228="",0,IF(ISTEXT(AH228),H228*VALUE(SUBSTITUTE(AH228,"%",""))/100,H228*AH228))</f>
        <v>245.96</v>
      </c>
      <c r="AV228" s="37">
        <f t="shared" ref="AV228:AV291" si="47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46"/>
        <v>245.96</v>
      </c>
      <c r="AV229" s="37">
        <f t="shared" si="47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68.8</v>
      </c>
      <c r="S230" s="18">
        <f t="shared" si="41"/>
        <v>68.8</v>
      </c>
      <c r="T230" s="19">
        <f t="shared" si="44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68.8</v>
      </c>
      <c r="AV230" s="37">
        <f t="shared" si="47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68.739999999999995</v>
      </c>
      <c r="S231" s="18">
        <f t="shared" si="41"/>
        <v>68.739999999999995</v>
      </c>
      <c r="T231" s="19">
        <f t="shared" si="44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68.739999999999995</v>
      </c>
      <c r="AV231" s="37">
        <f t="shared" si="47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54.02</v>
      </c>
      <c r="S233" s="18">
        <f t="shared" si="41"/>
        <v>54.02</v>
      </c>
      <c r="T233" s="19">
        <f t="shared" si="44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54.02</v>
      </c>
      <c r="AV233" s="37">
        <f t="shared" si="47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43"/>
        <v>95</v>
      </c>
      <c r="S235" s="18">
        <f t="shared" si="41"/>
        <v>95</v>
      </c>
      <c r="T235" s="19">
        <f t="shared" si="44"/>
        <v>0</v>
      </c>
      <c r="U235" s="206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95</v>
      </c>
      <c r="AV235" s="37">
        <f t="shared" si="47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43"/>
        <v>258.18</v>
      </c>
      <c r="S236" s="18">
        <f t="shared" si="41"/>
        <v>258.18</v>
      </c>
      <c r="T236" s="19">
        <f t="shared" si="44"/>
        <v>0</v>
      </c>
      <c r="U236" s="206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258.18</v>
      </c>
      <c r="AV236" s="37">
        <f t="shared" si="47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43"/>
        <v>284.15999999999997</v>
      </c>
      <c r="S238" s="18">
        <f t="shared" si="41"/>
        <v>284.15999999999997</v>
      </c>
      <c r="T238" s="19">
        <f t="shared" si="44"/>
        <v>0</v>
      </c>
      <c r="U238" s="206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284.15999999999997</v>
      </c>
      <c r="AV238" s="37">
        <f t="shared" si="47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43"/>
        <v>285.76</v>
      </c>
      <c r="S239" s="18">
        <f t="shared" si="41"/>
        <v>285.76</v>
      </c>
      <c r="T239" s="19">
        <f t="shared" si="44"/>
        <v>0</v>
      </c>
      <c r="U239" s="206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285.76</v>
      </c>
      <c r="AV239" s="37">
        <f t="shared" si="47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43"/>
        <v>257.72000000000003</v>
      </c>
      <c r="S241" s="18">
        <f t="shared" si="41"/>
        <v>257.72000000000003</v>
      </c>
      <c r="T241" s="19">
        <f t="shared" si="44"/>
        <v>0</v>
      </c>
      <c r="U241" s="206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257.72000000000003</v>
      </c>
      <c r="AV241" s="37">
        <f t="shared" si="47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43"/>
        <v>284.15999999999997</v>
      </c>
      <c r="S243" s="18">
        <f t="shared" si="41"/>
        <v>284.15999999999997</v>
      </c>
      <c r="T243" s="19">
        <f t="shared" si="44"/>
        <v>0</v>
      </c>
      <c r="U243" s="206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284.15999999999997</v>
      </c>
      <c r="AV243" s="37">
        <f t="shared" si="47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43"/>
        <v>571.52</v>
      </c>
      <c r="S244" s="18">
        <f t="shared" si="41"/>
        <v>571.52</v>
      </c>
      <c r="T244" s="19">
        <f t="shared" si="44"/>
        <v>0</v>
      </c>
      <c r="U244" s="206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48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571.52</v>
      </c>
      <c r="AV244" s="37">
        <f t="shared" si="47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43"/>
        <v>383.4</v>
      </c>
      <c r="S245" s="18">
        <f t="shared" ref="S245:S308" si="49">IFERROR(H245*AG245,"")</f>
        <v>383.4</v>
      </c>
      <c r="T245" s="19">
        <f t="shared" si="44"/>
        <v>0</v>
      </c>
      <c r="U245" s="206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48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383.4</v>
      </c>
      <c r="AV245" s="37">
        <f t="shared" si="47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43"/>
        <v>1.2</v>
      </c>
      <c r="S246" s="18">
        <f t="shared" si="49"/>
        <v>1.2</v>
      </c>
      <c r="T246" s="19">
        <f t="shared" si="44"/>
        <v>0</v>
      </c>
      <c r="U246" s="206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1.2</v>
      </c>
      <c r="AV246" s="37">
        <f t="shared" si="47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43"/>
        <v>383.4</v>
      </c>
      <c r="S247" s="18">
        <f t="shared" si="49"/>
        <v>383.4</v>
      </c>
      <c r="T247" s="19">
        <f t="shared" si="44"/>
        <v>0</v>
      </c>
      <c r="U247" s="206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383.4</v>
      </c>
      <c r="AV247" s="37">
        <f t="shared" si="47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43"/>
        <v>1.2</v>
      </c>
      <c r="S248" s="18">
        <f t="shared" si="49"/>
        <v>1.2</v>
      </c>
      <c r="T248" s="19">
        <f t="shared" si="44"/>
        <v>0</v>
      </c>
      <c r="U248" s="206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1.2</v>
      </c>
      <c r="AV248" s="37">
        <f t="shared" si="47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43"/>
        <v>638</v>
      </c>
      <c r="S249" s="18">
        <f t="shared" si="49"/>
        <v>638</v>
      </c>
      <c r="T249" s="19">
        <f t="shared" si="44"/>
        <v>0</v>
      </c>
      <c r="U249" s="16">
        <v>1</v>
      </c>
      <c r="V249" s="12" t="str">
        <f>IFERROR(VLOOKUP(Tabela1[[#This Row],[COD.MDE]],'LISTA DE EMBARQUE'!B:L,11,0),"")</f>
        <v/>
      </c>
      <c r="W249" s="13" t="str">
        <f>IFERROR(VLOOKUP(Tabela1[[#This Row],[COD.MDE]],'LISTA DE EMBARQUE'!B:M,12,0),"")</f>
        <v/>
      </c>
      <c r="X249" s="14">
        <f>IFERROR(Tabela1[[#This Row],[QIANTIDADE EXPEDIDA]]*Tabela1[[#This Row],[PESO UNI]],"")</f>
        <v>638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638</v>
      </c>
      <c r="AV249" s="37">
        <f t="shared" si="47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43"/>
        <v>18</v>
      </c>
      <c r="S250" s="18">
        <f t="shared" si="49"/>
        <v>18</v>
      </c>
      <c r="T250" s="19">
        <f t="shared" si="44"/>
        <v>0</v>
      </c>
      <c r="U250" s="16">
        <v>4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18</v>
      </c>
      <c r="Y250" s="14">
        <f t="shared" si="48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45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18</v>
      </c>
      <c r="AV250" s="37">
        <f t="shared" si="47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23.2</v>
      </c>
      <c r="S251" s="18">
        <f t="shared" si="49"/>
        <v>23.2</v>
      </c>
      <c r="T251" s="19">
        <f t="shared" si="44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23.2</v>
      </c>
      <c r="Y251" s="14">
        <f t="shared" si="48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45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23.2</v>
      </c>
      <c r="AV251" s="37">
        <f t="shared" si="47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43"/>
        <v>0.8</v>
      </c>
      <c r="S252" s="18">
        <f t="shared" si="49"/>
        <v>0.8</v>
      </c>
      <c r="T252" s="19">
        <f t="shared" si="44"/>
        <v>0</v>
      </c>
      <c r="U252" s="16">
        <v>8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0.8</v>
      </c>
      <c r="Y252" s="14">
        <f t="shared" si="48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45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0.8</v>
      </c>
      <c r="AV252" s="37">
        <f t="shared" si="47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0.8</v>
      </c>
      <c r="S253" s="18">
        <f t="shared" si="49"/>
        <v>0.8</v>
      </c>
      <c r="T253" s="19">
        <f t="shared" si="44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48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45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0.8</v>
      </c>
      <c r="AV253" s="37">
        <f t="shared" si="47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43"/>
        <v>0.4</v>
      </c>
      <c r="S254" s="18">
        <f t="shared" si="49"/>
        <v>0.4</v>
      </c>
      <c r="T254" s="19">
        <f t="shared" si="44"/>
        <v>0</v>
      </c>
      <c r="U254" s="16">
        <v>4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0.4</v>
      </c>
      <c r="Y254" s="14">
        <f t="shared" si="48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45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0.4</v>
      </c>
      <c r="AV254" s="37">
        <f t="shared" si="47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0.4</v>
      </c>
      <c r="S255" s="18">
        <f t="shared" si="49"/>
        <v>0.4</v>
      </c>
      <c r="T255" s="19">
        <f t="shared" si="44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48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45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0.4</v>
      </c>
      <c r="AV255" s="37">
        <f t="shared" si="47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43"/>
        <v>638</v>
      </c>
      <c r="S256" s="18">
        <f t="shared" si="49"/>
        <v>638</v>
      </c>
      <c r="T256" s="19">
        <f t="shared" si="44"/>
        <v>0</v>
      </c>
      <c r="U256" s="16">
        <v>1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638</v>
      </c>
      <c r="Y256" s="14">
        <f t="shared" si="48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45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638</v>
      </c>
      <c r="AV256" s="37">
        <f t="shared" si="47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43"/>
        <v>18</v>
      </c>
      <c r="S257" s="18">
        <f t="shared" si="49"/>
        <v>18</v>
      </c>
      <c r="T257" s="19">
        <f t="shared" si="44"/>
        <v>0</v>
      </c>
      <c r="U257" s="16">
        <v>4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18</v>
      </c>
      <c r="Y257" s="14">
        <f t="shared" si="48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45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18</v>
      </c>
      <c r="AV257" s="37">
        <f t="shared" si="47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23.2</v>
      </c>
      <c r="S258" s="18">
        <f t="shared" si="49"/>
        <v>23.2</v>
      </c>
      <c r="T258" s="19">
        <f t="shared" si="44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23.2</v>
      </c>
      <c r="Y258" s="14">
        <f t="shared" si="48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45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23.2</v>
      </c>
      <c r="AV258" s="37">
        <f t="shared" si="47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43"/>
        <v>0.8</v>
      </c>
      <c r="S259" s="18">
        <f t="shared" si="49"/>
        <v>0.8</v>
      </c>
      <c r="T259" s="19">
        <f t="shared" si="44"/>
        <v>0</v>
      </c>
      <c r="U259" s="16">
        <v>8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0.8</v>
      </c>
      <c r="Y259" s="14">
        <f t="shared" si="48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45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0.8</v>
      </c>
      <c r="AV259" s="37">
        <f t="shared" si="47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0.8</v>
      </c>
      <c r="S260" s="18">
        <f t="shared" si="49"/>
        <v>0.8</v>
      </c>
      <c r="T260" s="19">
        <f t="shared" si="44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48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45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0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0.8</v>
      </c>
      <c r="AV260" s="37">
        <f t="shared" si="47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43"/>
        <v>0.4</v>
      </c>
      <c r="S261" s="18">
        <f t="shared" si="49"/>
        <v>0.4</v>
      </c>
      <c r="T261" s="19">
        <f t="shared" si="44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48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45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0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0.4</v>
      </c>
      <c r="AV261" s="37">
        <f t="shared" si="47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0.4</v>
      </c>
      <c r="S262" s="18">
        <f t="shared" si="49"/>
        <v>0.4</v>
      </c>
      <c r="T262" s="19">
        <f t="shared" si="44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48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45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0.4</v>
      </c>
      <c r="AV262" s="37">
        <f t="shared" si="47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43"/>
        <v>300.39999999999998</v>
      </c>
      <c r="S263" s="18">
        <f t="shared" si="49"/>
        <v>300.39999999999998</v>
      </c>
      <c r="T263" s="19">
        <f t="shared" si="44"/>
        <v>0</v>
      </c>
      <c r="U263" s="206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48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45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300.39999999999998</v>
      </c>
      <c r="AV263" s="37">
        <f t="shared" si="47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273.2</v>
      </c>
      <c r="S265" s="18">
        <f t="shared" si="49"/>
        <v>273.2</v>
      </c>
      <c r="T265" s="19">
        <f t="shared" si="44"/>
        <v>0</v>
      </c>
      <c r="U265" s="206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273.2</v>
      </c>
      <c r="AV265" s="37">
        <f t="shared" si="47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97.8</v>
      </c>
      <c r="S266" s="18">
        <f t="shared" si="49"/>
        <v>97.8</v>
      </c>
      <c r="T266" s="19">
        <f t="shared" si="44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97.8</v>
      </c>
      <c r="AV266" s="37">
        <f t="shared" si="47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273.2</v>
      </c>
      <c r="S267" s="18">
        <f t="shared" si="49"/>
        <v>273.2</v>
      </c>
      <c r="T267" s="19">
        <f t="shared" si="44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273.2</v>
      </c>
      <c r="AV267" s="37">
        <f t="shared" si="47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97.8</v>
      </c>
      <c r="S268" s="18">
        <f t="shared" si="49"/>
        <v>97.8</v>
      </c>
      <c r="T268" s="19">
        <f t="shared" si="44"/>
        <v>0</v>
      </c>
      <c r="U268" s="206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48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45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46"/>
        <v>97.8</v>
      </c>
      <c r="AV268" s="37">
        <f t="shared" si="47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20.350000000000001</v>
      </c>
      <c r="S269" s="18">
        <f t="shared" si="49"/>
        <v>20.350000000000001</v>
      </c>
      <c r="T269" s="19">
        <f t="shared" si="44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20.350000000000001</v>
      </c>
      <c r="AV269" s="37">
        <f t="shared" si="47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1</v>
      </c>
      <c r="S270" s="18">
        <f t="shared" si="49"/>
        <v>1</v>
      </c>
      <c r="T270" s="19">
        <f t="shared" si="44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1</v>
      </c>
      <c r="AV270" s="37">
        <f t="shared" si="47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20.350000000000001</v>
      </c>
      <c r="S271" s="18">
        <f t="shared" si="49"/>
        <v>20.350000000000001</v>
      </c>
      <c r="T271" s="19">
        <f t="shared" si="44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20.350000000000001</v>
      </c>
      <c r="AV271" s="37">
        <f t="shared" si="47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1</v>
      </c>
      <c r="S272" s="18">
        <f t="shared" si="49"/>
        <v>1</v>
      </c>
      <c r="T272" s="19">
        <f t="shared" si="44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1</v>
      </c>
      <c r="AV272" s="37">
        <f t="shared" si="47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43"/>
        <v>266.09999999999997</v>
      </c>
      <c r="S273" s="18">
        <f t="shared" si="49"/>
        <v>266.09999999999997</v>
      </c>
      <c r="T273" s="19">
        <f t="shared" si="44"/>
        <v>0</v>
      </c>
      <c r="U273" s="206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266.09999999999997</v>
      </c>
      <c r="AV273" s="37">
        <f t="shared" si="47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43"/>
        <v>172.39999999999998</v>
      </c>
      <c r="S275" s="18">
        <f t="shared" si="49"/>
        <v>172.39999999999998</v>
      </c>
      <c r="T275" s="19">
        <f t="shared" si="44"/>
        <v>0</v>
      </c>
      <c r="U275" s="206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172.39999999999998</v>
      </c>
      <c r="AV275" s="37">
        <f t="shared" si="47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43"/>
        <v>836</v>
      </c>
      <c r="S276" s="18">
        <f t="shared" si="49"/>
        <v>836</v>
      </c>
      <c r="T276" s="19">
        <f t="shared" si="44"/>
        <v>0</v>
      </c>
      <c r="U276" s="206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836</v>
      </c>
      <c r="AV276" s="37">
        <f t="shared" si="47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43"/>
        <v>62.7</v>
      </c>
      <c r="S278" s="18">
        <f t="shared" si="49"/>
        <v>62.7</v>
      </c>
      <c r="T278" s="19">
        <f t="shared" si="44"/>
        <v>0</v>
      </c>
      <c r="U278" s="206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62.7</v>
      </c>
      <c r="AV278" s="37">
        <f t="shared" si="47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43"/>
        <v>46</v>
      </c>
      <c r="S279" s="18">
        <f t="shared" si="49"/>
        <v>46</v>
      </c>
      <c r="T279" s="19">
        <f t="shared" si="44"/>
        <v>0</v>
      </c>
      <c r="U279" s="206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46</v>
      </c>
      <c r="AV279" s="37">
        <f t="shared" si="47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43"/>
        <v>38.4</v>
      </c>
      <c r="S280" s="18">
        <f t="shared" si="49"/>
        <v>38.4</v>
      </c>
      <c r="T280" s="19">
        <f t="shared" si="44"/>
        <v>0</v>
      </c>
      <c r="U280" s="206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38.4</v>
      </c>
      <c r="AV280" s="37">
        <f t="shared" si="47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1">IFERROR(H281*((AA281*0.25)+(AC281*0.25)+(AD281*0.225)+(AE281*0.225)+(AF281*0.05)),"")</f>
        <v>466.3</v>
      </c>
      <c r="S281" s="18">
        <f t="shared" si="49"/>
        <v>466.3</v>
      </c>
      <c r="T281" s="19">
        <f t="shared" ref="T281:T344" si="52">IFERROR(S281-H281,"")</f>
        <v>0</v>
      </c>
      <c r="U281" s="206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466.3</v>
      </c>
      <c r="AV281" s="37">
        <f t="shared" si="47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1"/>
        <v>466.3</v>
      </c>
      <c r="S282" s="18">
        <f t="shared" si="49"/>
        <v>466.3</v>
      </c>
      <c r="T282" s="19">
        <f t="shared" si="52"/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320.39999999999998</v>
      </c>
      <c r="S283" s="18">
        <f t="shared" si="49"/>
        <v>320.39999999999998</v>
      </c>
      <c r="T283" s="19">
        <f t="shared" si="52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53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320.39999999999998</v>
      </c>
      <c r="AV283" s="37">
        <f t="shared" si="47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53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32.9</v>
      </c>
      <c r="S285" s="18">
        <f t="shared" si="49"/>
        <v>32.9</v>
      </c>
      <c r="T285" s="19">
        <f t="shared" si="52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32.9</v>
      </c>
      <c r="AV285" s="37">
        <f t="shared" si="47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45.6</v>
      </c>
      <c r="S286" s="18">
        <f t="shared" si="49"/>
        <v>45.6</v>
      </c>
      <c r="T286" s="19">
        <f t="shared" si="52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45.6</v>
      </c>
      <c r="AV286" s="37">
        <f t="shared" si="47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22.2</v>
      </c>
      <c r="S287" s="18">
        <f t="shared" si="49"/>
        <v>22.2</v>
      </c>
      <c r="T287" s="19">
        <f t="shared" si="52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22.2</v>
      </c>
      <c r="AV287" s="37">
        <f t="shared" si="47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34</v>
      </c>
      <c r="S288" s="18">
        <f t="shared" si="49"/>
        <v>34</v>
      </c>
      <c r="T288" s="19">
        <f t="shared" si="52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34</v>
      </c>
      <c r="AV288" s="37">
        <f t="shared" si="47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10.199999999999999</v>
      </c>
      <c r="S289" s="18">
        <f t="shared" si="49"/>
        <v>10.199999999999999</v>
      </c>
      <c r="T289" s="19">
        <f t="shared" si="52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10.199999999999999</v>
      </c>
      <c r="AV289" s="37">
        <f t="shared" si="47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49.8</v>
      </c>
      <c r="S290" s="18">
        <f t="shared" si="49"/>
        <v>49.8</v>
      </c>
      <c r="T290" s="19">
        <f t="shared" si="52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49.8</v>
      </c>
      <c r="AV290" s="37">
        <f t="shared" si="47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24.3</v>
      </c>
      <c r="S291" s="18">
        <f t="shared" si="49"/>
        <v>24.3</v>
      </c>
      <c r="T291" s="19">
        <f t="shared" si="52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24.3</v>
      </c>
      <c r="AV291" s="37">
        <f t="shared" si="47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1"/>
        <v>108.8</v>
      </c>
      <c r="S292" s="18">
        <f t="shared" si="49"/>
        <v>108.8</v>
      </c>
      <c r="T292" s="19">
        <f t="shared" si="52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54">IF(AH292="",0,IF(ISTEXT(AH292),H292*VALUE(SUBSTITUTE(AH292,"%",""))/100,H292*AH292))</f>
        <v>108.8</v>
      </c>
      <c r="AV292" s="37">
        <f t="shared" ref="AV292:AV355" si="55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1"/>
        <v>32.9</v>
      </c>
      <c r="S293" s="18">
        <f t="shared" si="49"/>
        <v>32.9</v>
      </c>
      <c r="T293" s="19">
        <f t="shared" si="52"/>
        <v>0</v>
      </c>
      <c r="U293" s="206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48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53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54"/>
        <v>32.9</v>
      </c>
      <c r="AV293" s="37">
        <f t="shared" si="55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45.6</v>
      </c>
      <c r="S294" s="18">
        <f t="shared" si="49"/>
        <v>45.6</v>
      </c>
      <c r="T294" s="19">
        <f t="shared" si="52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45.6</v>
      </c>
      <c r="AV294" s="37">
        <f t="shared" si="55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22.2</v>
      </c>
      <c r="S295" s="18">
        <f t="shared" si="49"/>
        <v>22.2</v>
      </c>
      <c r="T295" s="19">
        <f t="shared" si="52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22.2</v>
      </c>
      <c r="AV295" s="37">
        <f t="shared" si="55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34</v>
      </c>
      <c r="S296" s="18">
        <f t="shared" si="49"/>
        <v>34</v>
      </c>
      <c r="T296" s="19">
        <f t="shared" si="52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34</v>
      </c>
      <c r="AV296" s="37">
        <f t="shared" si="55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10.199999999999999</v>
      </c>
      <c r="S297" s="18">
        <f t="shared" si="49"/>
        <v>10.199999999999999</v>
      </c>
      <c r="T297" s="19">
        <f t="shared" si="52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10.199999999999999</v>
      </c>
      <c r="AV297" s="37">
        <f t="shared" si="55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49.8</v>
      </c>
      <c r="S298" s="18">
        <f t="shared" si="49"/>
        <v>49.8</v>
      </c>
      <c r="T298" s="19">
        <f t="shared" si="52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49.8</v>
      </c>
      <c r="AV298" s="37">
        <f t="shared" si="55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24.3</v>
      </c>
      <c r="S299" s="18">
        <f t="shared" si="49"/>
        <v>24.3</v>
      </c>
      <c r="T299" s="19">
        <f t="shared" si="52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24.3</v>
      </c>
      <c r="AV299" s="37">
        <f t="shared" si="55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1"/>
        <v>108.8</v>
      </c>
      <c r="S300" s="18">
        <f t="shared" si="49"/>
        <v>108.8</v>
      </c>
      <c r="T300" s="19">
        <f t="shared" si="52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108.8</v>
      </c>
      <c r="AV300" s="37">
        <f t="shared" si="55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1"/>
        <v>216.4</v>
      </c>
      <c r="S301" s="18">
        <f t="shared" si="49"/>
        <v>216.4</v>
      </c>
      <c r="T301" s="19">
        <f t="shared" si="52"/>
        <v>0</v>
      </c>
      <c r="U301" s="206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48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53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54"/>
        <v>216.4</v>
      </c>
      <c r="AV301" s="37">
        <f t="shared" si="55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1"/>
        <v>106.39999999999999</v>
      </c>
      <c r="S303" s="18">
        <f t="shared" si="49"/>
        <v>106.39999999999999</v>
      </c>
      <c r="T303" s="19">
        <f t="shared" si="52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106.39999999999999</v>
      </c>
      <c r="AV303" s="37">
        <f t="shared" si="55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1"/>
        <v>22.4</v>
      </c>
      <c r="S304" s="18">
        <f t="shared" si="49"/>
        <v>22.4</v>
      </c>
      <c r="T304" s="19">
        <f t="shared" si="52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48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53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54"/>
        <v>22.4</v>
      </c>
      <c r="AV304" s="37">
        <f t="shared" si="55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1"/>
        <v>34.6</v>
      </c>
      <c r="S305" s="18">
        <f t="shared" si="49"/>
        <v>34.6</v>
      </c>
      <c r="T305" s="19">
        <f t="shared" si="52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48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53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34.6</v>
      </c>
      <c r="AV305" s="37">
        <f t="shared" si="55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1"/>
        <v>91.2</v>
      </c>
      <c r="S306" s="18">
        <f t="shared" si="49"/>
        <v>91.2</v>
      </c>
      <c r="T306" s="19">
        <f t="shared" si="52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48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53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3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54"/>
        <v>91.2</v>
      </c>
      <c r="AV306" s="32">
        <f t="shared" si="55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1"/>
        <v>34.200000000000003</v>
      </c>
      <c r="S307" s="18">
        <f t="shared" si="49"/>
        <v>34.200000000000003</v>
      </c>
      <c r="T307" s="19">
        <f t="shared" si="52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48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53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54"/>
        <v>34.200000000000003</v>
      </c>
      <c r="AV307" s="37">
        <f t="shared" si="55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1"/>
        <v>52.4</v>
      </c>
      <c r="S308" s="18">
        <f t="shared" si="49"/>
        <v>52.4</v>
      </c>
      <c r="T308" s="19">
        <f t="shared" si="52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56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53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54"/>
        <v>52.4</v>
      </c>
      <c r="AV308" s="37">
        <f t="shared" si="55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1"/>
        <v>106.39999999999999</v>
      </c>
      <c r="S309" s="18">
        <f t="shared" ref="S309:S372" si="57">IFERROR(H309*AG309,"")</f>
        <v>106.39999999999999</v>
      </c>
      <c r="T309" s="19">
        <f t="shared" si="52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56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53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54"/>
        <v>106.39999999999999</v>
      </c>
      <c r="AV309" s="37">
        <f t="shared" si="55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1"/>
        <v>19.2</v>
      </c>
      <c r="S310" s="18">
        <f t="shared" si="57"/>
        <v>19.2</v>
      </c>
      <c r="T310" s="19">
        <f t="shared" si="52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56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53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54"/>
        <v>19.2</v>
      </c>
      <c r="AV310" s="37">
        <f t="shared" si="55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1"/>
        <v>34.6</v>
      </c>
      <c r="S311" s="18">
        <f t="shared" si="57"/>
        <v>34.6</v>
      </c>
      <c r="T311" s="19">
        <f t="shared" si="52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56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53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34.6</v>
      </c>
      <c r="AV311" s="37">
        <f t="shared" si="55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1"/>
        <v>91.2</v>
      </c>
      <c r="S312" s="18">
        <f t="shared" si="57"/>
        <v>91.2</v>
      </c>
      <c r="T312" s="19">
        <f t="shared" si="52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56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53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54"/>
        <v>91.2</v>
      </c>
      <c r="AV312" s="37">
        <f t="shared" si="55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1"/>
        <v>34.200000000000003</v>
      </c>
      <c r="S313" s="18">
        <f t="shared" si="57"/>
        <v>34.200000000000003</v>
      </c>
      <c r="T313" s="19">
        <f t="shared" si="52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56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53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54"/>
        <v>34.200000000000003</v>
      </c>
      <c r="AV313" s="37">
        <f t="shared" si="55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1"/>
        <v>52.4</v>
      </c>
      <c r="S314" s="18">
        <f t="shared" si="57"/>
        <v>52.4</v>
      </c>
      <c r="T314" s="19">
        <f t="shared" si="52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56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53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54"/>
        <v>52.4</v>
      </c>
      <c r="AV314" s="37">
        <f t="shared" si="55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1"/>
        <v>96.4</v>
      </c>
      <c r="S315" s="18">
        <f t="shared" si="57"/>
        <v>96.4</v>
      </c>
      <c r="T315" s="19">
        <f t="shared" si="52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56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53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54"/>
        <v>96.4</v>
      </c>
      <c r="AV315" s="37">
        <f t="shared" si="55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25.2</v>
      </c>
      <c r="S316" s="18">
        <f t="shared" si="57"/>
        <v>25.2</v>
      </c>
      <c r="T316" s="19">
        <f t="shared" si="52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56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53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54"/>
        <v>25.2</v>
      </c>
      <c r="AV316" s="37">
        <f t="shared" si="55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1"/>
        <v>4</v>
      </c>
      <c r="S317" s="18">
        <f t="shared" si="57"/>
        <v>4</v>
      </c>
      <c r="T317" s="19">
        <f t="shared" si="52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56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53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54"/>
        <v>4</v>
      </c>
      <c r="AV317" s="37">
        <f t="shared" si="55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1"/>
        <v>96.4</v>
      </c>
      <c r="S318" s="18">
        <f t="shared" si="57"/>
        <v>96.4</v>
      </c>
      <c r="T318" s="19">
        <f t="shared" si="52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56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53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54"/>
        <v>96.4</v>
      </c>
      <c r="AV318" s="37">
        <f t="shared" si="55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25.2</v>
      </c>
      <c r="S319" s="18">
        <f t="shared" si="57"/>
        <v>25.2</v>
      </c>
      <c r="T319" s="19">
        <f t="shared" si="52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56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53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54"/>
        <v>25.2</v>
      </c>
      <c r="AV319" s="37">
        <f t="shared" si="55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1"/>
        <v>4</v>
      </c>
      <c r="S320" s="18">
        <f t="shared" si="57"/>
        <v>4</v>
      </c>
      <c r="T320" s="19">
        <f t="shared" si="52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56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53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54"/>
        <v>4</v>
      </c>
      <c r="AV320" s="37">
        <f t="shared" si="55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1"/>
        <v>97.6</v>
      </c>
      <c r="S321" s="18">
        <f t="shared" si="57"/>
        <v>97.6</v>
      </c>
      <c r="T321" s="19">
        <f t="shared" si="52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56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53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54"/>
        <v>97.6</v>
      </c>
      <c r="AV321" s="37">
        <f t="shared" si="55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25.2</v>
      </c>
      <c r="S322" s="18">
        <f t="shared" si="57"/>
        <v>25.2</v>
      </c>
      <c r="T322" s="19">
        <f t="shared" si="52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56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53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54"/>
        <v>25.2</v>
      </c>
      <c r="AV322" s="37">
        <f t="shared" si="55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1"/>
        <v>4</v>
      </c>
      <c r="S323" s="18">
        <f t="shared" si="57"/>
        <v>4</v>
      </c>
      <c r="T323" s="19">
        <f t="shared" si="52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56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53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54"/>
        <v>4</v>
      </c>
      <c r="AV323" s="37">
        <f t="shared" si="55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1"/>
        <v>97.6</v>
      </c>
      <c r="S324" s="18">
        <f t="shared" si="57"/>
        <v>97.6</v>
      </c>
      <c r="T324" s="19">
        <f t="shared" si="52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56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53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58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54"/>
        <v>97.6</v>
      </c>
      <c r="AV324" s="37">
        <f t="shared" si="55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25.2</v>
      </c>
      <c r="S325" s="18">
        <f t="shared" si="57"/>
        <v>25.2</v>
      </c>
      <c r="T325" s="19">
        <f t="shared" si="52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56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53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58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54"/>
        <v>25.2</v>
      </c>
      <c r="AV325" s="37">
        <f t="shared" si="55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1"/>
        <v>4</v>
      </c>
      <c r="S326" s="18">
        <f t="shared" si="57"/>
        <v>4</v>
      </c>
      <c r="T326" s="19">
        <f t="shared" si="52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56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53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54"/>
        <v>4</v>
      </c>
      <c r="AV326" s="37">
        <f t="shared" si="55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1"/>
        <v>704.9</v>
      </c>
      <c r="S327" s="18">
        <f t="shared" si="57"/>
        <v>704.9</v>
      </c>
      <c r="T327" s="19">
        <f t="shared" si="52"/>
        <v>0</v>
      </c>
      <c r="U327" s="206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56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53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54"/>
        <v>704.9</v>
      </c>
      <c r="AV327" s="37">
        <f t="shared" si="55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1"/>
        <v>20.8</v>
      </c>
      <c r="S328" s="18">
        <f t="shared" si="57"/>
        <v>20.8</v>
      </c>
      <c r="T328" s="19">
        <f t="shared" si="52"/>
        <v>0</v>
      </c>
      <c r="U328" s="206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20.8</v>
      </c>
      <c r="AV328" s="37">
        <f t="shared" si="55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1"/>
        <v>74.400000000000006</v>
      </c>
      <c r="S329" s="18">
        <f t="shared" si="57"/>
        <v>74.400000000000006</v>
      </c>
      <c r="T329" s="19">
        <f t="shared" si="52"/>
        <v>0</v>
      </c>
      <c r="U329" s="206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74.400000000000006</v>
      </c>
      <c r="AV329" s="37">
        <f t="shared" si="55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1"/>
        <v>704.9</v>
      </c>
      <c r="S330" s="18">
        <f t="shared" si="57"/>
        <v>704.9</v>
      </c>
      <c r="T330" s="19">
        <f t="shared" si="52"/>
        <v>0</v>
      </c>
      <c r="U330" s="206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704.9</v>
      </c>
      <c r="AV330" s="37">
        <f t="shared" si="55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1"/>
        <v>20.8</v>
      </c>
      <c r="S331" s="18">
        <f t="shared" si="57"/>
        <v>20.8</v>
      </c>
      <c r="T331" s="19">
        <f t="shared" si="52"/>
        <v>0</v>
      </c>
      <c r="U331" s="206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20.8</v>
      </c>
      <c r="AV331" s="37">
        <f t="shared" si="55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1"/>
        <v>74.400000000000006</v>
      </c>
      <c r="S332" s="18">
        <f t="shared" si="57"/>
        <v>74.400000000000006</v>
      </c>
      <c r="T332" s="19">
        <f t="shared" si="52"/>
        <v>0</v>
      </c>
      <c r="U332" s="206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74.400000000000006</v>
      </c>
      <c r="AV332" s="37">
        <f t="shared" si="55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1"/>
        <v>62.2</v>
      </c>
      <c r="S333" s="18">
        <f t="shared" si="57"/>
        <v>62.2</v>
      </c>
      <c r="T333" s="19">
        <f t="shared" si="52"/>
        <v>0</v>
      </c>
      <c r="U333" s="206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62.2</v>
      </c>
      <c r="AV333" s="37">
        <f t="shared" si="55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1"/>
        <v>10.4</v>
      </c>
      <c r="S334" s="18">
        <f t="shared" si="57"/>
        <v>10.4</v>
      </c>
      <c r="T334" s="19">
        <f t="shared" si="52"/>
        <v>0</v>
      </c>
      <c r="U334" s="206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10.4</v>
      </c>
      <c r="AV334" s="37">
        <f t="shared" si="55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1"/>
        <v>62.2</v>
      </c>
      <c r="S335" s="18">
        <f t="shared" si="57"/>
        <v>62.2</v>
      </c>
      <c r="T335" s="19">
        <f t="shared" si="52"/>
        <v>0</v>
      </c>
      <c r="U335" s="206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62.2</v>
      </c>
      <c r="AV335" s="37">
        <f t="shared" si="55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1"/>
        <v>10.4</v>
      </c>
      <c r="S336" s="18">
        <f t="shared" si="57"/>
        <v>10.4</v>
      </c>
      <c r="T336" s="19">
        <f t="shared" si="52"/>
        <v>0</v>
      </c>
      <c r="U336" s="206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10.4</v>
      </c>
      <c r="AV336" s="37">
        <f t="shared" si="55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1"/>
        <v>27.4</v>
      </c>
      <c r="S337" s="18">
        <f t="shared" si="57"/>
        <v>27.4</v>
      </c>
      <c r="T337" s="19">
        <f t="shared" si="52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27.4</v>
      </c>
      <c r="AV337" s="37">
        <f t="shared" si="55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56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53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54"/>
        <v>27.4</v>
      </c>
      <c r="AV338" s="37">
        <f t="shared" si="55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1"/>
        <v>36.6</v>
      </c>
      <c r="S339" s="18">
        <f t="shared" si="57"/>
        <v>36.6</v>
      </c>
      <c r="T339" s="19">
        <f t="shared" si="52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56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53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54"/>
        <v>36.6</v>
      </c>
      <c r="AV339" s="37">
        <f t="shared" si="55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36.6</v>
      </c>
      <c r="T340" s="19">
        <f t="shared" si="52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56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53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54"/>
        <v>36.6</v>
      </c>
      <c r="AV340" s="37">
        <f t="shared" si="55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1"/>
        <v>12.6</v>
      </c>
      <c r="S341" s="18">
        <f t="shared" si="57"/>
        <v>12.6</v>
      </c>
      <c r="T341" s="19">
        <f t="shared" si="52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56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53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54"/>
        <v>12.6</v>
      </c>
      <c r="AV341" s="37">
        <f t="shared" si="55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12.6</v>
      </c>
      <c r="T342" s="19">
        <f t="shared" si="52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56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53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54"/>
        <v>12.6</v>
      </c>
      <c r="AV342" s="37">
        <f t="shared" si="55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1.4</v>
      </c>
      <c r="S343" s="18">
        <f t="shared" si="57"/>
        <v>1.4</v>
      </c>
      <c r="T343" s="19">
        <f t="shared" si="52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56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53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54"/>
        <v>1.4</v>
      </c>
      <c r="AV343" s="37">
        <f t="shared" si="55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1.4</v>
      </c>
      <c r="T344" s="19">
        <f t="shared" si="52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56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53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54"/>
        <v>1.4</v>
      </c>
      <c r="AV344" s="37">
        <f t="shared" si="55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59">IFERROR(H345*((AA345*0.25)+(AC345*0.25)+(AD345*0.225)+(AE345*0.225)+(AF345*0.05)),"")</f>
        <v>11.3</v>
      </c>
      <c r="S345" s="18">
        <f t="shared" si="57"/>
        <v>11.3</v>
      </c>
      <c r="T345" s="19">
        <f t="shared" ref="T345:T354" si="60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56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53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54"/>
        <v>11.3</v>
      </c>
      <c r="AV345" s="37">
        <f t="shared" si="55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59"/>
        <v>11.3</v>
      </c>
      <c r="S346" s="18">
        <f t="shared" si="57"/>
        <v>11.3</v>
      </c>
      <c r="T346" s="19">
        <f t="shared" si="60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56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53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11.3</v>
      </c>
      <c r="AV346" s="37">
        <f t="shared" si="55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11.3</v>
      </c>
      <c r="S347" s="18">
        <f t="shared" si="57"/>
        <v>11.3</v>
      </c>
      <c r="T347" s="19">
        <f t="shared" si="60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56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1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11.3</v>
      </c>
      <c r="AV347" s="37">
        <f t="shared" si="55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11.3</v>
      </c>
      <c r="S348" s="18">
        <f t="shared" si="57"/>
        <v>11.3</v>
      </c>
      <c r="T348" s="19">
        <f t="shared" si="60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56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1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11.3</v>
      </c>
      <c r="AV348" s="37">
        <f t="shared" si="55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19.8</v>
      </c>
      <c r="S349" s="18">
        <f t="shared" si="57"/>
        <v>19.8</v>
      </c>
      <c r="T349" s="19">
        <f t="shared" si="60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56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1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19.8</v>
      </c>
      <c r="AV349" s="37">
        <f t="shared" si="55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19.8</v>
      </c>
      <c r="S350" s="18">
        <f t="shared" si="57"/>
        <v>19.8</v>
      </c>
      <c r="T350" s="19">
        <f t="shared" si="60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56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1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19.8</v>
      </c>
      <c r="AV350" s="37">
        <f t="shared" si="55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24.9</v>
      </c>
      <c r="S351" s="18">
        <f t="shared" si="57"/>
        <v>24.9</v>
      </c>
      <c r="T351" s="19">
        <f t="shared" si="60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56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1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24.9</v>
      </c>
      <c r="AV351" s="37">
        <f t="shared" si="55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24.9</v>
      </c>
      <c r="S352" s="18">
        <f t="shared" si="57"/>
        <v>24.9</v>
      </c>
      <c r="T352" s="19">
        <f t="shared" si="60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56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1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24.9</v>
      </c>
      <c r="AV352" s="37">
        <f t="shared" si="55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59"/>
        <v>74</v>
      </c>
      <c r="S353" s="18">
        <f t="shared" si="57"/>
        <v>74</v>
      </c>
      <c r="T353" s="19">
        <f t="shared" si="60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56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1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74</v>
      </c>
      <c r="AV353" s="37">
        <f t="shared" si="55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74</v>
      </c>
      <c r="S354" s="18">
        <f t="shared" si="57"/>
        <v>74</v>
      </c>
      <c r="T354" s="19">
        <f t="shared" si="60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56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1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74</v>
      </c>
      <c r="AV354" s="37">
        <f t="shared" si="55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65</v>
      </c>
      <c r="S355" s="18">
        <f t="shared" si="57"/>
        <v>65</v>
      </c>
      <c r="T355" s="19">
        <f t="shared" ref="T355:T418" si="62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63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1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65</v>
      </c>
      <c r="AV355" s="37">
        <f t="shared" si="55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65</v>
      </c>
      <c r="S356" s="18">
        <f t="shared" si="57"/>
        <v>65</v>
      </c>
      <c r="T356" s="19">
        <f t="shared" si="62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63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1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64">IF(AH356="",0,IF(ISTEXT(AH356),H356*VALUE(SUBSTITUTE(AH356,"%",""))/100,H356*AH356))</f>
        <v>65</v>
      </c>
      <c r="AV356" s="37">
        <f t="shared" ref="AV356:AV419" si="65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59"/>
        <v>151.80000000000001</v>
      </c>
      <c r="S357" s="18">
        <f t="shared" si="57"/>
        <v>151.80000000000001</v>
      </c>
      <c r="T357" s="19">
        <f t="shared" si="62"/>
        <v>0</v>
      </c>
      <c r="U357" s="206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63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1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64"/>
        <v>151.80000000000001</v>
      </c>
      <c r="AV357" s="37">
        <f t="shared" si="65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17.899999999999999</v>
      </c>
      <c r="S359" s="18">
        <f t="shared" si="57"/>
        <v>17.899999999999999</v>
      </c>
      <c r="T359" s="19">
        <f t="shared" si="62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17.899999999999999</v>
      </c>
      <c r="AV359" s="37">
        <f t="shared" si="65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17.899999999999999</v>
      </c>
      <c r="T360" s="19">
        <f t="shared" si="62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63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1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64"/>
        <v>17.899999999999999</v>
      </c>
      <c r="AV360" s="37">
        <f t="shared" si="65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59"/>
        <v>7</v>
      </c>
      <c r="S361" s="18">
        <f t="shared" si="57"/>
        <v>7</v>
      </c>
      <c r="T361" s="19">
        <f t="shared" si="62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63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1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64"/>
        <v>7</v>
      </c>
      <c r="AV361" s="37">
        <f t="shared" si="65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7</v>
      </c>
      <c r="T362" s="19">
        <f t="shared" si="62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63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1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64"/>
        <v>7</v>
      </c>
      <c r="AV362" s="37">
        <f t="shared" si="65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59"/>
        <v>8.4</v>
      </c>
      <c r="S363" s="18">
        <f t="shared" si="57"/>
        <v>8.4</v>
      </c>
      <c r="T363" s="19">
        <f t="shared" si="62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63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1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64"/>
        <v>8.4</v>
      </c>
      <c r="AV363" s="37">
        <f t="shared" si="65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8.4</v>
      </c>
      <c r="T364" s="19">
        <f t="shared" si="62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63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1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64"/>
        <v>8.4</v>
      </c>
      <c r="AV364" s="37">
        <f t="shared" si="65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0.5</v>
      </c>
      <c r="S365" s="18">
        <f t="shared" si="57"/>
        <v>0.5</v>
      </c>
      <c r="T365" s="19">
        <f t="shared" si="62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63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1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0.5</v>
      </c>
      <c r="AV365" s="37">
        <f t="shared" si="65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0.5</v>
      </c>
      <c r="T366" s="19">
        <f t="shared" si="62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63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1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0.5</v>
      </c>
      <c r="AV366" s="37">
        <f t="shared" si="65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59"/>
        <v>6</v>
      </c>
      <c r="S367" s="18">
        <f t="shared" si="57"/>
        <v>6</v>
      </c>
      <c r="T367" s="19">
        <f t="shared" si="62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63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1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64"/>
        <v>6</v>
      </c>
      <c r="AV367" s="37">
        <f t="shared" si="65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6</v>
      </c>
      <c r="T368" s="19">
        <f t="shared" si="62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63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1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64"/>
        <v>6</v>
      </c>
      <c r="AV368" s="37">
        <f t="shared" si="65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59"/>
        <v>0.4</v>
      </c>
      <c r="S369" s="18">
        <f t="shared" si="57"/>
        <v>0.4</v>
      </c>
      <c r="T369" s="19">
        <f t="shared" si="62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63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1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0.4</v>
      </c>
      <c r="AV369" s="37">
        <f t="shared" si="65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0.4</v>
      </c>
      <c r="T370" s="19">
        <f t="shared" si="62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63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1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0.4</v>
      </c>
      <c r="AV370" s="37">
        <f t="shared" si="65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0.4</v>
      </c>
      <c r="T371" s="19">
        <f t="shared" si="62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63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1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0.4</v>
      </c>
      <c r="AV371" s="37">
        <f t="shared" si="65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0.4</v>
      </c>
      <c r="T372" s="19">
        <f t="shared" si="62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63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1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0.4</v>
      </c>
      <c r="AV372" s="37">
        <f t="shared" si="65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0.2</v>
      </c>
      <c r="S373" s="18">
        <f t="shared" ref="S373:S436" si="66">IFERROR(H373*AG373,"")</f>
        <v>0.2</v>
      </c>
      <c r="T373" s="19">
        <f t="shared" si="62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63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1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0.2</v>
      </c>
      <c r="AV373" s="37">
        <f t="shared" si="65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si="66"/>
        <v>0.2</v>
      </c>
      <c r="T374" s="19">
        <f t="shared" si="62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63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1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0.2</v>
      </c>
      <c r="AV374" s="37">
        <f t="shared" si="65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59"/>
        <v>7.8</v>
      </c>
      <c r="S375" s="18">
        <f t="shared" si="66"/>
        <v>7.8</v>
      </c>
      <c r="T375" s="19">
        <f t="shared" si="62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63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1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64"/>
        <v>7.8</v>
      </c>
      <c r="AV375" s="37">
        <f t="shared" si="65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7.8</v>
      </c>
      <c r="T376" s="19">
        <f t="shared" si="62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63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1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64"/>
        <v>7.8</v>
      </c>
      <c r="AV376" s="37">
        <f t="shared" si="65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59"/>
        <v>9.1999999999999993</v>
      </c>
      <c r="S377" s="18">
        <f t="shared" si="66"/>
        <v>9.1999999999999993</v>
      </c>
      <c r="T377" s="19">
        <f t="shared" si="62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63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1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64"/>
        <v>9.1999999999999993</v>
      </c>
      <c r="AV377" s="37">
        <f t="shared" si="65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9.1999999999999993</v>
      </c>
      <c r="T378" s="19">
        <f t="shared" si="62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63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1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64"/>
        <v>9.1999999999999993</v>
      </c>
      <c r="AV378" s="37">
        <f t="shared" si="65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59"/>
        <v>4.3</v>
      </c>
      <c r="S379" s="18">
        <f t="shared" si="66"/>
        <v>4.3</v>
      </c>
      <c r="T379" s="19">
        <f t="shared" si="62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63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1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64"/>
        <v>4.3</v>
      </c>
      <c r="AV379" s="37">
        <f t="shared" si="65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4.3</v>
      </c>
      <c r="T380" s="19">
        <f t="shared" si="62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63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1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64"/>
        <v>4.3</v>
      </c>
      <c r="AV380" s="37">
        <f t="shared" si="65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</v>
      </c>
      <c r="S381" s="18">
        <f t="shared" si="66"/>
        <v>4</v>
      </c>
      <c r="T381" s="19">
        <f t="shared" si="62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63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1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64"/>
        <v>4</v>
      </c>
      <c r="AV381" s="37">
        <f t="shared" si="65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4</v>
      </c>
      <c r="T382" s="19">
        <f t="shared" si="62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63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1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64"/>
        <v>4</v>
      </c>
      <c r="AV382" s="37">
        <f t="shared" si="65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11.8</v>
      </c>
      <c r="S383" s="18">
        <f t="shared" si="66"/>
        <v>11.8</v>
      </c>
      <c r="T383" s="19">
        <f t="shared" si="62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63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1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64"/>
        <v>11.8</v>
      </c>
      <c r="AV383" s="37">
        <f t="shared" si="65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11.8</v>
      </c>
      <c r="S384" s="18">
        <f t="shared" si="66"/>
        <v>11.8</v>
      </c>
      <c r="T384" s="19">
        <f t="shared" si="62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63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1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11.8</v>
      </c>
      <c r="AV384" s="37">
        <f t="shared" si="65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</v>
      </c>
      <c r="S385" s="18">
        <f t="shared" si="66"/>
        <v>11.2</v>
      </c>
      <c r="T385" s="19">
        <f t="shared" si="62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63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1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11.2</v>
      </c>
      <c r="AV385" s="37">
        <f t="shared" si="65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11.2</v>
      </c>
      <c r="S386" s="18">
        <f t="shared" si="66"/>
        <v>11.2</v>
      </c>
      <c r="T386" s="19">
        <f t="shared" si="62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63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1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11.2</v>
      </c>
      <c r="AV386" s="37">
        <f t="shared" si="65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59"/>
        <v>31.8</v>
      </c>
      <c r="S387" s="18">
        <f t="shared" si="66"/>
        <v>31.8</v>
      </c>
      <c r="T387" s="19">
        <f t="shared" si="62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63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1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31.8</v>
      </c>
      <c r="AV387" s="37">
        <f t="shared" si="65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31.8</v>
      </c>
      <c r="S388" s="18">
        <f t="shared" si="66"/>
        <v>31.8</v>
      </c>
      <c r="T388" s="19">
        <f t="shared" si="62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63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1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67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31.8</v>
      </c>
      <c r="AV388" s="37">
        <f t="shared" si="65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59"/>
        <v>58.199999999999996</v>
      </c>
      <c r="S389" s="18">
        <f t="shared" si="66"/>
        <v>58.199999999999996</v>
      </c>
      <c r="T389" s="19">
        <f t="shared" si="62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63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1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67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58.199999999999996</v>
      </c>
      <c r="AV389" s="37">
        <f t="shared" si="65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58.199999999999996</v>
      </c>
      <c r="T390" s="19">
        <f t="shared" si="62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63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1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64"/>
        <v>58.199999999999996</v>
      </c>
      <c r="AV390" s="37">
        <f t="shared" si="65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59"/>
        <v>19.399999999999999</v>
      </c>
      <c r="S391" s="18">
        <f t="shared" si="66"/>
        <v>19.399999999999999</v>
      </c>
      <c r="T391" s="19">
        <f t="shared" si="62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63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1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64"/>
        <v>19.399999999999999</v>
      </c>
      <c r="AV391" s="37">
        <f t="shared" si="65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19.399999999999999</v>
      </c>
      <c r="T392" s="19">
        <f t="shared" si="62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63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1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64"/>
        <v>19.399999999999999</v>
      </c>
      <c r="AV392" s="37">
        <f t="shared" si="65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59"/>
        <v>2.6999999999999997</v>
      </c>
      <c r="S393" s="18">
        <f t="shared" si="66"/>
        <v>2.6999999999999997</v>
      </c>
      <c r="T393" s="19">
        <f t="shared" si="62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63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1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64"/>
        <v>2.6999999999999997</v>
      </c>
      <c r="AV393" s="37">
        <f t="shared" si="65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2.6999999999999997</v>
      </c>
      <c r="T394" s="19">
        <f t="shared" si="62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63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1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64"/>
        <v>2.6999999999999997</v>
      </c>
      <c r="AV394" s="37">
        <f t="shared" si="65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59"/>
        <v>265.89999999999998</v>
      </c>
      <c r="S395" s="18">
        <f t="shared" si="66"/>
        <v>265.89999999999998</v>
      </c>
      <c r="T395" s="19">
        <f t="shared" si="62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63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1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64"/>
        <v>265.89999999999998</v>
      </c>
      <c r="AV395" s="37">
        <f t="shared" si="65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265.89999999999998</v>
      </c>
      <c r="S396" s="18">
        <f t="shared" si="66"/>
        <v>265.89999999999998</v>
      </c>
      <c r="T396" s="19">
        <f t="shared" si="62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63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1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265.89999999999998</v>
      </c>
      <c r="AV396" s="37">
        <f t="shared" si="65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15.8</v>
      </c>
      <c r="S397" s="18">
        <f t="shared" si="66"/>
        <v>15.8</v>
      </c>
      <c r="T397" s="19">
        <f t="shared" si="62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63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1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15.8</v>
      </c>
      <c r="AV397" s="37">
        <f t="shared" si="65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15.8</v>
      </c>
      <c r="T398" s="19">
        <f t="shared" si="62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63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1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64"/>
        <v>15.8</v>
      </c>
      <c r="AV398" s="37">
        <f t="shared" si="65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49.5</v>
      </c>
      <c r="S399" s="18">
        <f t="shared" si="66"/>
        <v>49.5</v>
      </c>
      <c r="T399" s="19">
        <f t="shared" si="62"/>
        <v>0</v>
      </c>
      <c r="U399" s="206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63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1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64"/>
        <v>49.5</v>
      </c>
      <c r="AV399" s="37">
        <f t="shared" si="65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282</v>
      </c>
      <c r="S401" s="18">
        <f t="shared" si="66"/>
        <v>282</v>
      </c>
      <c r="T401" s="19">
        <f t="shared" si="62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282</v>
      </c>
      <c r="AV401" s="37">
        <f t="shared" si="65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59"/>
        <v>199.48</v>
      </c>
      <c r="S403" s="18">
        <f t="shared" si="66"/>
        <v>199.48</v>
      </c>
      <c r="T403" s="19">
        <f t="shared" si="62"/>
        <v>0</v>
      </c>
      <c r="U403" s="16">
        <f>IFERROR(SUMIF('LISTA DE EMBARQUE'!B:B,MICRO!E:E,'LISTA DE EMBARQUE'!G:G),"")</f>
        <v>0</v>
      </c>
      <c r="V403" s="12" t="str">
        <f>IFERROR(VLOOKUP(Tabela1[[#This Row],[COD.MDE]],'LISTA DE EMBARQUE'!B:L,11,0),"")</f>
        <v/>
      </c>
      <c r="W403" s="13" t="str">
        <f>IFERROR(VLOOKUP(Tabela1[[#This Row],[COD.MDE]],'LISTA DE EMBARQUE'!B:M,12,0),"")</f>
        <v/>
      </c>
      <c r="X403" s="14">
        <f>IFERROR(Tabela1[[#This Row],[QIANTIDADE EXPEDIDA]]*Tabela1[[#This Row],[PESO UNI]],"")</f>
        <v>0</v>
      </c>
      <c r="Y403" s="14">
        <f t="shared" si="63"/>
        <v>-4</v>
      </c>
      <c r="Z403" s="20">
        <f>Tabela1[[#This Row],[PESO TOTAL]]-Tabela1[[#This Row],[Peso Expedido]]</f>
        <v>199.48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/>
      <c r="AI403" s="33" t="str">
        <f t="shared" si="61"/>
        <v/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199.48</v>
      </c>
      <c r="AU403" s="37">
        <f t="shared" si="64"/>
        <v>0</v>
      </c>
      <c r="AV403" s="37">
        <f t="shared" si="65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200</v>
      </c>
      <c r="S404" s="18">
        <f t="shared" si="66"/>
        <v>200</v>
      </c>
      <c r="T404" s="19">
        <f t="shared" si="62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200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200</v>
      </c>
      <c r="AU404" s="37">
        <f t="shared" si="64"/>
        <v>0</v>
      </c>
      <c r="AV404" s="37">
        <f t="shared" si="65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59"/>
        <v>57.6</v>
      </c>
      <c r="S405" s="18">
        <f t="shared" si="66"/>
        <v>57.6</v>
      </c>
      <c r="T405" s="19">
        <f t="shared" si="62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63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1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57.6</v>
      </c>
      <c r="AV405" s="37">
        <f t="shared" si="65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57.6</v>
      </c>
      <c r="T406" s="19">
        <f t="shared" si="62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63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1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64"/>
        <v>57.6</v>
      </c>
      <c r="AV406" s="37">
        <f t="shared" si="65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44.8</v>
      </c>
      <c r="S407" s="18">
        <f t="shared" si="66"/>
        <v>44.8</v>
      </c>
      <c r="T407" s="19">
        <f t="shared" si="62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63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1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64"/>
        <v>44.8</v>
      </c>
      <c r="AV407" s="37">
        <f t="shared" si="65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44.8</v>
      </c>
      <c r="T408" s="19">
        <f t="shared" si="62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63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1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64"/>
        <v>44.8</v>
      </c>
      <c r="AV408" s="37">
        <f t="shared" si="65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68">IFERROR(H409*((AA409*0.25)+(AC409*0.25)+(AD409*0.225)+(AE409*0.225)+(AF409*0.05)),"")</f>
        <v>57.1</v>
      </c>
      <c r="S409" s="18">
        <f t="shared" si="66"/>
        <v>57.1</v>
      </c>
      <c r="T409" s="19">
        <f t="shared" si="62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63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1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64"/>
        <v>57.1</v>
      </c>
      <c r="AV409" s="37">
        <f t="shared" si="65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68"/>
        <v>57.1</v>
      </c>
      <c r="S410" s="18">
        <f t="shared" si="66"/>
        <v>57.1</v>
      </c>
      <c r="T410" s="19">
        <f t="shared" si="62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63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1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64"/>
        <v>57.1</v>
      </c>
      <c r="AV410" s="37">
        <f t="shared" si="65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42.4</v>
      </c>
      <c r="S411" s="18">
        <f t="shared" si="66"/>
        <v>42.4</v>
      </c>
      <c r="T411" s="19">
        <f t="shared" si="62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63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69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64"/>
        <v>42.4</v>
      </c>
      <c r="AV411" s="37">
        <f t="shared" si="65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42.4</v>
      </c>
      <c r="T412" s="19">
        <f t="shared" si="62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63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69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64"/>
        <v>42.4</v>
      </c>
      <c r="AV412" s="37">
        <f t="shared" si="65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40.700000000000003</v>
      </c>
      <c r="S413" s="18">
        <f t="shared" si="66"/>
        <v>40.700000000000003</v>
      </c>
      <c r="T413" s="19">
        <f t="shared" si="62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63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69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64"/>
        <v>40.700000000000003</v>
      </c>
      <c r="AV413" s="37">
        <f t="shared" si="65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40.700000000000003</v>
      </c>
      <c r="T414" s="19">
        <f t="shared" si="62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63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69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64"/>
        <v>40.700000000000003</v>
      </c>
      <c r="AV414" s="37">
        <f t="shared" si="65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57.7</v>
      </c>
      <c r="S415" s="18">
        <f t="shared" si="66"/>
        <v>57.7</v>
      </c>
      <c r="T415" s="19">
        <f t="shared" si="62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63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69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64"/>
        <v>57.7</v>
      </c>
      <c r="AV415" s="37">
        <f t="shared" si="65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57.7</v>
      </c>
      <c r="T416" s="19">
        <f t="shared" si="62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63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69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64"/>
        <v>57.7</v>
      </c>
      <c r="AV416" s="37">
        <f t="shared" si="65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47.2</v>
      </c>
      <c r="S417" s="18">
        <f t="shared" si="66"/>
        <v>47.2</v>
      </c>
      <c r="T417" s="19">
        <f t="shared" si="62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63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69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64"/>
        <v>47.2</v>
      </c>
      <c r="AV417" s="37">
        <f t="shared" si="65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47.2</v>
      </c>
      <c r="T418" s="19">
        <f t="shared" si="62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63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69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64"/>
        <v>47.2</v>
      </c>
      <c r="AV418" s="37">
        <f t="shared" si="65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38.4</v>
      </c>
      <c r="S419" s="18">
        <f t="shared" si="66"/>
        <v>38.4</v>
      </c>
      <c r="T419" s="19">
        <f t="shared" ref="T419:T438" si="70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1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69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64"/>
        <v>38.4</v>
      </c>
      <c r="AV419" s="37">
        <f t="shared" si="65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38.4</v>
      </c>
      <c r="T420" s="19">
        <f t="shared" si="70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1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69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72">IF(AH420="",0,IF(ISTEXT(AH420),H420*VALUE(SUBSTITUTE(AH420,"%",""))/100,H420*AH420))</f>
        <v>38.4</v>
      </c>
      <c r="AV420" s="37">
        <f t="shared" ref="AV420:AV438" si="73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42.7</v>
      </c>
      <c r="S421" s="18">
        <f t="shared" si="66"/>
        <v>42.7</v>
      </c>
      <c r="T421" s="19">
        <f t="shared" si="70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1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69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72"/>
        <v>42.7</v>
      </c>
      <c r="AV421" s="37">
        <f t="shared" si="73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42.7</v>
      </c>
      <c r="T422" s="19">
        <f t="shared" si="70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1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69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72"/>
        <v>42.7</v>
      </c>
      <c r="AV422" s="37">
        <f t="shared" si="73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68"/>
        <v>72</v>
      </c>
      <c r="S423" s="18">
        <f t="shared" si="66"/>
        <v>72</v>
      </c>
      <c r="T423" s="19">
        <f t="shared" si="70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-24</v>
      </c>
      <c r="Z423" s="20">
        <f>Tabela1[[#This Row],[PESO TOTAL]]-Tabela1[[#This Row],[Peso Expedido]]</f>
        <v>72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72"/>
        <v>72</v>
      </c>
      <c r="AV423" s="37">
        <f t="shared" si="73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36</v>
      </c>
      <c r="S424" s="18">
        <f t="shared" si="66"/>
        <v>36</v>
      </c>
      <c r="T424" s="19">
        <f t="shared" si="70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36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72"/>
        <v>36</v>
      </c>
      <c r="AV424" s="37">
        <f t="shared" si="73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68"/>
        <v>37.6</v>
      </c>
      <c r="S425" s="18">
        <f t="shared" si="66"/>
        <v>37.6</v>
      </c>
      <c r="T425" s="19">
        <f t="shared" si="70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1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69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72"/>
        <v>37.6</v>
      </c>
      <c r="AV425" s="37">
        <f t="shared" si="73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56.6</v>
      </c>
      <c r="S426" s="18">
        <f t="shared" si="66"/>
        <v>56.6</v>
      </c>
      <c r="T426" s="19">
        <f t="shared" si="70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1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69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56.6</v>
      </c>
      <c r="AV426" s="37">
        <f t="shared" si="73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68"/>
        <v>43.8</v>
      </c>
      <c r="S427" s="18">
        <f t="shared" si="66"/>
        <v>43.8</v>
      </c>
      <c r="T427" s="19">
        <f t="shared" si="70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1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69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43.8</v>
      </c>
      <c r="AV427" s="37">
        <f t="shared" si="73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68"/>
        <v>1.6</v>
      </c>
      <c r="S428" s="18">
        <f t="shared" si="66"/>
        <v>1.6</v>
      </c>
      <c r="T428" s="19">
        <f t="shared" si="70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1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69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1.6</v>
      </c>
      <c r="AV428" s="37">
        <f t="shared" si="73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3.6</v>
      </c>
      <c r="S429" s="18">
        <f t="shared" si="66"/>
        <v>3.6</v>
      </c>
      <c r="T429" s="19">
        <f t="shared" si="70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1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69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72"/>
        <v>3.6</v>
      </c>
      <c r="AV429" s="37">
        <f t="shared" si="73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68"/>
        <v>4.4000000000000004</v>
      </c>
      <c r="S430" s="18">
        <f t="shared" si="66"/>
        <v>4.4000000000000004</v>
      </c>
      <c r="T430" s="19">
        <f t="shared" si="70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1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69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72"/>
        <v>4.4000000000000004</v>
      </c>
      <c r="AV430" s="37">
        <f t="shared" si="73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3.9</v>
      </c>
      <c r="S431" s="18">
        <f t="shared" si="66"/>
        <v>3.9</v>
      </c>
      <c r="T431" s="19">
        <f t="shared" si="70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1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69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72"/>
        <v>3.9</v>
      </c>
      <c r="AV431" s="37">
        <f t="shared" si="73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43.8</v>
      </c>
      <c r="S432" s="18">
        <f t="shared" si="66"/>
        <v>43.8</v>
      </c>
      <c r="T432" s="19">
        <f t="shared" si="70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1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69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72"/>
        <v>43.8</v>
      </c>
      <c r="AV432" s="37">
        <f t="shared" si="73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68"/>
        <v>1.6</v>
      </c>
      <c r="S433" s="18">
        <f t="shared" si="66"/>
        <v>1.6</v>
      </c>
      <c r="T433" s="19">
        <f t="shared" si="70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1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69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1.6</v>
      </c>
      <c r="AV433" s="37">
        <f t="shared" si="73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3.6</v>
      </c>
      <c r="S434" s="18">
        <f t="shared" si="66"/>
        <v>3.6</v>
      </c>
      <c r="T434" s="19">
        <f t="shared" si="70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1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69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72"/>
        <v>3.6</v>
      </c>
      <c r="AV434" s="37">
        <f t="shared" si="73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68"/>
        <v>4.4000000000000004</v>
      </c>
      <c r="S435" s="18">
        <f t="shared" si="66"/>
        <v>4.4000000000000004</v>
      </c>
      <c r="T435" s="19">
        <f t="shared" si="70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1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69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72"/>
        <v>4.4000000000000004</v>
      </c>
      <c r="AV435" s="37">
        <f t="shared" si="73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3.9</v>
      </c>
      <c r="S436" s="18">
        <f t="shared" si="66"/>
        <v>3.9</v>
      </c>
      <c r="T436" s="19">
        <f t="shared" si="70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1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69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72"/>
        <v>3.9</v>
      </c>
      <c r="AV436" s="37">
        <f t="shared" si="73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68"/>
        <v>8.9600000000000009</v>
      </c>
      <c r="S437" s="18">
        <f t="shared" ref="S437:S506" si="74">IFERROR(H437*AG437,"")</f>
        <v>8.9600000000000009</v>
      </c>
      <c r="T437" s="19">
        <f t="shared" si="70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1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72"/>
        <v>8.9600000000000009</v>
      </c>
      <c r="AV437" s="37">
        <f t="shared" si="73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117.3884</v>
      </c>
      <c r="S438" s="18">
        <f t="shared" si="74"/>
        <v>117.3884</v>
      </c>
      <c r="T438" s="19">
        <f t="shared" si="70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1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117.3884</v>
      </c>
      <c r="AV438" s="37">
        <f t="shared" si="73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75">IFERROR(H439*((AA439*0.25)+(AC439*0.25)+(AD439*0.225)+(AE439*0.225)+(AF439*0.05)),"")</f>
        <v>51.75</v>
      </c>
      <c r="S439" s="18">
        <f t="shared" si="74"/>
        <v>30</v>
      </c>
      <c r="T439" s="19">
        <f t="shared" ref="T439" si="76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77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78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79">IF(AH439="",0,IF(ISTEXT(AH439),H439*VALUE(SUBSTITUTE(AH439,"%",""))/100,H439*AH439))</f>
        <v>0</v>
      </c>
      <c r="AV439" s="37">
        <f t="shared" ref="AV439" si="80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1">IFERROR(H440*((AA440*0.25)+(AC440*0.25)+(AD440*0.225)+(AE440*0.225)+(AF440*0.05)),"")</f>
        <v>64.6875</v>
      </c>
      <c r="S440" s="18">
        <f t="shared" si="74"/>
        <v>37.5</v>
      </c>
      <c r="T440" s="19">
        <f t="shared" ref="T440:T509" si="82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83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84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85">IF(AH440="",0,IF(ISTEXT(AH440),H440*VALUE(SUBSTITUTE(AH440,"%",""))/100,H440*AH440))</f>
        <v>0</v>
      </c>
      <c r="AV440" s="37">
        <f t="shared" ref="AV440:AV509" si="86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1"/>
        <v>0</v>
      </c>
      <c r="S441" s="18">
        <f t="shared" si="74"/>
        <v>0</v>
      </c>
      <c r="T441" s="19">
        <f t="shared" si="82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83"/>
        <v>-4</v>
      </c>
      <c r="Z441" s="20">
        <f>Tabela1[[#This Row],[PESO TOTAL]]-Tabela1[[#This Row],[Peso Expedido]]</f>
        <v>119.6</v>
      </c>
      <c r="AA441" s="17"/>
      <c r="AB441" s="33"/>
      <c r="AC441" s="33"/>
      <c r="AD441" s="33"/>
      <c r="AE441" s="33"/>
      <c r="AF441" s="33"/>
      <c r="AG441" s="33"/>
      <c r="AH441" s="33"/>
      <c r="AI441" s="33" t="str">
        <f t="shared" si="69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84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85"/>
        <v>0</v>
      </c>
      <c r="AV441" s="37">
        <f t="shared" si="86"/>
        <v>0</v>
      </c>
      <c r="AW441" s="37"/>
    </row>
    <row r="442" spans="1:49" ht="15.75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si="81"/>
        <v>9.1199999999999992</v>
      </c>
      <c r="S442" s="18">
        <f t="shared" si="74"/>
        <v>0</v>
      </c>
      <c r="T442" s="19">
        <f t="shared" si="82"/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84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91.2</v>
      </c>
      <c r="S443" s="18">
        <f t="shared" si="74"/>
        <v>91.2</v>
      </c>
      <c r="T443" s="19">
        <f t="shared" si="82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83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6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91.2</v>
      </c>
      <c r="AV443" s="37">
        <f t="shared" si="86"/>
        <v>91.2</v>
      </c>
      <c r="AW443" s="37"/>
    </row>
    <row r="444" spans="1:49" ht="15.75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81"/>
        <v>194.93999999999997</v>
      </c>
      <c r="S444" s="18">
        <f t="shared" si="74"/>
        <v>0</v>
      </c>
      <c r="T444" s="19">
        <f t="shared" si="82"/>
        <v>-205.2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-4</v>
      </c>
      <c r="Z444" s="20">
        <f>Tabela1[[#This Row],[PESO TOTAL]]-Tabela1[[#This Row],[Peso Expedido]]</f>
        <v>205.2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81"/>
        <v>36.479999999999997</v>
      </c>
      <c r="S445" s="18">
        <f t="shared" si="74"/>
        <v>0</v>
      </c>
      <c r="T445" s="19">
        <f t="shared" si="82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81"/>
        <v>158.83999999999997</v>
      </c>
      <c r="S446" s="18">
        <f t="shared" si="74"/>
        <v>0</v>
      </c>
      <c r="T446" s="19">
        <f t="shared" si="82"/>
        <v>-167.2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-22</v>
      </c>
      <c r="Z446" s="20">
        <f>Tabela1[[#This Row],[PESO TOTAL]]-Tabela1[[#This Row],[Peso Expedido]]</f>
        <v>167.2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81"/>
        <v>24.604999999999997</v>
      </c>
      <c r="S447" s="18">
        <f t="shared" si="74"/>
        <v>0</v>
      </c>
      <c r="T447" s="19">
        <f t="shared" si="82"/>
        <v>-25.9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-1</v>
      </c>
      <c r="Z447" s="20">
        <f>Tabela1[[#This Row],[PESO TOTAL]]-Tabela1[[#This Row],[Peso Expedido]]</f>
        <v>25.9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81"/>
        <v>2.4699999999999998</v>
      </c>
      <c r="S448" s="18">
        <f t="shared" si="74"/>
        <v>0</v>
      </c>
      <c r="T448" s="19">
        <f t="shared" si="82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81"/>
        <v>22.799999999999997</v>
      </c>
      <c r="S449" s="18">
        <f>IFERROR(H449*AG449,"")</f>
        <v>0</v>
      </c>
      <c r="T449" s="19">
        <f>IFERROR(S449-H449,"")</f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>U449-C449</f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4953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81"/>
        <v>748.2</v>
      </c>
      <c r="S450" s="18">
        <f t="shared" ref="S450:S458" si="87">IFERROR(H450*AG450,"")</f>
        <v>748.2</v>
      </c>
      <c r="T450" s="19">
        <f t="shared" ref="T450:T458" si="88">IFERROR(S450-H450,"")</f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ref="Y450:Y458" si="89">U450-C450</f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69"/>
        <v>ok</v>
      </c>
    </row>
    <row r="451" spans="1:49" ht="15.75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81"/>
        <v>3651</v>
      </c>
      <c r="S451" s="18">
        <f t="shared" si="87"/>
        <v>3651</v>
      </c>
      <c r="T451" s="19">
        <f t="shared" si="88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89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6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1"/>
        <v>8.01</v>
      </c>
      <c r="S452" s="18">
        <f t="shared" si="87"/>
        <v>5.3999999999999995</v>
      </c>
      <c r="T452" s="19">
        <f t="shared" si="88"/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si="89"/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69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87"/>
        <v>82.68</v>
      </c>
      <c r="T453" s="19">
        <f t="shared" si="88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89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69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87"/>
        <v>133.70000000000002</v>
      </c>
      <c r="T454" s="19">
        <f t="shared" si="88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69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87"/>
        <v>109.19999999999999</v>
      </c>
      <c r="T455" s="19">
        <f t="shared" si="88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69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87"/>
        <v>48</v>
      </c>
      <c r="T456" s="19">
        <f t="shared" si="88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69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87"/>
        <v>70</v>
      </c>
      <c r="T457" s="19">
        <f t="shared" si="88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69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87"/>
        <v>138</v>
      </c>
      <c r="T458" s="19">
        <f t="shared" si="88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69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1"/>
        <v>13.1</v>
      </c>
      <c r="S459" s="18">
        <f t="shared" si="74"/>
        <v>13.1</v>
      </c>
      <c r="T459" s="19">
        <f t="shared" si="82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83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84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85"/>
        <v>13.1</v>
      </c>
      <c r="AV459" s="37">
        <f t="shared" si="86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1"/>
        <v>13.1</v>
      </c>
      <c r="S460" s="18">
        <f t="shared" si="74"/>
        <v>13.1</v>
      </c>
      <c r="T460" s="19">
        <f t="shared" si="82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83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84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85"/>
        <v>13.1</v>
      </c>
      <c r="AV460" s="37">
        <f t="shared" si="86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1"/>
        <v>6.2</v>
      </c>
      <c r="S461" s="18">
        <f t="shared" si="74"/>
        <v>6.2</v>
      </c>
      <c r="T461" s="19">
        <f t="shared" si="82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83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84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85"/>
        <v>6.2</v>
      </c>
      <c r="AV461" s="37">
        <f t="shared" si="86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17.5</v>
      </c>
      <c r="S462" s="18">
        <f t="shared" si="74"/>
        <v>17.5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17.5</v>
      </c>
      <c r="AV462" s="37">
        <f t="shared" si="86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1"/>
        <v>344.4</v>
      </c>
      <c r="S463" s="18">
        <f t="shared" si="74"/>
        <v>344.4</v>
      </c>
      <c r="T463" s="19">
        <f t="shared" si="82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344.4</v>
      </c>
      <c r="AV463" s="37">
        <f t="shared" si="86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1.4</v>
      </c>
      <c r="S464" s="18">
        <f t="shared" si="74"/>
        <v>1.4</v>
      </c>
      <c r="T464" s="19">
        <f t="shared" si="82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1.4</v>
      </c>
      <c r="AV464" s="37">
        <f t="shared" si="86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4.5999999999999996</v>
      </c>
      <c r="S465" s="18">
        <f t="shared" si="74"/>
        <v>4.5999999999999996</v>
      </c>
      <c r="T465" s="19">
        <f t="shared" si="82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4.5999999999999996</v>
      </c>
      <c r="AV465" s="37">
        <f t="shared" si="86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1"/>
        <v>50.8</v>
      </c>
      <c r="S466" s="18">
        <f t="shared" si="74"/>
        <v>50.8</v>
      </c>
      <c r="T466" s="19">
        <f t="shared" si="82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50.8</v>
      </c>
      <c r="AV466" s="37">
        <f t="shared" si="86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1.1000000000000001</v>
      </c>
      <c r="S467" s="18">
        <f t="shared" si="74"/>
        <v>1.1000000000000001</v>
      </c>
      <c r="T467" s="19">
        <f t="shared" si="82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1.1000000000000001</v>
      </c>
      <c r="AV467" s="37">
        <f t="shared" si="86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23.6</v>
      </c>
      <c r="S468" s="18">
        <f t="shared" si="74"/>
        <v>23.6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23.6</v>
      </c>
      <c r="AV468" s="37">
        <f t="shared" si="86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1.1000000000000001</v>
      </c>
      <c r="S469" s="18">
        <f t="shared" si="74"/>
        <v>1.1000000000000001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1.1000000000000001</v>
      </c>
      <c r="AV469" s="37">
        <f t="shared" si="86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1"/>
        <v>133</v>
      </c>
      <c r="S470" s="18">
        <f t="shared" si="74"/>
        <v>133</v>
      </c>
      <c r="T470" s="19">
        <f t="shared" si="82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133</v>
      </c>
      <c r="AV470" s="37">
        <f t="shared" si="86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1"/>
        <v>8</v>
      </c>
      <c r="S471" s="18">
        <f t="shared" si="74"/>
        <v>8</v>
      </c>
      <c r="T471" s="19">
        <f t="shared" si="82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8</v>
      </c>
      <c r="AV471" s="37">
        <f t="shared" si="86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1"/>
        <v>16</v>
      </c>
      <c r="S472" s="18">
        <f t="shared" si="74"/>
        <v>16</v>
      </c>
      <c r="T472" s="19">
        <f t="shared" si="82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16</v>
      </c>
      <c r="AV472" s="37">
        <f t="shared" si="86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1"/>
        <v>95.2</v>
      </c>
      <c r="S473" s="18">
        <f t="shared" si="74"/>
        <v>95.2</v>
      </c>
      <c r="T473" s="19">
        <f t="shared" si="82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95.2</v>
      </c>
      <c r="AV473" s="37">
        <f t="shared" si="86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114</v>
      </c>
      <c r="S474" s="18">
        <f t="shared" si="74"/>
        <v>114</v>
      </c>
      <c r="T474" s="19">
        <f t="shared" si="82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114</v>
      </c>
      <c r="AV474" s="37">
        <f t="shared" si="86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1"/>
        <v>29.1</v>
      </c>
      <c r="S475" s="18">
        <f t="shared" si="74"/>
        <v>29.1</v>
      </c>
      <c r="T475" s="19">
        <f t="shared" si="82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29.1</v>
      </c>
      <c r="AV475" s="37">
        <f t="shared" si="86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1"/>
        <v>0.5</v>
      </c>
      <c r="S476" s="18">
        <f t="shared" si="74"/>
        <v>0.5</v>
      </c>
      <c r="T476" s="19">
        <f t="shared" si="82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0.5</v>
      </c>
      <c r="AV476" s="37">
        <f t="shared" si="86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1"/>
        <v>5</v>
      </c>
      <c r="S477" s="18">
        <f t="shared" si="74"/>
        <v>5</v>
      </c>
      <c r="T477" s="19">
        <f t="shared" si="82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5</v>
      </c>
      <c r="AV477" s="37">
        <f t="shared" si="86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</v>
      </c>
      <c r="S478" s="18">
        <f t="shared" si="74"/>
        <v>2</v>
      </c>
      <c r="T478" s="19">
        <f t="shared" si="82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</v>
      </c>
      <c r="AV478" s="37">
        <f t="shared" si="86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5.0999999999999996</v>
      </c>
      <c r="S479" s="18">
        <f t="shared" si="74"/>
        <v>5.0999999999999996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5.0999999999999996</v>
      </c>
      <c r="AV479" s="37">
        <f t="shared" si="86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628.70000000000005</v>
      </c>
      <c r="S480" s="18">
        <f t="shared" si="74"/>
        <v>628.70000000000005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628.70000000000005</v>
      </c>
      <c r="AV480" s="37">
        <f t="shared" si="86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11.1</v>
      </c>
      <c r="S481" s="18">
        <f t="shared" si="74"/>
        <v>11.1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11.1</v>
      </c>
      <c r="AV481" s="37">
        <f t="shared" si="86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25.3</v>
      </c>
      <c r="S482" s="18">
        <f t="shared" si="74"/>
        <v>25.3</v>
      </c>
      <c r="T482" s="19">
        <f t="shared" si="82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25.3</v>
      </c>
      <c r="AV482" s="37">
        <f t="shared" si="86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12.3</v>
      </c>
      <c r="S483" s="18">
        <f t="shared" si="74"/>
        <v>12.3</v>
      </c>
      <c r="T483" s="19">
        <f t="shared" si="82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12.3</v>
      </c>
      <c r="AV483" s="37">
        <f t="shared" si="86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4.2</v>
      </c>
      <c r="S484" s="18">
        <f t="shared" si="74"/>
        <v>4.2</v>
      </c>
      <c r="T484" s="19">
        <f t="shared" si="82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4.2</v>
      </c>
      <c r="AV484" s="37">
        <f t="shared" si="86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0.5</v>
      </c>
      <c r="S485" s="18">
        <f t="shared" si="74"/>
        <v>0.5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0.5</v>
      </c>
      <c r="AV485" s="37">
        <f t="shared" si="86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0.2</v>
      </c>
      <c r="S486" s="18">
        <f t="shared" si="74"/>
        <v>0.2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0.2</v>
      </c>
      <c r="AV486" s="37">
        <f t="shared" si="86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1"/>
        <v>14</v>
      </c>
      <c r="S487" s="18">
        <f t="shared" si="74"/>
        <v>14</v>
      </c>
      <c r="T487" s="19">
        <f t="shared" si="82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14</v>
      </c>
      <c r="AV487" s="37">
        <f t="shared" si="86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1"/>
        <v>1.6</v>
      </c>
      <c r="S488" s="18">
        <f t="shared" si="74"/>
        <v>1.6</v>
      </c>
      <c r="T488" s="19">
        <f t="shared" si="82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1.6</v>
      </c>
      <c r="AV488" s="37">
        <f t="shared" si="86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0.6</v>
      </c>
      <c r="S489" s="18">
        <f t="shared" si="74"/>
        <v>0.6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0.6</v>
      </c>
      <c r="AV489" s="37">
        <f t="shared" si="86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1"/>
        <v>0.1</v>
      </c>
      <c r="S490" s="18">
        <f t="shared" si="74"/>
        <v>0.1</v>
      </c>
      <c r="T490" s="19">
        <f t="shared" si="82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0.1</v>
      </c>
      <c r="AV490" s="37">
        <f t="shared" si="86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1"/>
        <v>0.1</v>
      </c>
      <c r="S491" s="18">
        <f t="shared" si="74"/>
        <v>0.1</v>
      </c>
      <c r="T491" s="19">
        <f t="shared" si="82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0.1</v>
      </c>
      <c r="AV491" s="37">
        <f t="shared" si="86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0.1</v>
      </c>
      <c r="S492" s="18">
        <f t="shared" si="74"/>
        <v>0.1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0.1</v>
      </c>
      <c r="AV492" s="37">
        <f t="shared" si="86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0.2</v>
      </c>
      <c r="S493" s="18">
        <f t="shared" si="74"/>
        <v>0.2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0.2</v>
      </c>
      <c r="AV493" s="37">
        <f t="shared" si="86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0.4</v>
      </c>
      <c r="S494" s="18">
        <f t="shared" si="74"/>
        <v>0.4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0.4</v>
      </c>
      <c r="AV494" s="37">
        <f t="shared" si="86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0.6</v>
      </c>
      <c r="S495" s="18">
        <f t="shared" si="74"/>
        <v>0.6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0.6</v>
      </c>
      <c r="AV495" s="37">
        <f t="shared" si="86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0.4</v>
      </c>
      <c r="S496" s="18">
        <f t="shared" si="74"/>
        <v>0.4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0.4</v>
      </c>
      <c r="AV496" s="37">
        <f t="shared" si="86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9</v>
      </c>
      <c r="S497" s="18">
        <f t="shared" si="74"/>
        <v>9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9</v>
      </c>
      <c r="AV497" s="37">
        <f t="shared" si="86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1"/>
        <v>10</v>
      </c>
      <c r="S498" s="18">
        <f t="shared" si="74"/>
        <v>10</v>
      </c>
      <c r="T498" s="19">
        <f t="shared" si="82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10</v>
      </c>
      <c r="AV498" s="37">
        <f t="shared" si="86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23.4</v>
      </c>
      <c r="S499" s="18">
        <f t="shared" si="74"/>
        <v>23.4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23.4</v>
      </c>
      <c r="AV499" s="37">
        <f t="shared" si="86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51.7</v>
      </c>
      <c r="S500" s="18">
        <f t="shared" si="74"/>
        <v>51.7</v>
      </c>
      <c r="T500" s="19">
        <f t="shared" si="82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51.7</v>
      </c>
      <c r="AV500" s="37">
        <f t="shared" si="86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1"/>
        <v>232.8</v>
      </c>
      <c r="S501" s="18">
        <f t="shared" si="74"/>
        <v>232.8</v>
      </c>
      <c r="T501" s="19">
        <f t="shared" si="82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232.8</v>
      </c>
      <c r="AV501" s="37">
        <f t="shared" si="86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1"/>
        <v>62</v>
      </c>
      <c r="S502" s="18">
        <f t="shared" si="74"/>
        <v>62</v>
      </c>
      <c r="T502" s="19">
        <f t="shared" si="82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62</v>
      </c>
      <c r="AV502" s="37">
        <f t="shared" si="86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45.4</v>
      </c>
      <c r="S503" s="18">
        <f t="shared" si="74"/>
        <v>45.4</v>
      </c>
      <c r="T503" s="19">
        <f t="shared" si="82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45.4</v>
      </c>
      <c r="AV503" s="37">
        <f t="shared" si="86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1"/>
        <v>48</v>
      </c>
      <c r="S504" s="18">
        <f t="shared" si="74"/>
        <v>48</v>
      </c>
      <c r="T504" s="19">
        <f t="shared" si="82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48</v>
      </c>
      <c r="AV504" s="37">
        <f t="shared" si="86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1"/>
        <v>28.1</v>
      </c>
      <c r="S505" s="18">
        <f t="shared" si="74"/>
        <v>28.1</v>
      </c>
      <c r="T505" s="19">
        <f t="shared" si="82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28.1</v>
      </c>
      <c r="AV505" s="37">
        <f t="shared" si="86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2.9</v>
      </c>
      <c r="S506" s="18">
        <f t="shared" si="74"/>
        <v>2.9</v>
      </c>
      <c r="T506" s="19">
        <f t="shared" si="82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2.9</v>
      </c>
      <c r="AV506" s="37">
        <f t="shared" si="86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1"/>
        <v>3.3</v>
      </c>
      <c r="S507" s="18">
        <f t="shared" ref="S507:S570" si="90">IFERROR(H507*AG507,"")</f>
        <v>3.3</v>
      </c>
      <c r="T507" s="19">
        <f t="shared" si="82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3.3</v>
      </c>
      <c r="AV507" s="37">
        <f t="shared" si="86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0.1</v>
      </c>
      <c r="S508" s="18">
        <f t="shared" si="90"/>
        <v>0.1</v>
      </c>
      <c r="T508" s="19">
        <f t="shared" si="82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0.1</v>
      </c>
      <c r="AV508" s="37">
        <f t="shared" si="86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0.1</v>
      </c>
      <c r="S509" s="18">
        <f t="shared" si="90"/>
        <v>0.1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0.1</v>
      </c>
      <c r="AV509" s="37">
        <f t="shared" si="86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91">IFERROR(H510*((AA510*0.25)+(AC510*0.25)+(AD510*0.225)+(AE510*0.225)+(AF510*0.05)),"")</f>
        <v>0.1</v>
      </c>
      <c r="S510" s="18">
        <f t="shared" si="90"/>
        <v>0.1</v>
      </c>
      <c r="T510" s="19">
        <f t="shared" ref="T510:T573" si="92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93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94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95">IF(AH510="",0,IF(ISTEXT(AH510),H510*VALUE(SUBSTITUTE(AH510,"%",""))/100,H510*AH510))</f>
        <v>0.1</v>
      </c>
      <c r="AV510" s="37">
        <f t="shared" ref="AV510:AV573" si="96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91"/>
        <v>0.1</v>
      </c>
      <c r="S511" s="18">
        <f t="shared" si="90"/>
        <v>0.1</v>
      </c>
      <c r="T511" s="19">
        <f t="shared" si="9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9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9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95"/>
        <v>0.1</v>
      </c>
      <c r="AV511" s="37">
        <f t="shared" si="96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91"/>
        <v>0.1</v>
      </c>
      <c r="S512" s="18">
        <f t="shared" si="90"/>
        <v>0.1</v>
      </c>
      <c r="T512" s="19">
        <f t="shared" si="9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9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9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95"/>
        <v>0.1</v>
      </c>
      <c r="AV512" s="37">
        <f t="shared" si="96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91"/>
        <v>0.1</v>
      </c>
      <c r="S513" s="18">
        <f t="shared" si="90"/>
        <v>0.1</v>
      </c>
      <c r="T513" s="19">
        <f t="shared" si="92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93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94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95"/>
        <v>0.1</v>
      </c>
      <c r="AV513" s="37">
        <f t="shared" si="96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91"/>
        <v>0.2</v>
      </c>
      <c r="S514" s="18">
        <f t="shared" si="90"/>
        <v>0.2</v>
      </c>
      <c r="T514" s="19">
        <f t="shared" si="92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0.2</v>
      </c>
      <c r="AV514" s="37">
        <f t="shared" si="96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2.4</v>
      </c>
      <c r="S515" s="18">
        <f t="shared" si="90"/>
        <v>2.4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2.4</v>
      </c>
      <c r="AV515" s="37">
        <f t="shared" si="96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91"/>
        <v>24</v>
      </c>
      <c r="S516" s="18">
        <f t="shared" si="90"/>
        <v>24</v>
      </c>
      <c r="T516" s="19">
        <f t="shared" si="92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24</v>
      </c>
      <c r="AV516" s="37">
        <f t="shared" si="96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91"/>
        <v>16.399999999999999</v>
      </c>
      <c r="S517" s="18">
        <f t="shared" si="90"/>
        <v>16.399999999999999</v>
      </c>
      <c r="T517" s="19">
        <f t="shared" si="92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16.399999999999999</v>
      </c>
      <c r="AV517" s="37">
        <f t="shared" si="96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91"/>
        <v>852</v>
      </c>
      <c r="S518" s="18">
        <f t="shared" si="90"/>
        <v>852</v>
      </c>
      <c r="T518" s="19">
        <f t="shared" si="92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852</v>
      </c>
      <c r="AV518" s="37">
        <f t="shared" si="96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91"/>
        <v>20</v>
      </c>
      <c r="S520" s="18">
        <f t="shared" si="90"/>
        <v>20</v>
      </c>
      <c r="T520" s="19">
        <f t="shared" si="92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20</v>
      </c>
      <c r="AV520" s="37">
        <f t="shared" si="96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6</v>
      </c>
      <c r="S521" s="18">
        <f t="shared" si="90"/>
        <v>6</v>
      </c>
      <c r="T521" s="19">
        <f t="shared" si="92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6</v>
      </c>
      <c r="AV521" s="37">
        <f t="shared" si="96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91"/>
        <v>6</v>
      </c>
      <c r="S522" s="18">
        <f t="shared" si="90"/>
        <v>6</v>
      </c>
      <c r="T522" s="19">
        <f t="shared" si="92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6</v>
      </c>
      <c r="AV522" s="37">
        <f t="shared" si="96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0.2</v>
      </c>
      <c r="S523" s="18">
        <f t="shared" si="90"/>
        <v>0.2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0.2</v>
      </c>
      <c r="AV523" s="37">
        <f t="shared" si="96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0.4</v>
      </c>
      <c r="S524" s="18">
        <f t="shared" si="90"/>
        <v>0.4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0.4</v>
      </c>
      <c r="AV524" s="37">
        <f t="shared" si="96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0.4</v>
      </c>
      <c r="S525" s="18">
        <f t="shared" si="90"/>
        <v>0.4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0.4</v>
      </c>
      <c r="AV525" s="37">
        <f t="shared" si="96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91"/>
        <v>28.4</v>
      </c>
      <c r="S526" s="18">
        <f t="shared" si="90"/>
        <v>28.4</v>
      </c>
      <c r="T526" s="19">
        <f t="shared" si="92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28.4</v>
      </c>
      <c r="AV526" s="37">
        <f t="shared" si="96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143.19999999999999</v>
      </c>
      <c r="S527" s="18">
        <f t="shared" si="90"/>
        <v>143.19999999999999</v>
      </c>
      <c r="T527" s="19">
        <f t="shared" si="92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143.19999999999999</v>
      </c>
      <c r="AV527" s="37">
        <f t="shared" si="96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91"/>
        <v>24</v>
      </c>
      <c r="S528" s="18">
        <f t="shared" si="90"/>
        <v>24</v>
      </c>
      <c r="T528" s="19">
        <f t="shared" si="92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24</v>
      </c>
      <c r="AV528" s="37">
        <f t="shared" si="96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91"/>
        <v>27</v>
      </c>
      <c r="S529" s="18">
        <f t="shared" si="90"/>
        <v>27</v>
      </c>
      <c r="T529" s="19">
        <f t="shared" si="92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27</v>
      </c>
      <c r="AV529" s="37">
        <f t="shared" si="96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91"/>
        <v>1.5</v>
      </c>
      <c r="S530" s="18">
        <f t="shared" si="90"/>
        <v>1.5</v>
      </c>
      <c r="T530" s="19">
        <f t="shared" si="92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1.5</v>
      </c>
      <c r="AV530" s="37">
        <f t="shared" si="96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1.5</v>
      </c>
      <c r="S531" s="18">
        <f t="shared" si="90"/>
        <v>1.5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1.5</v>
      </c>
      <c r="AV531" s="37">
        <f t="shared" si="96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91"/>
        <v>6</v>
      </c>
      <c r="S532" s="18">
        <f t="shared" si="90"/>
        <v>6</v>
      </c>
      <c r="T532" s="19">
        <f t="shared" si="92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6</v>
      </c>
      <c r="AV532" s="37">
        <f t="shared" si="96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0.1</v>
      </c>
      <c r="S533" s="18">
        <f t="shared" si="90"/>
        <v>0.1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0.1</v>
      </c>
      <c r="AV533" s="37">
        <f t="shared" si="96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0.2</v>
      </c>
      <c r="S534" s="18">
        <f t="shared" si="90"/>
        <v>0.2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0.2</v>
      </c>
      <c r="AV534" s="37">
        <f t="shared" si="96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91"/>
        <v>0.1</v>
      </c>
      <c r="S535" s="18">
        <f t="shared" si="90"/>
        <v>0.1</v>
      </c>
      <c r="T535" s="19">
        <f t="shared" si="92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0.1</v>
      </c>
      <c r="AV535" s="37">
        <f t="shared" si="96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91"/>
        <v>14.2</v>
      </c>
      <c r="S537" s="18">
        <f t="shared" si="90"/>
        <v>14.2</v>
      </c>
      <c r="T537" s="19">
        <f t="shared" si="92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14.2</v>
      </c>
      <c r="AV537" s="37">
        <f t="shared" si="96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91"/>
        <v>48</v>
      </c>
      <c r="S539" s="18">
        <f t="shared" si="90"/>
        <v>48</v>
      </c>
      <c r="T539" s="19">
        <f t="shared" si="92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48</v>
      </c>
      <c r="AV539" s="37">
        <f t="shared" si="96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91"/>
        <v>951.2</v>
      </c>
      <c r="S540" s="18">
        <f t="shared" si="90"/>
        <v>951.2</v>
      </c>
      <c r="T540" s="19">
        <f t="shared" si="92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951.2</v>
      </c>
      <c r="AV540" s="37">
        <f t="shared" si="96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91"/>
        <v>6.8</v>
      </c>
      <c r="S541" s="18">
        <f t="shared" si="90"/>
        <v>6.8</v>
      </c>
      <c r="T541" s="19">
        <f t="shared" si="92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6.8</v>
      </c>
      <c r="AV541" s="37">
        <f t="shared" si="96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6</v>
      </c>
      <c r="S542" s="18">
        <f t="shared" si="90"/>
        <v>6</v>
      </c>
      <c r="T542" s="19">
        <f t="shared" si="92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6</v>
      </c>
      <c r="AV542" s="37">
        <f t="shared" si="96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91"/>
        <v>273.60000000000002</v>
      </c>
      <c r="S543" s="18">
        <f t="shared" si="90"/>
        <v>273.60000000000002</v>
      </c>
      <c r="T543" s="19">
        <f t="shared" si="92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273.60000000000002</v>
      </c>
      <c r="AV543" s="37">
        <f t="shared" si="96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91"/>
        <v>244.79999999999998</v>
      </c>
      <c r="S544" s="18">
        <f t="shared" si="90"/>
        <v>244.79999999999998</v>
      </c>
      <c r="T544" s="19">
        <f t="shared" si="92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244.79999999999998</v>
      </c>
      <c r="AV544" s="37">
        <f t="shared" si="96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91"/>
        <v>961</v>
      </c>
      <c r="S545" s="18">
        <f t="shared" si="90"/>
        <v>961</v>
      </c>
      <c r="T545" s="19">
        <f t="shared" si="92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961</v>
      </c>
      <c r="AV545" s="37">
        <f t="shared" si="96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91"/>
        <v>27.2</v>
      </c>
      <c r="S546" s="18">
        <f t="shared" si="90"/>
        <v>27.2</v>
      </c>
      <c r="T546" s="19">
        <f t="shared" si="92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27.2</v>
      </c>
      <c r="AV546" s="37">
        <f t="shared" si="96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273.60000000000002</v>
      </c>
      <c r="S547" s="18">
        <f t="shared" si="90"/>
        <v>273.60000000000002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273.60000000000002</v>
      </c>
      <c r="AV547" s="37">
        <f t="shared" si="96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91"/>
        <v>288</v>
      </c>
      <c r="S548" s="18">
        <f t="shared" si="90"/>
        <v>288</v>
      </c>
      <c r="T548" s="19">
        <f t="shared" si="92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288</v>
      </c>
      <c r="AV548" s="37">
        <f t="shared" si="96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91"/>
        <v>3797.4</v>
      </c>
      <c r="S549" s="18">
        <f t="shared" si="90"/>
        <v>3797.4</v>
      </c>
      <c r="T549" s="19">
        <f t="shared" si="92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3797.4</v>
      </c>
      <c r="AV549" s="37">
        <f t="shared" si="96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91"/>
        <v>13</v>
      </c>
      <c r="S550" s="18">
        <f t="shared" si="90"/>
        <v>13</v>
      </c>
      <c r="T550" s="19">
        <f t="shared" si="92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13</v>
      </c>
      <c r="AV550" s="37">
        <f t="shared" si="96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91"/>
        <v>13</v>
      </c>
      <c r="S551" s="18">
        <f t="shared" si="90"/>
        <v>13</v>
      </c>
      <c r="T551" s="19">
        <f t="shared" si="92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13</v>
      </c>
      <c r="AV551" s="37">
        <f t="shared" si="96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91"/>
        <v>6</v>
      </c>
      <c r="S552" s="18">
        <f t="shared" si="90"/>
        <v>6</v>
      </c>
      <c r="T552" s="19">
        <f t="shared" si="92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6</v>
      </c>
      <c r="AV552" s="37">
        <f t="shared" si="96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192.3</v>
      </c>
      <c r="S553" s="18">
        <f t="shared" si="90"/>
        <v>192.3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192.3</v>
      </c>
      <c r="AV553" s="37">
        <f t="shared" si="96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4</v>
      </c>
      <c r="S554" s="18">
        <f t="shared" si="90"/>
        <v>4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4</v>
      </c>
      <c r="AV554" s="37">
        <f t="shared" si="96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4</v>
      </c>
      <c r="S555" s="18">
        <f t="shared" si="90"/>
        <v>4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4</v>
      </c>
      <c r="AV555" s="37">
        <f t="shared" si="96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91"/>
        <v>90</v>
      </c>
      <c r="S556" s="18">
        <f t="shared" si="90"/>
        <v>90</v>
      </c>
      <c r="T556" s="19">
        <f t="shared" si="92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90</v>
      </c>
      <c r="AV556" s="37">
        <f t="shared" si="96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85</v>
      </c>
      <c r="S557" s="18">
        <f t="shared" si="90"/>
        <v>85</v>
      </c>
      <c r="T557" s="19">
        <f t="shared" si="92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85</v>
      </c>
      <c r="AV557" s="37">
        <f t="shared" si="96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65</v>
      </c>
      <c r="S558" s="18">
        <f t="shared" si="90"/>
        <v>65</v>
      </c>
      <c r="T558" s="19">
        <f t="shared" si="92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65</v>
      </c>
      <c r="AV558" s="37">
        <f t="shared" si="96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91"/>
        <v>7.2</v>
      </c>
      <c r="S559" s="18">
        <f t="shared" si="90"/>
        <v>7.2</v>
      </c>
      <c r="T559" s="19">
        <f t="shared" si="92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7.2</v>
      </c>
      <c r="AV559" s="37">
        <f t="shared" si="96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0.03</v>
      </c>
      <c r="S560" s="18">
        <f t="shared" si="90"/>
        <v>0.03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0.03</v>
      </c>
      <c r="AV560" s="37">
        <f t="shared" si="96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91"/>
        <v>0.08</v>
      </c>
      <c r="S561" s="18">
        <f t="shared" si="90"/>
        <v>0.08</v>
      </c>
      <c r="T561" s="19">
        <f t="shared" si="92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0.08</v>
      </c>
      <c r="AV561" s="37">
        <f t="shared" si="96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91"/>
        <v>0.04</v>
      </c>
      <c r="S562" s="18">
        <f t="shared" si="90"/>
        <v>0.04</v>
      </c>
      <c r="T562" s="19">
        <f t="shared" si="92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0.04</v>
      </c>
      <c r="AV562" s="37">
        <f t="shared" si="96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91"/>
        <v>170.5</v>
      </c>
      <c r="S563" s="18">
        <f t="shared" si="90"/>
        <v>170.5</v>
      </c>
      <c r="T563" s="19">
        <f t="shared" si="92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170.5</v>
      </c>
      <c r="AV563" s="37">
        <f t="shared" si="96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91"/>
        <v>11.6</v>
      </c>
      <c r="S564" s="18">
        <f t="shared" si="90"/>
        <v>11.6</v>
      </c>
      <c r="T564" s="19">
        <f t="shared" si="92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11.6</v>
      </c>
      <c r="AV564" s="37">
        <f t="shared" si="96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91"/>
        <v>0.8</v>
      </c>
      <c r="S565" s="18">
        <f t="shared" si="90"/>
        <v>0.8</v>
      </c>
      <c r="T565" s="19">
        <f t="shared" si="92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0.8</v>
      </c>
      <c r="AV565" s="37">
        <f t="shared" si="96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91"/>
        <v>2.2000000000000002</v>
      </c>
      <c r="S566" s="18">
        <f t="shared" si="90"/>
        <v>2.2000000000000002</v>
      </c>
      <c r="T566" s="19">
        <f t="shared" si="92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2.2000000000000002</v>
      </c>
      <c r="AV566" s="37">
        <f t="shared" si="96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91"/>
        <v>6.5</v>
      </c>
      <c r="S567" s="18">
        <f t="shared" si="90"/>
        <v>6.5</v>
      </c>
      <c r="T567" s="19">
        <f t="shared" si="92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6.5</v>
      </c>
      <c r="AV567" s="37">
        <f t="shared" si="96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91"/>
        <v>0.36</v>
      </c>
      <c r="S568" s="18">
        <f t="shared" si="90"/>
        <v>0.36</v>
      </c>
      <c r="T568" s="19">
        <f t="shared" si="92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0.36</v>
      </c>
      <c r="AV568" s="37">
        <f t="shared" si="96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91"/>
        <v>0.54</v>
      </c>
      <c r="S569" s="18">
        <f t="shared" si="90"/>
        <v>0.54</v>
      </c>
      <c r="T569" s="19">
        <f t="shared" si="92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0.54</v>
      </c>
      <c r="AV569" s="37">
        <f t="shared" si="96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91"/>
        <v>0.1</v>
      </c>
      <c r="S570" s="18">
        <f t="shared" si="90"/>
        <v>0.1</v>
      </c>
      <c r="T570" s="19">
        <f t="shared" si="92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0.1</v>
      </c>
      <c r="AV570" s="37">
        <f t="shared" si="96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91"/>
        <v>0.12</v>
      </c>
      <c r="S571" s="18">
        <f t="shared" ref="S571:S604" si="97">IFERROR(H571*AG571,"")</f>
        <v>0.12</v>
      </c>
      <c r="T571" s="19">
        <f t="shared" si="92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0.12</v>
      </c>
      <c r="AV571" s="37">
        <f t="shared" si="96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91"/>
        <v>0.15000000000000002</v>
      </c>
      <c r="S572" s="18">
        <f t="shared" si="97"/>
        <v>0.15000000000000002</v>
      </c>
      <c r="T572" s="19">
        <f t="shared" si="92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0.15000000000000002</v>
      </c>
      <c r="AV572" s="37">
        <f t="shared" si="96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91"/>
        <v>0.5</v>
      </c>
      <c r="S573" s="18">
        <f t="shared" si="97"/>
        <v>0.5</v>
      </c>
      <c r="T573" s="19">
        <f t="shared" si="92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0.5</v>
      </c>
      <c r="AV573" s="37">
        <f t="shared" si="96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4" si="98">IFERROR(H574*((AA574*0.25)+(AC574*0.25)+(AD574*0.225)+(AE574*0.225)+(AF574*0.05)),"")</f>
        <v>0.6</v>
      </c>
      <c r="S574" s="18">
        <f t="shared" si="97"/>
        <v>0.6</v>
      </c>
      <c r="T574" s="19">
        <f t="shared" ref="T574:T604" si="99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4" si="100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01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02">IF(AH574="",0,IF(ISTEXT(AH574),H574*VALUE(SUBSTITUTE(AH574,"%",""))/100,H574*AH574))</f>
        <v>0.6</v>
      </c>
      <c r="AV574" s="37">
        <f t="shared" ref="AV574:AV604" si="103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98"/>
        <v>0.06</v>
      </c>
      <c r="S575" s="18">
        <f t="shared" si="97"/>
        <v>0.06</v>
      </c>
      <c r="T575" s="19">
        <f t="shared" si="99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00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01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02"/>
        <v>0.06</v>
      </c>
      <c r="AV575" s="37">
        <f t="shared" si="103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98"/>
        <v>0.16</v>
      </c>
      <c r="S576" s="18">
        <f t="shared" si="97"/>
        <v>0.16</v>
      </c>
      <c r="T576" s="19">
        <f t="shared" si="99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00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01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02"/>
        <v>0.16</v>
      </c>
      <c r="AV576" s="37">
        <f t="shared" si="103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98"/>
        <v>0.04</v>
      </c>
      <c r="S577" s="18">
        <f t="shared" si="97"/>
        <v>0.04</v>
      </c>
      <c r="T577" s="19">
        <f t="shared" si="99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00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01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02"/>
        <v>0.04</v>
      </c>
      <c r="AV577" s="37">
        <f t="shared" si="103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98"/>
        <v>0.32</v>
      </c>
      <c r="S578" s="18">
        <f t="shared" si="97"/>
        <v>0.32</v>
      </c>
      <c r="T578" s="19">
        <f t="shared" si="99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0.32</v>
      </c>
      <c r="AV578" s="37">
        <f t="shared" si="103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98"/>
        <v>2.2000000000000002</v>
      </c>
      <c r="S579" s="18">
        <f t="shared" si="97"/>
        <v>2.2000000000000002</v>
      </c>
      <c r="T579" s="19">
        <f t="shared" si="99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2.2000000000000002</v>
      </c>
      <c r="AV579" s="37">
        <f t="shared" si="103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98"/>
        <v>9.0169999999999995</v>
      </c>
      <c r="S580" s="18">
        <f t="shared" si="97"/>
        <v>9.0169999999999995</v>
      </c>
      <c r="T580" s="19">
        <f t="shared" si="99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9.0169999999999995</v>
      </c>
      <c r="AV580" s="37">
        <f t="shared" si="103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98"/>
        <v>1.4000000000000001</v>
      </c>
      <c r="S581" s="18">
        <f t="shared" si="97"/>
        <v>1.4000000000000001</v>
      </c>
      <c r="T581" s="19">
        <f t="shared" si="99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1.4000000000000001</v>
      </c>
      <c r="AV581" s="37">
        <f t="shared" si="103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98"/>
        <v>6.6059999999999999</v>
      </c>
      <c r="S582" s="18">
        <f t="shared" si="97"/>
        <v>6.6059999999999999</v>
      </c>
      <c r="T582" s="19">
        <f t="shared" si="99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6.6059999999999999</v>
      </c>
      <c r="AV582" s="37">
        <f t="shared" si="103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98"/>
        <v>28.499999999999996</v>
      </c>
      <c r="S583" s="18">
        <f t="shared" si="97"/>
        <v>28.499999999999996</v>
      </c>
      <c r="T583" s="19">
        <f t="shared" si="99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28.499999999999996</v>
      </c>
      <c r="AV583" s="37">
        <f t="shared" si="103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98"/>
        <v>9.9960000000000004</v>
      </c>
      <c r="S584" s="18">
        <f t="shared" si="97"/>
        <v>9.9960000000000004</v>
      </c>
      <c r="T584" s="19">
        <f t="shared" si="99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9.9960000000000004</v>
      </c>
      <c r="AV584" s="37">
        <f t="shared" si="103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98"/>
        <v>2.4</v>
      </c>
      <c r="S585" s="18">
        <f t="shared" si="97"/>
        <v>2.4</v>
      </c>
      <c r="T585" s="19">
        <f t="shared" si="99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2.4</v>
      </c>
      <c r="AV585" s="37">
        <f t="shared" si="103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98"/>
        <v>23.192</v>
      </c>
      <c r="S586" s="18">
        <f t="shared" si="97"/>
        <v>23.192</v>
      </c>
      <c r="T586" s="19">
        <f t="shared" si="99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23.192</v>
      </c>
      <c r="AV586" s="37">
        <f t="shared" si="103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98"/>
        <v>11.543999999999999</v>
      </c>
      <c r="S587" s="18">
        <f t="shared" si="97"/>
        <v>11.543999999999999</v>
      </c>
      <c r="T587" s="19">
        <f t="shared" si="99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11.543999999999999</v>
      </c>
      <c r="AV587" s="37">
        <f t="shared" si="103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98"/>
        <v>4.3940000000000001</v>
      </c>
      <c r="S588" s="18">
        <f t="shared" si="97"/>
        <v>4.3940000000000001</v>
      </c>
      <c r="T588" s="19">
        <f t="shared" si="99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4.3940000000000001</v>
      </c>
      <c r="AV588" s="37">
        <f t="shared" si="103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98"/>
        <v>39.96</v>
      </c>
      <c r="S589" s="18">
        <f t="shared" si="97"/>
        <v>39.96</v>
      </c>
      <c r="T589" s="19">
        <f t="shared" si="99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39.96</v>
      </c>
      <c r="AV589" s="37">
        <f t="shared" si="103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98"/>
        <v>10.972</v>
      </c>
      <c r="S590" s="18">
        <f t="shared" si="97"/>
        <v>10.972</v>
      </c>
      <c r="T590" s="19">
        <f t="shared" si="99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10.972</v>
      </c>
      <c r="AV590" s="37">
        <f t="shared" si="103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10.997999999999999</v>
      </c>
      <c r="S591" s="18">
        <f t="shared" si="97"/>
        <v>10.997999999999999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10.997999999999999</v>
      </c>
      <c r="AV591" s="37">
        <f t="shared" si="103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98"/>
        <v>10.5</v>
      </c>
      <c r="S592" s="18">
        <f t="shared" si="97"/>
        <v>10.5</v>
      </c>
      <c r="T592" s="19">
        <f t="shared" si="99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10.5</v>
      </c>
      <c r="AV592" s="37">
        <f t="shared" si="103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98"/>
        <v>6</v>
      </c>
      <c r="S593" s="18">
        <f t="shared" si="97"/>
        <v>6</v>
      </c>
      <c r="T593" s="19">
        <f t="shared" si="99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6</v>
      </c>
      <c r="AV593" s="37">
        <f t="shared" si="103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98"/>
        <v>0.06</v>
      </c>
      <c r="S594" s="18">
        <f t="shared" si="97"/>
        <v>0.06</v>
      </c>
      <c r="T594" s="19">
        <f t="shared" si="99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0.06</v>
      </c>
      <c r="AV594" s="37">
        <f t="shared" si="103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0.06</v>
      </c>
      <c r="S595" s="18">
        <f t="shared" si="97"/>
        <v>0.06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0.06</v>
      </c>
      <c r="AV595" s="37">
        <f t="shared" si="103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98"/>
        <v>0.06</v>
      </c>
      <c r="S596" s="18">
        <f t="shared" si="97"/>
        <v>0.06</v>
      </c>
      <c r="T596" s="19">
        <f t="shared" si="99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0.06</v>
      </c>
      <c r="AV596" s="37">
        <f t="shared" si="103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98"/>
        <v>5.1899999999999995</v>
      </c>
      <c r="S597" s="18">
        <f t="shared" si="97"/>
        <v>5.1899999999999995</v>
      </c>
      <c r="T597" s="19">
        <f t="shared" si="99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5.1899999999999995</v>
      </c>
      <c r="AV597" s="37">
        <f t="shared" si="103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98"/>
        <v>1.4040000000000001</v>
      </c>
      <c r="S598" s="18">
        <f t="shared" si="97"/>
        <v>1.4040000000000001</v>
      </c>
      <c r="T598" s="19">
        <f t="shared" si="99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1.4040000000000001</v>
      </c>
      <c r="AV598" s="37">
        <f t="shared" si="103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98"/>
        <v>4</v>
      </c>
      <c r="S599" s="18">
        <f t="shared" si="97"/>
        <v>4</v>
      </c>
      <c r="T599" s="19">
        <f t="shared" si="99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4</v>
      </c>
      <c r="AV599" s="37">
        <f t="shared" si="103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98"/>
        <v>1.2</v>
      </c>
      <c r="S600" s="18">
        <f t="shared" si="97"/>
        <v>1.2</v>
      </c>
      <c r="T600" s="19">
        <f t="shared" si="99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1.2</v>
      </c>
      <c r="AV600" s="37">
        <f t="shared" si="103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98"/>
        <v>2.5</v>
      </c>
      <c r="S601" s="18">
        <f t="shared" si="97"/>
        <v>2.5</v>
      </c>
      <c r="T601" s="19">
        <f t="shared" si="99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2.5</v>
      </c>
      <c r="AV601" s="37">
        <f t="shared" si="103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98"/>
        <v>120</v>
      </c>
      <c r="S602" s="18">
        <f t="shared" si="97"/>
        <v>120</v>
      </c>
      <c r="T602" s="19">
        <f t="shared" si="99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120</v>
      </c>
      <c r="AV602" s="37">
        <f t="shared" si="103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0.5</v>
      </c>
      <c r="S603" s="18">
        <f t="shared" si="97"/>
        <v>0.5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0.5</v>
      </c>
      <c r="AV603" s="37">
        <f t="shared" si="103"/>
        <v>0.5</v>
      </c>
      <c r="AW603" s="37"/>
    </row>
    <row r="604" spans="1:49" ht="15.75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4867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700.82925</v>
      </c>
      <c r="S604" s="18">
        <f t="shared" si="97"/>
        <v>0</v>
      </c>
      <c r="T604" s="19">
        <f t="shared" si="99"/>
        <v>-1065.9000000000001</v>
      </c>
      <c r="U604" s="16">
        <f>IFERROR(SUMIF('LISTA DE EMBARQUE'!B:B,MICRO!E:E,'LISTA DE EMBARQUE'!G:G),"")</f>
        <v>0</v>
      </c>
      <c r="V604" s="12" t="str">
        <f>IFERROR(VLOOKUP(Tabela1[[#This Row],[COD.MDE]],'LISTA DE EMBARQUE'!B:L,11,0),"")</f>
        <v/>
      </c>
      <c r="W604" s="13" t="str">
        <f>IFERROR(COUNTIF(#REF!,Tabela1[[#This Row],[Colunas5]]),"")</f>
        <v/>
      </c>
      <c r="X604" s="14">
        <f>Tabela1[[#This Row],[QIANTIDADE EXPEDIDA]]*Tabela1[[#This Row],[PESO UNI]]</f>
        <v>0</v>
      </c>
      <c r="Y604" s="14">
        <f t="shared" si="100"/>
        <v>-1</v>
      </c>
      <c r="Z604" s="20">
        <f>Tabela1[[#This Row],[PESO TOTAL]]-Tabela1[[#This Row],[Peso Expedido]]</f>
        <v>1065.9000000000001</v>
      </c>
      <c r="AA604" s="17">
        <v>1</v>
      </c>
      <c r="AB604" s="33"/>
      <c r="AC604" s="33">
        <v>1</v>
      </c>
      <c r="AD604" s="33">
        <v>0.7</v>
      </c>
      <c r="AE604" s="33"/>
      <c r="AF604" s="33"/>
      <c r="AG604" s="33"/>
      <c r="AH604" s="33"/>
      <c r="AI604" s="33" t="str">
        <f t="shared" ref="AI604" si="104">IF(Z604&lt;=0,"ok","")</f>
        <v/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01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0</v>
      </c>
      <c r="AV604" s="37">
        <f t="shared" si="103"/>
        <v>0</v>
      </c>
      <c r="AW604" s="37"/>
    </row>
    <row r="605" spans="1:49" ht="15.75" hidden="1" customHeight="1" x14ac:dyDescent="0.25">
      <c r="A605" s="1" t="s">
        <v>2552</v>
      </c>
      <c r="B605" s="195"/>
      <c r="C605" s="197">
        <v>47</v>
      </c>
      <c r="D605" s="208" t="s">
        <v>3735</v>
      </c>
      <c r="E605" s="194" t="s">
        <v>4446</v>
      </c>
      <c r="F605" s="197" t="s">
        <v>4411</v>
      </c>
      <c r="G605" s="198">
        <v>121.38</v>
      </c>
      <c r="H605" s="34">
        <f>Tabela1[[#This Row],[PESO UNI]]*Tabela1[[#This Row],[QTE]]</f>
        <v>5704.86</v>
      </c>
      <c r="I605" s="198">
        <v>0</v>
      </c>
      <c r="J605" s="8" t="s">
        <v>2550</v>
      </c>
      <c r="K605" s="8" t="s">
        <v>4320</v>
      </c>
      <c r="L605" s="9" t="s">
        <v>2551</v>
      </c>
      <c r="M605" s="199"/>
      <c r="N605" s="205"/>
      <c r="O605" s="200"/>
      <c r="P605" s="201"/>
      <c r="Q605" s="14">
        <f>Tabela1[[#This Row],[QTDE/ Fabricação]]-Tabela1[[#This Row],[QTE]]</f>
        <v>-47</v>
      </c>
      <c r="R605" s="18">
        <f t="shared" ref="R605:R621" si="105">IFERROR(H605*((AA605*0.25)+(AC605*0.25)+(AD605*0.225)+(AE605*0.225)+(AF605*0.05)),"")</f>
        <v>5704.86</v>
      </c>
      <c r="S605" s="158">
        <f>IFERROR(H605*AG605,"")</f>
        <v>5704.86</v>
      </c>
      <c r="T605" s="19">
        <f t="shared" ref="T605:T621" si="106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:Y621" si="107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2"/>
      <c r="AR605" s="158"/>
      <c r="AS605" s="158"/>
      <c r="AT605" s="158"/>
      <c r="AU605" s="158"/>
      <c r="AV605" s="158"/>
      <c r="AW605" s="158"/>
    </row>
    <row r="606" spans="1:49" ht="15.75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4868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105"/>
        <v>0</v>
      </c>
      <c r="S606" s="18">
        <f t="shared" ref="S606:S621" si="108">IFERROR(H606*AG606,"")</f>
        <v>0</v>
      </c>
      <c r="T606" s="19">
        <f t="shared" si="106"/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si="107"/>
        <v>-1</v>
      </c>
      <c r="Z606" s="20">
        <f>Tabela1[[#This Row],[PESO TOTAL]]-Tabela1[[#This Row],[Peso Expedido]]</f>
        <v>1282.0999999999999</v>
      </c>
      <c r="AA606" s="17"/>
      <c r="AB606" s="33"/>
      <c r="AC606" s="33"/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05"/>
        <v>0</v>
      </c>
      <c r="S607" s="18">
        <f t="shared" si="108"/>
        <v>0</v>
      </c>
      <c r="T607" s="19">
        <f t="shared" si="106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7"/>
        <v>-1</v>
      </c>
      <c r="Z607" s="20">
        <f>Tabela1[[#This Row],[PESO TOTAL]]-Tabela1[[#This Row],[Peso Expedido]]</f>
        <v>395.4</v>
      </c>
      <c r="AA607" s="17"/>
      <c r="AB607" s="33"/>
      <c r="AC607" s="33"/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05"/>
        <v>0</v>
      </c>
      <c r="S608" s="18">
        <f t="shared" si="108"/>
        <v>0</v>
      </c>
      <c r="T608" s="19">
        <f t="shared" si="106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07"/>
        <v>-1</v>
      </c>
      <c r="Z608" s="20">
        <f>Tabela1[[#This Row],[PESO TOTAL]]-Tabela1[[#This Row],[Peso Expedido]]</f>
        <v>166</v>
      </c>
      <c r="AA608" s="17"/>
      <c r="AB608" s="33"/>
      <c r="AC608" s="33"/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si="108"/>
        <v>0</v>
      </c>
      <c r="T609" s="19">
        <f t="shared" si="106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28.6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126.7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100.9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05"/>
        <v>0</v>
      </c>
      <c r="S613" s="18">
        <f t="shared" si="108"/>
        <v>0</v>
      </c>
      <c r="T613" s="19">
        <f t="shared" si="106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-2</v>
      </c>
      <c r="Z613" s="20">
        <f>Tabela1[[#This Row],[PESO TOTAL]]-Tabela1[[#This Row],[Peso Expedido]]</f>
        <v>166.8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120.2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63.6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05"/>
        <v>0</v>
      </c>
      <c r="S616" s="18">
        <f t="shared" si="108"/>
        <v>0</v>
      </c>
      <c r="T616" s="19">
        <f t="shared" si="106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-1</v>
      </c>
      <c r="Z616" s="20">
        <f>Tabela1[[#This Row],[PESO TOTAL]]-Tabela1[[#This Row],[Peso Expedido]]</f>
        <v>75.8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753.9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05"/>
        <v>0</v>
      </c>
      <c r="S618" s="18">
        <f t="shared" si="108"/>
        <v>0</v>
      </c>
      <c r="T618" s="19">
        <f t="shared" si="106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-2</v>
      </c>
      <c r="Z618" s="20">
        <f>Tabela1[[#This Row],[PESO TOTAL]]-Tabela1[[#This Row],[Peso Expedido]]</f>
        <v>162.19999999999999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05"/>
        <v>0</v>
      </c>
      <c r="S619" s="18">
        <f t="shared" si="108"/>
        <v>0</v>
      </c>
      <c r="T619" s="19">
        <f t="shared" si="106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-2</v>
      </c>
      <c r="Z619" s="20">
        <f>Tabela1[[#This Row],[PESO TOTAL]]-Tabela1[[#This Row],[Peso Expedido]]</f>
        <v>103.6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05"/>
        <v>0</v>
      </c>
      <c r="S620" s="18">
        <f t="shared" si="108"/>
        <v>0</v>
      </c>
      <c r="T620" s="19">
        <f t="shared" si="106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-2</v>
      </c>
      <c r="Z620" s="20">
        <f>Tabela1[[#This Row],[PESO TOTAL]]-Tabela1[[#This Row],[Peso Expedido]]</f>
        <v>5.4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1.5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>IFERROR(H622*((AA622*0.25)+(AC622*0.25)+(AD622*0.225)+(AE622*0.225)+(AF622*0.05)),"")</f>
        <v>0</v>
      </c>
      <c r="S622" s="18">
        <f>IFERROR(H622*AG622,"")</f>
        <v>0</v>
      </c>
      <c r="T622" s="19">
        <f>IFERROR(S622-H622,"")</f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>U622-C622</f>
        <v>-2</v>
      </c>
      <c r="Z622" s="20">
        <f>Tabela1[[#This Row],[PESO TOTAL]]-Tabela1[[#This Row],[Peso Expedido]]</f>
        <v>1.6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4868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>IFERROR(H623*((AA623*0.25)+(AC623*0.25)+(AD623*0.225)+(AE623*0.225)+(AF623*0.05)),"")</f>
        <v>501.125</v>
      </c>
      <c r="S623" s="18">
        <f>IFERROR(H623*AG623,"")</f>
        <v>0</v>
      </c>
      <c r="T623" s="19">
        <f>IFERROR(S623-H623,"")</f>
        <v>-527.5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>U623-C623</f>
        <v>-1</v>
      </c>
      <c r="Z623" s="20">
        <f>Tabela1[[#This Row],[PESO TOTAL]]-Tabela1[[#This Row],[Peso Expedido]]</f>
        <v>527.5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>IFERROR(H624*((AA624*0.25)+(AC624*0.25)+(AD624*0.225)+(AE624*0.225)+(AF624*0.05)),"")</f>
        <v>345</v>
      </c>
      <c r="S624" s="18">
        <f>IFERROR(H624*AG624,"")</f>
        <v>345</v>
      </c>
      <c r="T624" s="19">
        <f>IFERROR(S624-H624,"")</f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>U624-C624</f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09">IFERROR(H625*((AA625*0.25)+(AC625*0.25)+(AD625*0.225)+(AE625*0.225)+(AF625*0.05)),"")</f>
        <v>4.78</v>
      </c>
      <c r="S625" s="18">
        <f t="shared" ref="S625:S626" si="110">IFERROR(H625*AG625,"")</f>
        <v>4.78</v>
      </c>
      <c r="T625" s="19">
        <f t="shared" ref="T625:T626" si="111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12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09"/>
        <v>4.78</v>
      </c>
      <c r="S626" s="18">
        <f t="shared" si="110"/>
        <v>4.78</v>
      </c>
      <c r="T626" s="19">
        <f t="shared" si="111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12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13">IFERROR(H627*((AA627*0.25)+(AC627*0.25)+(AD627*0.225)+(AE627*0.225)+(AF627*0.05)),"")</f>
        <v>19.2</v>
      </c>
      <c r="S627" s="18">
        <f t="shared" ref="S627:S690" si="114">IFERROR(H627*AG627,"")</f>
        <v>19.2</v>
      </c>
      <c r="T627" s="19">
        <f t="shared" ref="T627:T690" si="115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16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13"/>
        <v>14.4</v>
      </c>
      <c r="S628" s="18">
        <f t="shared" si="114"/>
        <v>14.4</v>
      </c>
      <c r="T628" s="19">
        <f t="shared" si="115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16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13"/>
        <v>14.700000000000001</v>
      </c>
      <c r="S629" s="18">
        <f t="shared" si="114"/>
        <v>14.700000000000001</v>
      </c>
      <c r="T629" s="19">
        <f t="shared" si="115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16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13"/>
        <v>0.15000000000000002</v>
      </c>
      <c r="S630" s="18">
        <f t="shared" si="114"/>
        <v>0.15000000000000002</v>
      </c>
      <c r="T630" s="19">
        <f t="shared" si="115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16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13"/>
        <v>0.06</v>
      </c>
      <c r="S631" s="18">
        <f t="shared" si="114"/>
        <v>0.06</v>
      </c>
      <c r="T631" s="19">
        <f t="shared" si="115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13"/>
        <v>1.6</v>
      </c>
      <c r="S632" s="18">
        <f t="shared" si="114"/>
        <v>1.6</v>
      </c>
      <c r="T632" s="19">
        <f t="shared" si="115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13"/>
        <v>0.24</v>
      </c>
      <c r="S633" s="18">
        <f t="shared" si="114"/>
        <v>0.24</v>
      </c>
      <c r="T633" s="19">
        <f t="shared" si="115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13"/>
        <v>0.1</v>
      </c>
      <c r="S634" s="18">
        <f t="shared" si="114"/>
        <v>0.1</v>
      </c>
      <c r="T634" s="19">
        <f t="shared" si="115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13"/>
        <v>0.18</v>
      </c>
      <c r="S635" s="18">
        <f t="shared" si="114"/>
        <v>0.18</v>
      </c>
      <c r="T635" s="19">
        <f t="shared" si="115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13"/>
        <v>0.1</v>
      </c>
      <c r="S636" s="18">
        <f t="shared" si="114"/>
        <v>0.1</v>
      </c>
      <c r="T636" s="19">
        <f t="shared" si="115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13"/>
        <v>0.16</v>
      </c>
      <c r="S637" s="18">
        <f t="shared" si="114"/>
        <v>0.16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13"/>
        <v>0.12</v>
      </c>
      <c r="S638" s="18">
        <f t="shared" si="114"/>
        <v>0.12</v>
      </c>
      <c r="T638" s="19">
        <f t="shared" si="115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13"/>
        <v>0.1</v>
      </c>
      <c r="S639" s="18">
        <f t="shared" si="114"/>
        <v>0.1</v>
      </c>
      <c r="T639" s="19">
        <f t="shared" si="11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13"/>
        <v>0.24</v>
      </c>
      <c r="S640" s="18">
        <f t="shared" si="114"/>
        <v>0.24</v>
      </c>
      <c r="T640" s="19">
        <f t="shared" si="115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13"/>
        <v>0.15</v>
      </c>
      <c r="S641" s="18">
        <f t="shared" si="114"/>
        <v>0.15</v>
      </c>
      <c r="T641" s="19">
        <f t="shared" si="115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13"/>
        <v>0.14000000000000001</v>
      </c>
      <c r="S642" s="18">
        <f t="shared" si="114"/>
        <v>0.14000000000000001</v>
      </c>
      <c r="T642" s="19">
        <f t="shared" si="115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13"/>
        <v>0.64</v>
      </c>
      <c r="S643" s="18">
        <f t="shared" si="114"/>
        <v>0.64</v>
      </c>
      <c r="T643" s="19">
        <f t="shared" si="115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13"/>
        <v>0.64</v>
      </c>
      <c r="S644" s="18">
        <f t="shared" si="114"/>
        <v>0.64</v>
      </c>
      <c r="T644" s="19">
        <f t="shared" si="115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13"/>
        <v>0.84</v>
      </c>
      <c r="S645" s="18">
        <f t="shared" si="114"/>
        <v>0.84</v>
      </c>
      <c r="T645" s="19">
        <f t="shared" si="115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13"/>
        <v>19.2</v>
      </c>
      <c r="S646" s="18">
        <f t="shared" si="114"/>
        <v>19.2</v>
      </c>
      <c r="T646" s="19">
        <f t="shared" si="115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13"/>
        <v>14.4</v>
      </c>
      <c r="S647" s="18">
        <f t="shared" si="114"/>
        <v>14.4</v>
      </c>
      <c r="T647" s="19">
        <f t="shared" si="115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13"/>
        <v>14.700000000000001</v>
      </c>
      <c r="S648" s="18">
        <f t="shared" si="114"/>
        <v>14.700000000000001</v>
      </c>
      <c r="T648" s="19">
        <f t="shared" si="115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13"/>
        <v>0.15000000000000002</v>
      </c>
      <c r="S649" s="18">
        <f t="shared" si="114"/>
        <v>0.15000000000000002</v>
      </c>
      <c r="T649" s="19">
        <f t="shared" si="115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13"/>
        <v>0.06</v>
      </c>
      <c r="S650" s="18">
        <f t="shared" si="114"/>
        <v>0.06</v>
      </c>
      <c r="T650" s="19">
        <f t="shared" si="115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13"/>
        <v>1.6</v>
      </c>
      <c r="S651" s="18">
        <f t="shared" si="114"/>
        <v>1.6</v>
      </c>
      <c r="T651" s="19">
        <f t="shared" si="115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13"/>
        <v>0.24</v>
      </c>
      <c r="S652" s="18">
        <f t="shared" si="114"/>
        <v>0.24</v>
      </c>
      <c r="T652" s="19">
        <f t="shared" si="115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13"/>
        <v>0.1</v>
      </c>
      <c r="S653" s="18">
        <f t="shared" si="114"/>
        <v>0.1</v>
      </c>
      <c r="T653" s="19">
        <f t="shared" si="115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13"/>
        <v>0.18</v>
      </c>
      <c r="S654" s="18">
        <f t="shared" si="114"/>
        <v>0.18</v>
      </c>
      <c r="T654" s="19">
        <f t="shared" si="115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13"/>
        <v>0.1</v>
      </c>
      <c r="S655" s="18">
        <f t="shared" si="114"/>
        <v>0.1</v>
      </c>
      <c r="T655" s="19">
        <f t="shared" si="115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13"/>
        <v>0.16</v>
      </c>
      <c r="S656" s="18">
        <f t="shared" si="114"/>
        <v>0.16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13"/>
        <v>0.12</v>
      </c>
      <c r="S657" s="18">
        <f t="shared" si="114"/>
        <v>0.12</v>
      </c>
      <c r="T657" s="19">
        <f t="shared" si="115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13"/>
        <v>0.1</v>
      </c>
      <c r="S658" s="18">
        <f t="shared" si="114"/>
        <v>0.1</v>
      </c>
      <c r="T658" s="19">
        <f t="shared" si="11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13"/>
        <v>0.24</v>
      </c>
      <c r="S659" s="18">
        <f t="shared" si="114"/>
        <v>0.24</v>
      </c>
      <c r="T659" s="19">
        <f t="shared" si="115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13"/>
        <v>0.15</v>
      </c>
      <c r="S660" s="18">
        <f t="shared" si="114"/>
        <v>0.15</v>
      </c>
      <c r="T660" s="19">
        <f t="shared" si="115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13"/>
        <v>0.14000000000000001</v>
      </c>
      <c r="S661" s="18">
        <f t="shared" si="114"/>
        <v>0.14000000000000001</v>
      </c>
      <c r="T661" s="19">
        <f t="shared" si="115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13"/>
        <v>0.64</v>
      </c>
      <c r="S662" s="18">
        <f t="shared" si="114"/>
        <v>0.64</v>
      </c>
      <c r="T662" s="19">
        <f t="shared" si="115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13"/>
        <v>0.64</v>
      </c>
      <c r="S663" s="18">
        <f t="shared" si="114"/>
        <v>0.64</v>
      </c>
      <c r="T663" s="19">
        <f t="shared" si="115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13"/>
        <v>0.84</v>
      </c>
      <c r="S664" s="18">
        <f t="shared" si="114"/>
        <v>0.84</v>
      </c>
      <c r="T664" s="19">
        <f t="shared" si="115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13"/>
        <v>45.5</v>
      </c>
      <c r="S665" s="18">
        <f t="shared" si="114"/>
        <v>45.5</v>
      </c>
      <c r="T665" s="19">
        <f t="shared" si="115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13"/>
        <v>0</v>
      </c>
      <c r="S666" s="18">
        <f t="shared" si="114"/>
        <v>0</v>
      </c>
      <c r="T666" s="19">
        <f t="shared" si="115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13"/>
        <v>1.5</v>
      </c>
      <c r="S667" s="18">
        <f t="shared" si="114"/>
        <v>1.5</v>
      </c>
      <c r="T667" s="19">
        <f t="shared" si="115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13"/>
        <v>0.12</v>
      </c>
      <c r="S668" s="18">
        <f t="shared" si="114"/>
        <v>0.12</v>
      </c>
      <c r="T668" s="19">
        <f t="shared" si="115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13"/>
        <v>0.18</v>
      </c>
      <c r="S669" s="18">
        <f t="shared" si="114"/>
        <v>0.18</v>
      </c>
      <c r="T669" s="19">
        <f t="shared" si="115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13"/>
        <v>0.04</v>
      </c>
      <c r="S670" s="18">
        <f t="shared" si="114"/>
        <v>0.04</v>
      </c>
      <c r="T670" s="19">
        <f t="shared" si="115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13"/>
        <v>0.15000000000000002</v>
      </c>
      <c r="S671" s="18">
        <f t="shared" si="114"/>
        <v>0.15000000000000002</v>
      </c>
      <c r="T671" s="19">
        <f t="shared" si="115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13"/>
        <v>0.15000000000000002</v>
      </c>
      <c r="S672" s="18">
        <f t="shared" si="114"/>
        <v>0.15000000000000002</v>
      </c>
      <c r="T672" s="19">
        <f t="shared" si="115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13"/>
        <v>0.1</v>
      </c>
      <c r="S673" s="18">
        <f t="shared" si="114"/>
        <v>0.1</v>
      </c>
      <c r="T673" s="19">
        <f t="shared" si="115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13"/>
        <v>0.08</v>
      </c>
      <c r="S674" s="18">
        <f t="shared" si="114"/>
        <v>0.08</v>
      </c>
      <c r="T674" s="19">
        <f t="shared" si="115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13"/>
        <v>1.2</v>
      </c>
      <c r="S675" s="18">
        <f t="shared" si="114"/>
        <v>1.2</v>
      </c>
      <c r="T675" s="19">
        <f t="shared" si="115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13"/>
        <v>234</v>
      </c>
      <c r="S676" s="18">
        <f t="shared" si="114"/>
        <v>234</v>
      </c>
      <c r="T676" s="19">
        <f t="shared" si="115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13"/>
        <v>450</v>
      </c>
      <c r="S677" s="18">
        <f t="shared" si="114"/>
        <v>450</v>
      </c>
      <c r="T677" s="19">
        <f t="shared" si="115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13"/>
        <v>1.5</v>
      </c>
      <c r="S678" s="18">
        <f t="shared" si="114"/>
        <v>1.5</v>
      </c>
      <c r="T678" s="19">
        <f t="shared" si="115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13"/>
        <v>0.12</v>
      </c>
      <c r="S679" s="18">
        <f t="shared" si="114"/>
        <v>0.12</v>
      </c>
      <c r="T679" s="19">
        <f t="shared" si="115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13"/>
        <v>0.18</v>
      </c>
      <c r="S680" s="18">
        <f t="shared" si="114"/>
        <v>0.18</v>
      </c>
      <c r="T680" s="19">
        <f t="shared" si="115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13"/>
        <v>0.04</v>
      </c>
      <c r="S681" s="18">
        <f t="shared" si="114"/>
        <v>0.04</v>
      </c>
      <c r="T681" s="19">
        <f t="shared" si="115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13"/>
        <v>6</v>
      </c>
      <c r="S682" s="18">
        <f t="shared" si="114"/>
        <v>6</v>
      </c>
      <c r="T682" s="19">
        <f t="shared" si="115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13"/>
        <v>4.5</v>
      </c>
      <c r="S683" s="18">
        <f t="shared" si="114"/>
        <v>4.5</v>
      </c>
      <c r="T683" s="19">
        <f t="shared" si="115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13"/>
        <v>0.1</v>
      </c>
      <c r="S684" s="18">
        <f t="shared" si="114"/>
        <v>0.1</v>
      </c>
      <c r="T684" s="19">
        <f t="shared" si="115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13"/>
        <v>0.08</v>
      </c>
      <c r="S685" s="18">
        <f t="shared" si="114"/>
        <v>0.08</v>
      </c>
      <c r="T685" s="19">
        <f t="shared" si="115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13"/>
        <v>1.2</v>
      </c>
      <c r="S686" s="18">
        <f t="shared" si="114"/>
        <v>1.2</v>
      </c>
      <c r="T686" s="19">
        <f t="shared" si="115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13"/>
        <v>1.8</v>
      </c>
      <c r="S687" s="18">
        <f t="shared" si="114"/>
        <v>1.8</v>
      </c>
      <c r="T687" s="19">
        <f t="shared" si="115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13"/>
        <v>3.6</v>
      </c>
      <c r="S688" s="18">
        <f t="shared" si="114"/>
        <v>3.6</v>
      </c>
      <c r="T688" s="19">
        <f t="shared" si="11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13"/>
        <v>8</v>
      </c>
      <c r="S689" s="18">
        <f t="shared" si="114"/>
        <v>8</v>
      </c>
      <c r="T689" s="19">
        <f t="shared" si="115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13"/>
        <v>1.5</v>
      </c>
      <c r="S690" s="18">
        <f t="shared" si="114"/>
        <v>1.5</v>
      </c>
      <c r="T690" s="19">
        <f t="shared" si="11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17">IFERROR(H691*((AA691*0.25)+(AC691*0.25)+(AD691*0.225)+(AE691*0.225)+(AF691*0.05)),"")</f>
        <v>2</v>
      </c>
      <c r="S691" s="18">
        <f t="shared" ref="S691:S754" si="118">IFERROR(H691*AG691,"")</f>
        <v>2</v>
      </c>
      <c r="T691" s="19">
        <f t="shared" ref="T691:T754" si="119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20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17"/>
        <v>3.6</v>
      </c>
      <c r="S692" s="18">
        <f t="shared" si="118"/>
        <v>3.6</v>
      </c>
      <c r="T692" s="19">
        <f t="shared" si="119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20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17"/>
        <v>8</v>
      </c>
      <c r="S693" s="18">
        <f t="shared" si="118"/>
        <v>8</v>
      </c>
      <c r="T693" s="19">
        <f t="shared" si="119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20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17"/>
        <v>1.5</v>
      </c>
      <c r="S694" s="18">
        <f t="shared" si="118"/>
        <v>1.5</v>
      </c>
      <c r="T694" s="19">
        <f t="shared" si="119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20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17"/>
        <v>3.6</v>
      </c>
      <c r="S695" s="18">
        <f t="shared" si="118"/>
        <v>3.6</v>
      </c>
      <c r="T695" s="19">
        <f t="shared" si="11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17"/>
        <v>0.01</v>
      </c>
      <c r="S696" s="18">
        <f t="shared" si="118"/>
        <v>0.01</v>
      </c>
      <c r="T696" s="19">
        <f t="shared" si="119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17"/>
        <v>3.6</v>
      </c>
      <c r="S697" s="18">
        <f t="shared" si="118"/>
        <v>3.6</v>
      </c>
      <c r="T697" s="19">
        <f t="shared" si="119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17"/>
        <v>0.01</v>
      </c>
      <c r="S698" s="18">
        <f t="shared" si="118"/>
        <v>0.01</v>
      </c>
      <c r="T698" s="19">
        <f t="shared" si="119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17"/>
        <v>0.64</v>
      </c>
      <c r="S699" s="18">
        <f t="shared" si="118"/>
        <v>0.64</v>
      </c>
      <c r="T699" s="19">
        <f t="shared" si="119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17"/>
        <v>10.8</v>
      </c>
      <c r="S700" s="18">
        <f t="shared" si="118"/>
        <v>10.8</v>
      </c>
      <c r="T700" s="19">
        <f t="shared" si="119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17"/>
        <v>10.4</v>
      </c>
      <c r="S701" s="18">
        <f t="shared" si="118"/>
        <v>10.4</v>
      </c>
      <c r="T701" s="19">
        <f t="shared" si="119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17"/>
        <v>0</v>
      </c>
      <c r="S702" s="18">
        <f t="shared" si="118"/>
        <v>0</v>
      </c>
      <c r="T702" s="19">
        <f t="shared" si="119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17"/>
        <v>0</v>
      </c>
      <c r="S703" s="18">
        <f t="shared" si="118"/>
        <v>0</v>
      </c>
      <c r="T703" s="19">
        <f t="shared" si="119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17"/>
        <v>1800</v>
      </c>
      <c r="S704" s="18">
        <f t="shared" si="118"/>
        <v>1800</v>
      </c>
      <c r="T704" s="19">
        <f t="shared" si="119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17"/>
        <v>1800</v>
      </c>
      <c r="S705" s="18">
        <f t="shared" si="118"/>
        <v>1800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17"/>
        <v>43.616</v>
      </c>
      <c r="S706" s="18">
        <f t="shared" si="118"/>
        <v>43.616</v>
      </c>
      <c r="T706" s="19">
        <f t="shared" si="119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17"/>
        <v>18.048000000000002</v>
      </c>
      <c r="S707" s="18">
        <f t="shared" si="118"/>
        <v>18.048000000000002</v>
      </c>
      <c r="T707" s="19">
        <f t="shared" si="119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17"/>
        <v>40.984000000000002</v>
      </c>
      <c r="S708" s="18">
        <f t="shared" si="118"/>
        <v>40.984000000000002</v>
      </c>
      <c r="T708" s="19">
        <f t="shared" si="119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17"/>
        <v>10.904</v>
      </c>
      <c r="S709" s="18">
        <f t="shared" si="118"/>
        <v>10.904</v>
      </c>
      <c r="T709" s="19">
        <f t="shared" si="119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17"/>
        <v>28.722000000000001</v>
      </c>
      <c r="S710" s="18">
        <f t="shared" si="118"/>
        <v>28.722000000000001</v>
      </c>
      <c r="T710" s="19">
        <f t="shared" si="119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17"/>
        <v>28.722000000000001</v>
      </c>
      <c r="S711" s="18">
        <f t="shared" si="118"/>
        <v>28.722000000000001</v>
      </c>
      <c r="T711" s="19">
        <f t="shared" si="119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17"/>
        <v>28.722000000000001</v>
      </c>
      <c r="S712" s="18">
        <f t="shared" si="118"/>
        <v>28.722000000000001</v>
      </c>
      <c r="T712" s="19">
        <f t="shared" si="119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17"/>
        <v>57.444000000000003</v>
      </c>
      <c r="S716" s="18">
        <f t="shared" si="118"/>
        <v>57.444000000000003</v>
      </c>
      <c r="T716" s="19">
        <f t="shared" si="119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17"/>
        <v>57.444000000000003</v>
      </c>
      <c r="S717" s="18">
        <f t="shared" si="118"/>
        <v>57.444000000000003</v>
      </c>
      <c r="T717" s="19">
        <f t="shared" si="119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17"/>
        <v>57.444000000000003</v>
      </c>
      <c r="S718" s="18">
        <f t="shared" si="118"/>
        <v>57.444000000000003</v>
      </c>
      <c r="T718" s="19">
        <f t="shared" si="119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17"/>
        <v>114.88800000000001</v>
      </c>
      <c r="S721" s="18">
        <f t="shared" si="118"/>
        <v>114.88800000000001</v>
      </c>
      <c r="T721" s="19">
        <f t="shared" si="119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17"/>
        <v>57.444000000000003</v>
      </c>
      <c r="S722" s="18">
        <f t="shared" si="118"/>
        <v>57.444000000000003</v>
      </c>
      <c r="T722" s="19">
        <f t="shared" si="11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17"/>
        <v>172.33199999999999</v>
      </c>
      <c r="S723" s="18">
        <f t="shared" si="118"/>
        <v>172.33199999999999</v>
      </c>
      <c r="T723" s="19">
        <f t="shared" si="119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17"/>
        <v>57.444000000000003</v>
      </c>
      <c r="S724" s="18">
        <f t="shared" si="118"/>
        <v>57.444000000000003</v>
      </c>
      <c r="T724" s="19">
        <f t="shared" si="119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17"/>
        <v>57.444000000000003</v>
      </c>
      <c r="S726" s="18">
        <f t="shared" si="118"/>
        <v>57.444000000000003</v>
      </c>
      <c r="T726" s="19">
        <f t="shared" si="119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17"/>
        <v>287.22000000000003</v>
      </c>
      <c r="S727" s="18">
        <f t="shared" si="118"/>
        <v>287.22000000000003</v>
      </c>
      <c r="T727" s="19">
        <f t="shared" si="119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17"/>
        <v>28.722000000000001</v>
      </c>
      <c r="S728" s="18">
        <f t="shared" si="118"/>
        <v>28.722000000000001</v>
      </c>
      <c r="T728" s="19">
        <f t="shared" si="119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17"/>
        <v>315.94200000000001</v>
      </c>
      <c r="S729" s="18">
        <f t="shared" si="118"/>
        <v>315.94200000000001</v>
      </c>
      <c r="T729" s="19">
        <f t="shared" si="119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17"/>
        <v>28.722000000000001</v>
      </c>
      <c r="S730" s="18">
        <f t="shared" si="118"/>
        <v>28.722000000000001</v>
      </c>
      <c r="T730" s="19">
        <f t="shared" si="119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17"/>
        <v>28.722000000000001</v>
      </c>
      <c r="S732" s="18">
        <f t="shared" si="118"/>
        <v>28.722000000000001</v>
      </c>
      <c r="T732" s="19">
        <f t="shared" si="119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17"/>
        <v>57.444000000000003</v>
      </c>
      <c r="S734" s="18">
        <f t="shared" si="118"/>
        <v>57.444000000000003</v>
      </c>
      <c r="T734" s="19">
        <f t="shared" si="119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17"/>
        <v>57.444000000000003</v>
      </c>
      <c r="S735" s="18">
        <f t="shared" si="118"/>
        <v>57.444000000000003</v>
      </c>
      <c r="T735" s="19">
        <f t="shared" si="119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17"/>
        <v>86.165999999999997</v>
      </c>
      <c r="S736" s="18">
        <f t="shared" si="118"/>
        <v>86.165999999999997</v>
      </c>
      <c r="T736" s="19">
        <f t="shared" si="119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17"/>
        <v>28.722000000000001</v>
      </c>
      <c r="S737" s="18">
        <f t="shared" si="118"/>
        <v>28.722000000000001</v>
      </c>
      <c r="T737" s="19">
        <f t="shared" si="119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17"/>
        <v>28.722000000000001</v>
      </c>
      <c r="S738" s="18">
        <f t="shared" si="118"/>
        <v>28.722000000000001</v>
      </c>
      <c r="T738" s="19">
        <f t="shared" si="119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17"/>
        <v>373.38600000000002</v>
      </c>
      <c r="S739" s="18">
        <f t="shared" si="118"/>
        <v>373.38600000000002</v>
      </c>
      <c r="T739" s="19">
        <f t="shared" si="119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17"/>
        <v>57.444000000000003</v>
      </c>
      <c r="S740" s="18">
        <f t="shared" si="118"/>
        <v>57.444000000000003</v>
      </c>
      <c r="T740" s="19">
        <f t="shared" si="119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17"/>
        <v>287.22000000000003</v>
      </c>
      <c r="S741" s="18">
        <f t="shared" si="118"/>
        <v>287.22000000000003</v>
      </c>
      <c r="T741" s="19">
        <f t="shared" si="119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17"/>
        <v>12.6</v>
      </c>
      <c r="S742" s="18">
        <f t="shared" si="118"/>
        <v>12.6</v>
      </c>
      <c r="T742" s="19">
        <f t="shared" si="119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17"/>
        <v>12.6</v>
      </c>
      <c r="S743" s="18">
        <f t="shared" si="118"/>
        <v>12.6</v>
      </c>
      <c r="T743" s="19">
        <f t="shared" si="119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17"/>
        <v>12.6</v>
      </c>
      <c r="S744" s="18">
        <f t="shared" si="118"/>
        <v>12.6</v>
      </c>
      <c r="T744" s="19">
        <f t="shared" si="119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17"/>
        <v>31.584</v>
      </c>
      <c r="S754" s="18">
        <f t="shared" si="118"/>
        <v>31.584</v>
      </c>
      <c r="T754" s="19">
        <f t="shared" si="119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21">IFERROR(H755*((AA755*0.25)+(AC755*0.25)+(AD755*0.225)+(AE755*0.225)+(AF755*0.05)),"")</f>
        <v>63.167999999999999</v>
      </c>
      <c r="S755" s="18">
        <f t="shared" ref="S755:S760" si="122">IFERROR(H755*AG755,"")</f>
        <v>63.167999999999999</v>
      </c>
      <c r="T755" s="19">
        <f t="shared" ref="T755:T760" si="123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24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21"/>
        <v>31.584</v>
      </c>
      <c r="S756" s="18">
        <f t="shared" si="122"/>
        <v>31.584</v>
      </c>
      <c r="T756" s="19">
        <f t="shared" si="123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24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21"/>
        <v>63.167999999999999</v>
      </c>
      <c r="S757" s="18">
        <f t="shared" si="122"/>
        <v>63.167999999999999</v>
      </c>
      <c r="T757" s="19">
        <f t="shared" si="123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24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21"/>
        <v>1460.8000000000002</v>
      </c>
      <c r="S758" s="18">
        <f t="shared" si="122"/>
        <v>1460.8000000000002</v>
      </c>
      <c r="T758" s="19">
        <f t="shared" si="123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24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21"/>
        <v>1460.8000000000002</v>
      </c>
      <c r="S759" s="18">
        <f t="shared" si="122"/>
        <v>1460.8000000000002</v>
      </c>
      <c r="T759" s="19">
        <f t="shared" si="123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21"/>
        <v>12.5</v>
      </c>
      <c r="S760" s="18">
        <f t="shared" si="122"/>
        <v>12.5</v>
      </c>
      <c r="T760" s="19">
        <f t="shared" si="123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25">IFERROR(H762*((AA762*0.25)+(AC762*0.25)+(AD762*0.225)+(AE762*0.225)+(AF762*0.05)),"")</f>
        <v>6.08</v>
      </c>
      <c r="S762" s="18">
        <f t="shared" ref="S762" si="126">IFERROR(H762*AG762,"")</f>
        <v>0</v>
      </c>
      <c r="T762" s="19">
        <f t="shared" ref="T762" si="127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28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10" t="s">
        <v>653</v>
      </c>
      <c r="B764" s="21"/>
      <c r="C764" s="208">
        <v>2</v>
      </c>
      <c r="D764" s="208" t="s">
        <v>4831</v>
      </c>
      <c r="E764" s="211">
        <v>4419</v>
      </c>
      <c r="F764" s="194">
        <v>9</v>
      </c>
      <c r="G764" s="212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29">IFERROR(H765*((AA765*0.25)+(AC765*0.25)+(AD765*0.225)+(AE765*0.225)+(AF765*0.05)),"")</f>
        <v>19.575000000000003</v>
      </c>
      <c r="S765" s="18">
        <f t="shared" ref="S765:S769" si="130">IFERROR(H765*AG765,"")</f>
        <v>0</v>
      </c>
      <c r="T765" s="19">
        <f t="shared" ref="T765:T769" si="131">IFERROR(S765-H765,"")</f>
        <v>-135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32">U765-C765</f>
        <v>-15</v>
      </c>
      <c r="Z765" s="20">
        <f>Tabela1[[#This Row],[PESO TOTAL]]-Tabela1[[#This Row],[Peso Expedido]]</f>
        <v>135</v>
      </c>
      <c r="AA765" s="17">
        <v>0.2</v>
      </c>
      <c r="AB765" s="33"/>
      <c r="AC765" s="33">
        <v>0.2</v>
      </c>
      <c r="AD765" s="33">
        <v>0.2</v>
      </c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29"/>
        <v>6.6990000000000016</v>
      </c>
      <c r="S766" s="18">
        <f t="shared" si="130"/>
        <v>0</v>
      </c>
      <c r="T766" s="19">
        <f t="shared" si="131"/>
        <v>-46.2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32"/>
        <v>-22</v>
      </c>
      <c r="Z766" s="20">
        <f>Tabela1[[#This Row],[PESO TOTAL]]-Tabela1[[#This Row],[Peso Expedido]]</f>
        <v>46.2</v>
      </c>
      <c r="AA766" s="17">
        <v>0.2</v>
      </c>
      <c r="AB766" s="33"/>
      <c r="AC766" s="33">
        <v>0.2</v>
      </c>
      <c r="AD766" s="33">
        <v>0.2</v>
      </c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29"/>
        <v>194.4</v>
      </c>
      <c r="S767" s="18">
        <f t="shared" si="130"/>
        <v>19.440000000000001</v>
      </c>
      <c r="T767" s="19">
        <f t="shared" si="131"/>
        <v>-174.96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32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0.1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29"/>
        <v>1.4500000000000002</v>
      </c>
      <c r="S768" s="18">
        <f t="shared" si="130"/>
        <v>0</v>
      </c>
      <c r="T768" s="19">
        <f t="shared" si="131"/>
        <v>-10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32"/>
        <v>-4</v>
      </c>
      <c r="Z768" s="20">
        <f>Tabela1[[#This Row],[PESO TOTAL]]-Tabela1[[#This Row],[Peso Expedido]]</f>
        <v>10</v>
      </c>
      <c r="AA768" s="17">
        <v>0.2</v>
      </c>
      <c r="AB768" s="33"/>
      <c r="AC768" s="33">
        <v>0.2</v>
      </c>
      <c r="AD768" s="33">
        <v>0.2</v>
      </c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29"/>
        <v>13.398000000000003</v>
      </c>
      <c r="S769" s="18">
        <f t="shared" si="130"/>
        <v>0</v>
      </c>
      <c r="T769" s="19">
        <f t="shared" si="131"/>
        <v>-92.4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32"/>
        <v>-22</v>
      </c>
      <c r="Z769" s="20">
        <f>Tabela1[[#This Row],[PESO TOTAL]]-Tabela1[[#This Row],[Peso Expedido]]</f>
        <v>92.4</v>
      </c>
      <c r="AA769" s="17">
        <v>0.2</v>
      </c>
      <c r="AB769" s="33"/>
      <c r="AC769" s="33">
        <v>0.2</v>
      </c>
      <c r="AD769" s="33">
        <v>0.2</v>
      </c>
      <c r="AE769" s="33"/>
      <c r="AF769" s="33"/>
      <c r="AG769" s="33"/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80" si="133">IFERROR(H770*((AA770*0.25)+(AC770*0.25)+(AD770*0.225)+(AE770*0.225)+(AF770*0.05)),"")</f>
        <v>288</v>
      </c>
      <c r="S770" s="18">
        <f t="shared" ref="S770:S780" si="134">IFERROR(H770*AG770,"")</f>
        <v>288</v>
      </c>
      <c r="T770" s="19">
        <f t="shared" ref="T770:T780" si="135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80" si="136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33"/>
        <v>0</v>
      </c>
      <c r="S771" s="18">
        <f t="shared" si="134"/>
        <v>0</v>
      </c>
      <c r="T771" s="19">
        <f t="shared" si="135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36"/>
        <v>-1</v>
      </c>
      <c r="Z771" s="20">
        <f>Tabela1[[#This Row],[PESO TOTAL]]-Tabela1[[#This Row],[Peso Expedido]]</f>
        <v>235.8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33"/>
        <v>0</v>
      </c>
      <c r="S772" s="18">
        <f t="shared" si="134"/>
        <v>0</v>
      </c>
      <c r="T772" s="19">
        <f t="shared" si="135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36"/>
        <v>-1</v>
      </c>
      <c r="Z772" s="20">
        <f>Tabela1[[#This Row],[PESO TOTAL]]-Tabela1[[#This Row],[Peso Expedido]]</f>
        <v>3799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33"/>
        <v>2587.2660000000001</v>
      </c>
      <c r="S773" s="18">
        <f t="shared" si="134"/>
        <v>522.68000000000006</v>
      </c>
      <c r="T773" s="19">
        <f t="shared" si="135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36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4866</v>
      </c>
      <c r="K774" s="8" t="s">
        <v>4320</v>
      </c>
      <c r="L774" s="9" t="s">
        <v>4865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33"/>
        <v>950.00000000000011</v>
      </c>
      <c r="S774" s="18">
        <f t="shared" si="134"/>
        <v>900</v>
      </c>
      <c r="T774" s="19">
        <f t="shared" si="135"/>
        <v>-100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36"/>
        <v>0</v>
      </c>
      <c r="Z774" s="20">
        <f>Tabela1[[#This Row],[PESO TOTAL]]-Tabela1[[#This Row],[Peso Expedido]]</f>
        <v>1000</v>
      </c>
      <c r="AA774" s="17">
        <v>1</v>
      </c>
      <c r="AB774" s="33">
        <v>1</v>
      </c>
      <c r="AC774" s="33">
        <v>1</v>
      </c>
      <c r="AD774" s="33">
        <v>0.9</v>
      </c>
      <c r="AE774" s="33">
        <v>0.9</v>
      </c>
      <c r="AF774" s="33">
        <v>0.9</v>
      </c>
      <c r="AG774" s="33">
        <v>0.9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customHeight="1" x14ac:dyDescent="0.25">
      <c r="A775" s="1" t="s">
        <v>4869</v>
      </c>
      <c r="B775" s="21" t="s">
        <v>4870</v>
      </c>
      <c r="C775" s="1">
        <v>1</v>
      </c>
      <c r="D775" s="1" t="s">
        <v>4874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5029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si="133"/>
        <v>0</v>
      </c>
      <c r="S775" s="18">
        <f t="shared" si="134"/>
        <v>0</v>
      </c>
      <c r="T775" s="19">
        <f t="shared" si="135"/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36"/>
        <v>-1</v>
      </c>
      <c r="Z775" s="20">
        <f>Tabela1[[#This Row],[PESO TOTAL]]-Tabela1[[#This Row],[Peso Expedido]]</f>
        <v>67.099999999999994</v>
      </c>
      <c r="AA775" s="17"/>
      <c r="AB775" s="33"/>
      <c r="AC775" s="33"/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customHeight="1" x14ac:dyDescent="0.25">
      <c r="A776" s="1" t="s">
        <v>4869</v>
      </c>
      <c r="B776" s="21" t="s">
        <v>4870</v>
      </c>
      <c r="C776" s="1">
        <v>4</v>
      </c>
      <c r="D776" s="1" t="s">
        <v>4875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5029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33"/>
        <v>0</v>
      </c>
      <c r="S776" s="18">
        <f t="shared" si="134"/>
        <v>0</v>
      </c>
      <c r="T776" s="19">
        <f t="shared" si="135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36"/>
        <v>-4</v>
      </c>
      <c r="Z776" s="20">
        <f>Tabela1[[#This Row],[PESO TOTAL]]-Tabela1[[#This Row],[Peso Expedido]]</f>
        <v>124.8</v>
      </c>
      <c r="AA776" s="17"/>
      <c r="AB776" s="33"/>
      <c r="AC776" s="33"/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customHeight="1" x14ac:dyDescent="0.25">
      <c r="A777" s="1" t="s">
        <v>4869</v>
      </c>
      <c r="B777" s="21" t="s">
        <v>4870</v>
      </c>
      <c r="C777" s="1">
        <v>1</v>
      </c>
      <c r="D777" s="1" t="s">
        <v>4876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5029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33"/>
        <v>0</v>
      </c>
      <c r="S777" s="18">
        <f t="shared" si="134"/>
        <v>0</v>
      </c>
      <c r="T777" s="19">
        <f t="shared" si="135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36"/>
        <v>-1</v>
      </c>
      <c r="Z777" s="20">
        <f>Tabela1[[#This Row],[PESO TOTAL]]-Tabela1[[#This Row],[Peso Expedido]]</f>
        <v>106.8</v>
      </c>
      <c r="AA777" s="17"/>
      <c r="AB777" s="33"/>
      <c r="AC777" s="33"/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4869</v>
      </c>
      <c r="B778" s="21" t="s">
        <v>4870</v>
      </c>
      <c r="C778" s="1">
        <v>6</v>
      </c>
      <c r="D778" s="1" t="s">
        <v>4877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5029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33"/>
        <v>0</v>
      </c>
      <c r="S778" s="18">
        <f t="shared" si="134"/>
        <v>0</v>
      </c>
      <c r="T778" s="19">
        <f t="shared" si="135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36"/>
        <v>-6</v>
      </c>
      <c r="Z778" s="20">
        <f>Tabela1[[#This Row],[PESO TOTAL]]-Tabela1[[#This Row],[Peso Expedido]]</f>
        <v>43.8</v>
      </c>
      <c r="AA778" s="17"/>
      <c r="AB778" s="33"/>
      <c r="AC778" s="33"/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4869</v>
      </c>
      <c r="B779" s="21" t="s">
        <v>4870</v>
      </c>
      <c r="C779" s="1">
        <v>2</v>
      </c>
      <c r="D779" s="1" t="s">
        <v>4878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5029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33"/>
        <v>0</v>
      </c>
      <c r="S779" s="18">
        <f t="shared" si="134"/>
        <v>0</v>
      </c>
      <c r="T779" s="19">
        <f t="shared" si="135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36"/>
        <v>-2</v>
      </c>
      <c r="Z779" s="20">
        <f>Tabela1[[#This Row],[PESO TOTAL]]-Tabela1[[#This Row],[Peso Expedido]]</f>
        <v>20</v>
      </c>
      <c r="AA779" s="17"/>
      <c r="AB779" s="33"/>
      <c r="AC779" s="33"/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4869</v>
      </c>
      <c r="B780" s="21" t="s">
        <v>4870</v>
      </c>
      <c r="C780" s="1">
        <v>2</v>
      </c>
      <c r="D780" s="1" t="s">
        <v>4879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5029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33"/>
        <v>0</v>
      </c>
      <c r="S780" s="18">
        <f t="shared" si="134"/>
        <v>0</v>
      </c>
      <c r="T780" s="19">
        <f t="shared" si="135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36"/>
        <v>-2</v>
      </c>
      <c r="Z780" s="20">
        <f>Tabela1[[#This Row],[PESO TOTAL]]-Tabela1[[#This Row],[Peso Expedido]]</f>
        <v>16.399999999999999</v>
      </c>
      <c r="AA780" s="17"/>
      <c r="AB780" s="33"/>
      <c r="AC780" s="33"/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customHeight="1" x14ac:dyDescent="0.25">
      <c r="A781" s="1" t="s">
        <v>4872</v>
      </c>
      <c r="B781" s="21" t="s">
        <v>4873</v>
      </c>
      <c r="C781" s="1">
        <v>2</v>
      </c>
      <c r="D781" s="1" t="s">
        <v>4880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5029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ref="R781" si="137">IFERROR(H781*((AA781*0.25)+(AC781*0.25)+(AD781*0.225)+(AE781*0.225)+(AF781*0.05)),"")</f>
        <v>0</v>
      </c>
      <c r="S781" s="18">
        <f t="shared" ref="S781" si="138">IFERROR(H781*AG781,"")</f>
        <v>0</v>
      </c>
      <c r="T781" s="19">
        <f t="shared" ref="T781" si="139">IFERROR(S781-H781,"")</f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ref="Y781" si="140">U781-C781</f>
        <v>-2</v>
      </c>
      <c r="Z781" s="20">
        <f>Tabela1[[#This Row],[PESO TOTAL]]-Tabela1[[#This Row],[Peso Expedido]]</f>
        <v>145.6</v>
      </c>
      <c r="AA781" s="17"/>
      <c r="AB781" s="33"/>
      <c r="AC781" s="33"/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customHeight="1" x14ac:dyDescent="0.25">
      <c r="A782" s="1" t="s">
        <v>4872</v>
      </c>
      <c r="B782" s="21" t="s">
        <v>4873</v>
      </c>
      <c r="C782" s="1">
        <v>4</v>
      </c>
      <c r="D782" s="1" t="s">
        <v>4894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5029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ref="R782" si="141">IFERROR(H782*((AA782*0.25)+(AC782*0.25)+(AD782*0.225)+(AE782*0.225)+(AF782*0.05)),"")</f>
        <v>0</v>
      </c>
      <c r="S782" s="18">
        <f t="shared" ref="S782" si="142">IFERROR(H782*AG782,"")</f>
        <v>0</v>
      </c>
      <c r="T782" s="19">
        <f t="shared" ref="T782" si="143">IFERROR(S782-H782,"")</f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ref="Y782" si="144">U782-C782</f>
        <v>-4</v>
      </c>
      <c r="Z782" s="20">
        <f>Tabela1[[#This Row],[PESO TOTAL]]-Tabela1[[#This Row],[Peso Expedido]]</f>
        <v>32.4</v>
      </c>
      <c r="AA782" s="17"/>
      <c r="AB782" s="33"/>
      <c r="AC782" s="33"/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customHeight="1" x14ac:dyDescent="0.25">
      <c r="A783" s="1" t="s">
        <v>4872</v>
      </c>
      <c r="B783" s="21" t="s">
        <v>4873</v>
      </c>
      <c r="C783" s="1">
        <v>4</v>
      </c>
      <c r="D783" s="1" t="s">
        <v>4893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5029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ref="R783" si="145">IFERROR(H783*((AA783*0.25)+(AC783*0.25)+(AD783*0.225)+(AE783*0.225)+(AF783*0.05)),"")</f>
        <v>0</v>
      </c>
      <c r="S783" s="18">
        <f t="shared" ref="S783" si="146">IFERROR(H783*AG783,"")</f>
        <v>0</v>
      </c>
      <c r="T783" s="19">
        <f t="shared" ref="T783" si="147">IFERROR(S783-H783,"")</f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ref="Y783" si="148">U783-C783</f>
        <v>-4</v>
      </c>
      <c r="Z783" s="20">
        <f>Tabela1[[#This Row],[PESO TOTAL]]-Tabela1[[#This Row],[Peso Expedido]]</f>
        <v>2.4</v>
      </c>
      <c r="AA783" s="17"/>
      <c r="AB783" s="33"/>
      <c r="AC783" s="33"/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customHeight="1" x14ac:dyDescent="0.25">
      <c r="A784" s="1" t="s">
        <v>4872</v>
      </c>
      <c r="B784" s="21" t="s">
        <v>4873</v>
      </c>
      <c r="C784" s="1">
        <v>4</v>
      </c>
      <c r="D784" s="1" t="s">
        <v>4892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5029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ref="R784" si="149">IFERROR(H784*((AA784*0.25)+(AC784*0.25)+(AD784*0.225)+(AE784*0.225)+(AF784*0.05)),"")</f>
        <v>0</v>
      </c>
      <c r="S784" s="18">
        <f t="shared" ref="S784" si="150">IFERROR(H784*AG784,"")</f>
        <v>0</v>
      </c>
      <c r="T784" s="19">
        <f t="shared" ref="T784" si="151">IFERROR(S784-H784,"")</f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ref="Y784" si="152">U784-C784</f>
        <v>-4</v>
      </c>
      <c r="Z784" s="20">
        <f>Tabela1[[#This Row],[PESO TOTAL]]-Tabela1[[#This Row],[Peso Expedido]]</f>
        <v>24</v>
      </c>
      <c r="AA784" s="17"/>
      <c r="AB784" s="33"/>
      <c r="AC784" s="33"/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customHeight="1" x14ac:dyDescent="0.25">
      <c r="A785" s="1" t="s">
        <v>4872</v>
      </c>
      <c r="B785" s="21" t="s">
        <v>4873</v>
      </c>
      <c r="C785" s="1">
        <v>2</v>
      </c>
      <c r="D785" s="1" t="s">
        <v>4891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5029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ref="R785" si="153">IFERROR(H785*((AA785*0.25)+(AC785*0.25)+(AD785*0.225)+(AE785*0.225)+(AF785*0.05)),"")</f>
        <v>0</v>
      </c>
      <c r="S785" s="18">
        <f t="shared" ref="S785" si="154">IFERROR(H785*AG785,"")</f>
        <v>0</v>
      </c>
      <c r="T785" s="19">
        <f t="shared" ref="T785" si="155">IFERROR(S785-H785,"")</f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ref="Y785" si="156">U785-C785</f>
        <v>-2</v>
      </c>
      <c r="Z785" s="20">
        <f>Tabela1[[#This Row],[PESO TOTAL]]-Tabela1[[#This Row],[Peso Expedido]]</f>
        <v>134.4</v>
      </c>
      <c r="AA785" s="17"/>
      <c r="AB785" s="33"/>
      <c r="AC785" s="33"/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4872</v>
      </c>
      <c r="B786" s="21" t="s">
        <v>4873</v>
      </c>
      <c r="C786" s="1">
        <v>12</v>
      </c>
      <c r="D786" s="1" t="s">
        <v>4890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5029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ref="R786" si="157">IFERROR(H786*((AA786*0.25)+(AC786*0.25)+(AD786*0.225)+(AE786*0.225)+(AF786*0.05)),"")</f>
        <v>0</v>
      </c>
      <c r="S786" s="18">
        <f t="shared" ref="S786" si="158">IFERROR(H786*AG786,"")</f>
        <v>0</v>
      </c>
      <c r="T786" s="19">
        <f t="shared" ref="T786" si="159">IFERROR(S786-H786,"")</f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ref="Y786" si="160">U786-C786</f>
        <v>-12</v>
      </c>
      <c r="Z786" s="20">
        <f>Tabela1[[#This Row],[PESO TOTAL]]-Tabela1[[#This Row],[Peso Expedido]]</f>
        <v>87.6</v>
      </c>
      <c r="AA786" s="17"/>
      <c r="AB786" s="33"/>
      <c r="AC786" s="33"/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4872</v>
      </c>
      <c r="B787" s="21" t="s">
        <v>4873</v>
      </c>
      <c r="C787" s="1">
        <v>2</v>
      </c>
      <c r="D787" s="1" t="s">
        <v>4889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5029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ref="R787" si="161">IFERROR(H787*((AA787*0.25)+(AC787*0.25)+(AD787*0.225)+(AE787*0.225)+(AF787*0.05)),"")</f>
        <v>0</v>
      </c>
      <c r="S787" s="18">
        <f t="shared" ref="S787" si="162">IFERROR(H787*AG787,"")</f>
        <v>0</v>
      </c>
      <c r="T787" s="19">
        <f t="shared" ref="T787" si="163">IFERROR(S787-H787,"")</f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ref="Y787" si="164">U787-C787</f>
        <v>-2</v>
      </c>
      <c r="Z787" s="20">
        <f>Tabela1[[#This Row],[PESO TOTAL]]-Tabela1[[#This Row],[Peso Expedido]]</f>
        <v>23.2</v>
      </c>
      <c r="AA787" s="17"/>
      <c r="AB787" s="33"/>
      <c r="AC787" s="33"/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4872</v>
      </c>
      <c r="B788" s="21" t="s">
        <v>4873</v>
      </c>
      <c r="C788" s="1">
        <v>2</v>
      </c>
      <c r="D788" s="1" t="s">
        <v>4888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5029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ref="R788" si="165">IFERROR(H788*((AA788*0.25)+(AC788*0.25)+(AD788*0.225)+(AE788*0.225)+(AF788*0.05)),"")</f>
        <v>0</v>
      </c>
      <c r="S788" s="18">
        <f t="shared" ref="S788" si="166">IFERROR(H788*AG788,"")</f>
        <v>0</v>
      </c>
      <c r="T788" s="19">
        <f t="shared" ref="T788" si="167">IFERROR(S788-H788,"")</f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ref="Y788" si="168">U788-C788</f>
        <v>-2</v>
      </c>
      <c r="Z788" s="20">
        <f>Tabela1[[#This Row],[PESO TOTAL]]-Tabela1[[#This Row],[Peso Expedido]]</f>
        <v>24.4</v>
      </c>
      <c r="AA788" s="17"/>
      <c r="AB788" s="33"/>
      <c r="AC788" s="33"/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4872</v>
      </c>
      <c r="B789" s="21" t="s">
        <v>4873</v>
      </c>
      <c r="C789" s="1">
        <v>2</v>
      </c>
      <c r="D789" s="1" t="s">
        <v>4887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5029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ref="R789" si="169">IFERROR(H789*((AA789*0.25)+(AC789*0.25)+(AD789*0.225)+(AE789*0.225)+(AF789*0.05)),"")</f>
        <v>0</v>
      </c>
      <c r="S789" s="18">
        <f t="shared" ref="S789" si="170">IFERROR(H789*AG789,"")</f>
        <v>0</v>
      </c>
      <c r="T789" s="19">
        <f t="shared" ref="T789" si="171">IFERROR(S789-H789,"")</f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ref="Y789" si="172">U789-C789</f>
        <v>-2</v>
      </c>
      <c r="Z789" s="20">
        <f>Tabela1[[#This Row],[PESO TOTAL]]-Tabela1[[#This Row],[Peso Expedido]]</f>
        <v>25.6</v>
      </c>
      <c r="AA789" s="17"/>
      <c r="AB789" s="33"/>
      <c r="AC789" s="33"/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4872</v>
      </c>
      <c r="B790" s="21" t="s">
        <v>4873</v>
      </c>
      <c r="C790" s="1">
        <v>2</v>
      </c>
      <c r="D790" s="1" t="s">
        <v>4886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5029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ref="R790" si="173">IFERROR(H790*((AA790*0.25)+(AC790*0.25)+(AD790*0.225)+(AE790*0.225)+(AF790*0.05)),"")</f>
        <v>0</v>
      </c>
      <c r="S790" s="18">
        <f t="shared" ref="S790" si="174">IFERROR(H790*AG790,"")</f>
        <v>0</v>
      </c>
      <c r="T790" s="19">
        <f t="shared" ref="T790" si="175">IFERROR(S790-H790,"")</f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ref="Y790" si="176">U790-C790</f>
        <v>-2</v>
      </c>
      <c r="Z790" s="20">
        <f>Tabela1[[#This Row],[PESO TOTAL]]-Tabela1[[#This Row],[Peso Expedido]]</f>
        <v>27</v>
      </c>
      <c r="AA790" s="17"/>
      <c r="AB790" s="33"/>
      <c r="AC790" s="33"/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4872</v>
      </c>
      <c r="B791" s="21" t="s">
        <v>4873</v>
      </c>
      <c r="C791" s="1">
        <v>2</v>
      </c>
      <c r="D791" s="1" t="s">
        <v>4885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5029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ref="R791" si="177">IFERROR(H791*((AA791*0.25)+(AC791*0.25)+(AD791*0.225)+(AE791*0.225)+(AF791*0.05)),"")</f>
        <v>0</v>
      </c>
      <c r="S791" s="18">
        <f t="shared" ref="S791" si="178">IFERROR(H791*AG791,"")</f>
        <v>0</v>
      </c>
      <c r="T791" s="19">
        <f t="shared" ref="T791" si="179">IFERROR(S791-H791,"")</f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ref="Y791" si="180">U791-C791</f>
        <v>-2</v>
      </c>
      <c r="Z791" s="20">
        <f>Tabela1[[#This Row],[PESO TOTAL]]-Tabela1[[#This Row],[Peso Expedido]]</f>
        <v>28.2</v>
      </c>
      <c r="AA791" s="17"/>
      <c r="AB791" s="33"/>
      <c r="AC791" s="33"/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4872</v>
      </c>
      <c r="B792" s="21" t="s">
        <v>4873</v>
      </c>
      <c r="C792" s="1">
        <v>2</v>
      </c>
      <c r="D792" s="1" t="s">
        <v>4884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5029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ref="R792" si="181">IFERROR(H792*((AA792*0.25)+(AC792*0.25)+(AD792*0.225)+(AE792*0.225)+(AF792*0.05)),"")</f>
        <v>0</v>
      </c>
      <c r="S792" s="18">
        <f t="shared" ref="S792" si="182">IFERROR(H792*AG792,"")</f>
        <v>0</v>
      </c>
      <c r="T792" s="19">
        <f t="shared" ref="T792" si="183">IFERROR(S792-H792,"")</f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ref="Y792" si="184">U792-C792</f>
        <v>-2</v>
      </c>
      <c r="Z792" s="20">
        <f>Tabela1[[#This Row],[PESO TOTAL]]-Tabela1[[#This Row],[Peso Expedido]]</f>
        <v>27.8</v>
      </c>
      <c r="AA792" s="17"/>
      <c r="AB792" s="33"/>
      <c r="AC792" s="33"/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customHeight="1" x14ac:dyDescent="0.25">
      <c r="A793" s="1" t="s">
        <v>4881</v>
      </c>
      <c r="B793" s="21" t="s">
        <v>4882</v>
      </c>
      <c r="C793" s="1">
        <v>2</v>
      </c>
      <c r="D793" s="1" t="s">
        <v>4883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5029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ref="R793" si="185">IFERROR(H793*((AA793*0.25)+(AC793*0.25)+(AD793*0.225)+(AE793*0.225)+(AF793*0.05)),"")</f>
        <v>0</v>
      </c>
      <c r="S793" s="18">
        <f t="shared" ref="S793" si="186">IFERROR(H793*AG793,"")</f>
        <v>0</v>
      </c>
      <c r="T793" s="19">
        <f t="shared" ref="T793" si="187">IFERROR(S793-H793,"")</f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ref="Y793" si="188">U793-C793</f>
        <v>-2</v>
      </c>
      <c r="Z793" s="20">
        <f>Tabela1[[#This Row],[PESO TOTAL]]-Tabela1[[#This Row],[Peso Expedido]]</f>
        <v>142.19999999999999</v>
      </c>
      <c r="AA793" s="17"/>
      <c r="AB793" s="33"/>
      <c r="AC793" s="33"/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customHeight="1" x14ac:dyDescent="0.25">
      <c r="A794" s="1" t="s">
        <v>4881</v>
      </c>
      <c r="B794" s="21" t="s">
        <v>4882</v>
      </c>
      <c r="C794" s="1">
        <v>4</v>
      </c>
      <c r="D794" s="1" t="s">
        <v>4895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5029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ref="R794" si="189">IFERROR(H794*((AA794*0.25)+(AC794*0.25)+(AD794*0.225)+(AE794*0.225)+(AF794*0.05)),"")</f>
        <v>0</v>
      </c>
      <c r="S794" s="18">
        <f t="shared" ref="S794" si="190">IFERROR(H794*AG794,"")</f>
        <v>0</v>
      </c>
      <c r="T794" s="19">
        <f t="shared" ref="T794" si="191">IFERROR(S794-H794,"")</f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ref="Y794" si="192">U794-C794</f>
        <v>-4</v>
      </c>
      <c r="Z794" s="20">
        <f>Tabela1[[#This Row],[PESO TOTAL]]-Tabela1[[#This Row],[Peso Expedido]]</f>
        <v>32.4</v>
      </c>
      <c r="AA794" s="17"/>
      <c r="AB794" s="33"/>
      <c r="AC794" s="33"/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customHeight="1" x14ac:dyDescent="0.25">
      <c r="A795" s="1" t="s">
        <v>4881</v>
      </c>
      <c r="B795" s="21" t="s">
        <v>4882</v>
      </c>
      <c r="C795" s="1">
        <v>4</v>
      </c>
      <c r="D795" s="1" t="s">
        <v>4896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5029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ref="R795" si="193">IFERROR(H795*((AA795*0.25)+(AC795*0.25)+(AD795*0.225)+(AE795*0.225)+(AF795*0.05)),"")</f>
        <v>0</v>
      </c>
      <c r="S795" s="18">
        <f t="shared" ref="S795" si="194">IFERROR(H795*AG795,"")</f>
        <v>0</v>
      </c>
      <c r="T795" s="19">
        <f t="shared" ref="T795" si="195">IFERROR(S795-H795,"")</f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ref="Y795" si="196">U795-C795</f>
        <v>-4</v>
      </c>
      <c r="Z795" s="20">
        <f>Tabela1[[#This Row],[PESO TOTAL]]-Tabela1[[#This Row],[Peso Expedido]]</f>
        <v>2.4</v>
      </c>
      <c r="AA795" s="17"/>
      <c r="AB795" s="33"/>
      <c r="AC795" s="33"/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customHeight="1" x14ac:dyDescent="0.25">
      <c r="A796" s="1" t="s">
        <v>4881</v>
      </c>
      <c r="B796" s="21" t="s">
        <v>4882</v>
      </c>
      <c r="C796" s="1">
        <v>4</v>
      </c>
      <c r="D796" s="1" t="s">
        <v>4897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5029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ref="R796" si="197">IFERROR(H796*((AA796*0.25)+(AC796*0.25)+(AD796*0.225)+(AE796*0.225)+(AF796*0.05)),"")</f>
        <v>0</v>
      </c>
      <c r="S796" s="18">
        <f t="shared" ref="S796" si="198">IFERROR(H796*AG796,"")</f>
        <v>0</v>
      </c>
      <c r="T796" s="19">
        <f t="shared" ref="T796" si="199">IFERROR(S796-H796,"")</f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ref="Y796" si="200">U796-C796</f>
        <v>-4</v>
      </c>
      <c r="Z796" s="20">
        <f>Tabela1[[#This Row],[PESO TOTAL]]-Tabela1[[#This Row],[Peso Expedido]]</f>
        <v>24</v>
      </c>
      <c r="AA796" s="17"/>
      <c r="AB796" s="33"/>
      <c r="AC796" s="33"/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customHeight="1" x14ac:dyDescent="0.25">
      <c r="A797" s="1" t="s">
        <v>4881</v>
      </c>
      <c r="B797" s="21" t="s">
        <v>4882</v>
      </c>
      <c r="C797" s="1">
        <v>2</v>
      </c>
      <c r="D797" s="1" t="s">
        <v>4898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5029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ref="R797" si="201">IFERROR(H797*((AA797*0.25)+(AC797*0.25)+(AD797*0.225)+(AE797*0.225)+(AF797*0.05)),"")</f>
        <v>0</v>
      </c>
      <c r="S797" s="18">
        <f t="shared" ref="S797" si="202">IFERROR(H797*AG797,"")</f>
        <v>0</v>
      </c>
      <c r="T797" s="19">
        <f t="shared" ref="T797" si="203">IFERROR(S797-H797,"")</f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ref="Y797" si="204">U797-C797</f>
        <v>-2</v>
      </c>
      <c r="Z797" s="20">
        <f>Tabela1[[#This Row],[PESO TOTAL]]-Tabela1[[#This Row],[Peso Expedido]]</f>
        <v>218.4</v>
      </c>
      <c r="AA797" s="17"/>
      <c r="AB797" s="33"/>
      <c r="AC797" s="33"/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4881</v>
      </c>
      <c r="B798" s="21" t="s">
        <v>4882</v>
      </c>
      <c r="C798" s="1">
        <v>12</v>
      </c>
      <c r="D798" s="1" t="s">
        <v>4899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5029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ref="R798" si="205">IFERROR(H798*((AA798*0.25)+(AC798*0.25)+(AD798*0.225)+(AE798*0.225)+(AF798*0.05)),"")</f>
        <v>0</v>
      </c>
      <c r="S798" s="18">
        <f t="shared" ref="S798" si="206">IFERROR(H798*AG798,"")</f>
        <v>0</v>
      </c>
      <c r="T798" s="19">
        <f t="shared" ref="T798" si="207">IFERROR(S798-H798,"")</f>
        <v>-87.6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ref="Y798" si="208">U798-C798</f>
        <v>-12</v>
      </c>
      <c r="Z798" s="20">
        <f>Tabela1[[#This Row],[PESO TOTAL]]-Tabela1[[#This Row],[Peso Expedido]]</f>
        <v>87.6</v>
      </c>
      <c r="AA798" s="17"/>
      <c r="AB798" s="33"/>
      <c r="AC798" s="33"/>
      <c r="AD798" s="33"/>
      <c r="AE798" s="33"/>
      <c r="AF798" s="33"/>
      <c r="AG798" s="33"/>
      <c r="AH798" s="33"/>
      <c r="AI798" s="33"/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4881</v>
      </c>
      <c r="B799" s="21" t="s">
        <v>4882</v>
      </c>
      <c r="C799" s="1">
        <v>2</v>
      </c>
      <c r="D799" s="1" t="s">
        <v>4900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5029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ref="R799" si="209">IFERROR(H799*((AA799*0.25)+(AC799*0.25)+(AD799*0.225)+(AE799*0.225)+(AF799*0.05)),"")</f>
        <v>0</v>
      </c>
      <c r="S799" s="18">
        <f t="shared" ref="S799" si="210">IFERROR(H799*AG799,"")</f>
        <v>0</v>
      </c>
      <c r="T799" s="19">
        <f t="shared" ref="T799" si="211">IFERROR(S799-H799,"")</f>
        <v>-17</v>
      </c>
      <c r="U799" s="16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IFERROR(VLOOKUP(Tabela1[[#This Row],[COD.MDE]],'LISTA DE EMBARQUE'!B:M,12,0),"")</f>
        <v/>
      </c>
      <c r="X799" s="14">
        <f>IFERROR(Tabela1[[#This Row],[QIANTIDADE EXPEDIDA]]*Tabela1[[#This Row],[PESO UNI]],"")</f>
        <v>0</v>
      </c>
      <c r="Y799" s="14">
        <f t="shared" ref="Y799" si="212">U799-C799</f>
        <v>-2</v>
      </c>
      <c r="Z799" s="20">
        <f>Tabela1[[#This Row],[PESO TOTAL]]-Tabela1[[#This Row],[Peso Expedido]]</f>
        <v>17</v>
      </c>
      <c r="AA799" s="17"/>
      <c r="AB799" s="33"/>
      <c r="AC799" s="33"/>
      <c r="AD799" s="33"/>
      <c r="AE799" s="33"/>
      <c r="AF799" s="33"/>
      <c r="AG799" s="33"/>
      <c r="AH799" s="33"/>
      <c r="AI799" s="33"/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4881</v>
      </c>
      <c r="B800" s="21" t="s">
        <v>4882</v>
      </c>
      <c r="C800" s="1">
        <v>2</v>
      </c>
      <c r="D800" s="1" t="s">
        <v>4901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5029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ref="R800" si="213">IFERROR(H800*((AA800*0.25)+(AC800*0.25)+(AD800*0.225)+(AE800*0.225)+(AF800*0.05)),"")</f>
        <v>0</v>
      </c>
      <c r="S800" s="18">
        <f t="shared" ref="S800" si="214">IFERROR(H800*AG800,"")</f>
        <v>0</v>
      </c>
      <c r="T800" s="19">
        <f t="shared" ref="T800" si="215">IFERROR(S800-H800,"")</f>
        <v>-18.399999999999999</v>
      </c>
      <c r="U800" s="16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IFERROR(VLOOKUP(Tabela1[[#This Row],[COD.MDE]],'LISTA DE EMBARQUE'!B:M,12,0),"")</f>
        <v/>
      </c>
      <c r="X800" s="14">
        <f>IFERROR(Tabela1[[#This Row],[QIANTIDADE EXPEDIDA]]*Tabela1[[#This Row],[PESO UNI]],"")</f>
        <v>0</v>
      </c>
      <c r="Y800" s="14">
        <f t="shared" ref="Y800" si="216">U800-C800</f>
        <v>-2</v>
      </c>
      <c r="Z800" s="20">
        <f>Tabela1[[#This Row],[PESO TOTAL]]-Tabela1[[#This Row],[Peso Expedido]]</f>
        <v>18.399999999999999</v>
      </c>
      <c r="AA800" s="17"/>
      <c r="AB800" s="33"/>
      <c r="AC800" s="33"/>
      <c r="AD800" s="33"/>
      <c r="AE800" s="33"/>
      <c r="AF800" s="33"/>
      <c r="AG800" s="33"/>
      <c r="AH800" s="33"/>
      <c r="AI800" s="33"/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4881</v>
      </c>
      <c r="B801" s="21" t="s">
        <v>4882</v>
      </c>
      <c r="C801" s="1">
        <v>2</v>
      </c>
      <c r="D801" s="1" t="s">
        <v>4902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5029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ref="R801" si="217">IFERROR(H801*((AA801*0.25)+(AC801*0.25)+(AD801*0.225)+(AE801*0.225)+(AF801*0.05)),"")</f>
        <v>0</v>
      </c>
      <c r="S801" s="18">
        <f t="shared" ref="S801" si="218">IFERROR(H801*AG801,"")</f>
        <v>0</v>
      </c>
      <c r="T801" s="19">
        <f t="shared" ref="T801" si="219">IFERROR(S801-H801,"")</f>
        <v>-19.8</v>
      </c>
      <c r="U801" s="16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IFERROR(VLOOKUP(Tabela1[[#This Row],[COD.MDE]],'LISTA DE EMBARQUE'!B:M,12,0),"")</f>
        <v/>
      </c>
      <c r="X801" s="14">
        <f>IFERROR(Tabela1[[#This Row],[QIANTIDADE EXPEDIDA]]*Tabela1[[#This Row],[PESO UNI]],"")</f>
        <v>0</v>
      </c>
      <c r="Y801" s="14">
        <f t="shared" ref="Y801" si="220">U801-C801</f>
        <v>-2</v>
      </c>
      <c r="Z801" s="20">
        <f>Tabela1[[#This Row],[PESO TOTAL]]-Tabela1[[#This Row],[Peso Expedido]]</f>
        <v>19.8</v>
      </c>
      <c r="AA801" s="17"/>
      <c r="AB801" s="33"/>
      <c r="AC801" s="33"/>
      <c r="AD801" s="33"/>
      <c r="AE801" s="33"/>
      <c r="AF801" s="33"/>
      <c r="AG801" s="33"/>
      <c r="AH801" s="33"/>
      <c r="AI801" s="33"/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4881</v>
      </c>
      <c r="B802" s="21" t="s">
        <v>4882</v>
      </c>
      <c r="C802" s="1">
        <v>2</v>
      </c>
      <c r="D802" s="1" t="s">
        <v>4903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5029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ref="R802" si="221">IFERROR(H802*((AA802*0.25)+(AC802*0.25)+(AD802*0.225)+(AE802*0.225)+(AF802*0.05)),"")</f>
        <v>0</v>
      </c>
      <c r="S802" s="18">
        <f t="shared" ref="S802" si="222">IFERROR(H802*AG802,"")</f>
        <v>0</v>
      </c>
      <c r="T802" s="19">
        <f t="shared" ref="T802" si="223">IFERROR(S802-H802,"")</f>
        <v>-21</v>
      </c>
      <c r="U802" s="16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IFERROR(VLOOKUP(Tabela1[[#This Row],[COD.MDE]],'LISTA DE EMBARQUE'!B:M,12,0),"")</f>
        <v/>
      </c>
      <c r="X802" s="14">
        <f>IFERROR(Tabela1[[#This Row],[QIANTIDADE EXPEDIDA]]*Tabela1[[#This Row],[PESO UNI]],"")</f>
        <v>0</v>
      </c>
      <c r="Y802" s="14">
        <f t="shared" ref="Y802" si="224">U802-C802</f>
        <v>-2</v>
      </c>
      <c r="Z802" s="20">
        <f>Tabela1[[#This Row],[PESO TOTAL]]-Tabela1[[#This Row],[Peso Expedido]]</f>
        <v>21</v>
      </c>
      <c r="AA802" s="17"/>
      <c r="AB802" s="33"/>
      <c r="AC802" s="33"/>
      <c r="AD802" s="33"/>
      <c r="AE802" s="33"/>
      <c r="AF802" s="33"/>
      <c r="AG802" s="33"/>
      <c r="AH802" s="33"/>
      <c r="AI802" s="33"/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4881</v>
      </c>
      <c r="B803" s="21" t="s">
        <v>4882</v>
      </c>
      <c r="C803" s="1">
        <v>2</v>
      </c>
      <c r="D803" s="1" t="s">
        <v>4904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5029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ref="R803" si="225">IFERROR(H803*((AA803*0.25)+(AC803*0.25)+(AD803*0.225)+(AE803*0.225)+(AF803*0.05)),"")</f>
        <v>0</v>
      </c>
      <c r="S803" s="18">
        <f t="shared" ref="S803" si="226">IFERROR(H803*AG803,"")</f>
        <v>0</v>
      </c>
      <c r="T803" s="19">
        <f t="shared" ref="T803" si="227">IFERROR(S803-H803,"")</f>
        <v>-22.4</v>
      </c>
      <c r="U803" s="16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IFERROR(VLOOKUP(Tabela1[[#This Row],[COD.MDE]],'LISTA DE EMBARQUE'!B:M,12,0),"")</f>
        <v/>
      </c>
      <c r="X803" s="14">
        <f>IFERROR(Tabela1[[#This Row],[QIANTIDADE EXPEDIDA]]*Tabela1[[#This Row],[PESO UNI]],"")</f>
        <v>0</v>
      </c>
      <c r="Y803" s="14">
        <f t="shared" ref="Y803" si="228">U803-C803</f>
        <v>-2</v>
      </c>
      <c r="Z803" s="20">
        <f>Tabela1[[#This Row],[PESO TOTAL]]-Tabela1[[#This Row],[Peso Expedido]]</f>
        <v>22.4</v>
      </c>
      <c r="AA803" s="17"/>
      <c r="AB803" s="33"/>
      <c r="AC803" s="33"/>
      <c r="AD803" s="33"/>
      <c r="AE803" s="33"/>
      <c r="AF803" s="33"/>
      <c r="AG803" s="33"/>
      <c r="AH803" s="33"/>
      <c r="AI803" s="33"/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4881</v>
      </c>
      <c r="B804" s="21" t="s">
        <v>4882</v>
      </c>
      <c r="C804" s="1">
        <v>2</v>
      </c>
      <c r="D804" s="1" t="s">
        <v>4905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5029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ref="R804" si="229">IFERROR(H804*((AA804*0.25)+(AC804*0.25)+(AD804*0.225)+(AE804*0.225)+(AF804*0.05)),"")</f>
        <v>0</v>
      </c>
      <c r="S804" s="18">
        <f t="shared" ref="S804" si="230">IFERROR(H804*AG804,"")</f>
        <v>0</v>
      </c>
      <c r="T804" s="19">
        <f t="shared" ref="T804" si="231">IFERROR(S804-H804,"")</f>
        <v>-23.8</v>
      </c>
      <c r="U804" s="16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IFERROR(VLOOKUP(Tabela1[[#This Row],[COD.MDE]],'LISTA DE EMBARQUE'!B:M,12,0),"")</f>
        <v/>
      </c>
      <c r="X804" s="14">
        <f>IFERROR(Tabela1[[#This Row],[QIANTIDADE EXPEDIDA]]*Tabela1[[#This Row],[PESO UNI]],"")</f>
        <v>0</v>
      </c>
      <c r="Y804" s="14">
        <f t="shared" ref="Y804" si="232">U804-C804</f>
        <v>-2</v>
      </c>
      <c r="Z804" s="20">
        <f>Tabela1[[#This Row],[PESO TOTAL]]-Tabela1[[#This Row],[Peso Expedido]]</f>
        <v>23.8</v>
      </c>
      <c r="AA804" s="17"/>
      <c r="AB804" s="33"/>
      <c r="AC804" s="33"/>
      <c r="AD804" s="33"/>
      <c r="AE804" s="33"/>
      <c r="AF804" s="33"/>
      <c r="AG804" s="33"/>
      <c r="AH804" s="33"/>
      <c r="AI804" s="33"/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25">
      <c r="A805" s="1" t="s">
        <v>4906</v>
      </c>
      <c r="B805" s="21" t="s">
        <v>4907</v>
      </c>
      <c r="C805" s="1">
        <v>8</v>
      </c>
      <c r="D805" s="1" t="s">
        <v>4908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5029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ref="R805" si="233">IFERROR(H805*((AA805*0.25)+(AC805*0.25)+(AD805*0.225)+(AE805*0.225)+(AF805*0.05)),"")</f>
        <v>0</v>
      </c>
      <c r="S805" s="18">
        <f t="shared" ref="S805" si="234">IFERROR(H805*AG805,"")</f>
        <v>0</v>
      </c>
      <c r="T805" s="19">
        <f t="shared" ref="T805" si="235">IFERROR(S805-H805,"")</f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ref="Y805" si="236">U805-C805</f>
        <v>-8</v>
      </c>
      <c r="Z805" s="20">
        <f>Tabela1[[#This Row],[PESO TOTAL]]-Tabela1[[#This Row],[Peso Expedido]]</f>
        <v>558.4</v>
      </c>
      <c r="AA805" s="17"/>
      <c r="AB805" s="33"/>
      <c r="AC805" s="33"/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25">
      <c r="A806" s="1" t="s">
        <v>4906</v>
      </c>
      <c r="B806" s="21" t="s">
        <v>4907</v>
      </c>
      <c r="C806" s="1">
        <v>16</v>
      </c>
      <c r="D806" s="1" t="s">
        <v>4909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5029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ref="R806" si="237">IFERROR(H806*((AA806*0.25)+(AC806*0.25)+(AD806*0.225)+(AE806*0.225)+(AF806*0.05)),"")</f>
        <v>0</v>
      </c>
      <c r="S806" s="18">
        <f t="shared" ref="S806" si="238">IFERROR(H806*AG806,"")</f>
        <v>0</v>
      </c>
      <c r="T806" s="19">
        <f t="shared" ref="T806" si="239">IFERROR(S806-H806,"")</f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ref="Y806" si="240">U806-C806</f>
        <v>-16</v>
      </c>
      <c r="Z806" s="20">
        <f>Tabela1[[#This Row],[PESO TOTAL]]-Tabela1[[#This Row],[Peso Expedido]]</f>
        <v>129.6</v>
      </c>
      <c r="AA806" s="17"/>
      <c r="AB806" s="33"/>
      <c r="AC806" s="33"/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25">
      <c r="A807" s="1" t="s">
        <v>4906</v>
      </c>
      <c r="B807" s="21" t="s">
        <v>4907</v>
      </c>
      <c r="C807" s="1">
        <v>16</v>
      </c>
      <c r="D807" s="1" t="s">
        <v>4910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5029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" si="241">IFERROR(H807*((AA807*0.25)+(AC807*0.25)+(AD807*0.225)+(AE807*0.225)+(AF807*0.05)),"")</f>
        <v>0</v>
      </c>
      <c r="S807" s="18">
        <f t="shared" ref="S807" si="242">IFERROR(H807*AG807,"")</f>
        <v>0</v>
      </c>
      <c r="T807" s="19">
        <f t="shared" ref="T807" si="243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" si="244">U807-C807</f>
        <v>-16</v>
      </c>
      <c r="Z807" s="20">
        <f>Tabela1[[#This Row],[PESO TOTAL]]-Tabela1[[#This Row],[Peso Expedido]]</f>
        <v>9.6</v>
      </c>
      <c r="AA807" s="17"/>
      <c r="AB807" s="33"/>
      <c r="AC807" s="33"/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25">
      <c r="A808" s="1" t="s">
        <v>4906</v>
      </c>
      <c r="B808" s="21" t="s">
        <v>4907</v>
      </c>
      <c r="C808" s="1">
        <v>8</v>
      </c>
      <c r="D808" s="1" t="s">
        <v>4911</v>
      </c>
      <c r="E808" s="7">
        <v>4463</v>
      </c>
      <c r="F808" s="7">
        <v>40</v>
      </c>
      <c r="G808" s="1">
        <v>14.7</v>
      </c>
      <c r="H808" s="34">
        <f>Tabela1[[#This Row],[PESO UNI]]*Tabela1[[#This Row],[QTE]]</f>
        <v>117.6</v>
      </c>
      <c r="I808" s="7" t="s">
        <v>5029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ref="R808" si="245">IFERROR(H808*((AA808*0.25)+(AC808*0.25)+(AD808*0.225)+(AE808*0.225)+(AF808*0.05)),"")</f>
        <v>0</v>
      </c>
      <c r="S808" s="18">
        <f t="shared" ref="S808" si="246">IFERROR(H808*AG808,"")</f>
        <v>0</v>
      </c>
      <c r="T808" s="19">
        <f t="shared" ref="T808" si="247">IFERROR(S808-H808,"")</f>
        <v>-117.6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ref="Y808" si="248">U808-C808</f>
        <v>-8</v>
      </c>
      <c r="Z808" s="20">
        <f>Tabela1[[#This Row],[PESO TOTAL]]-Tabela1[[#This Row],[Peso Expedido]]</f>
        <v>117.6</v>
      </c>
      <c r="AA808" s="17"/>
      <c r="AB808" s="33"/>
      <c r="AC808" s="33"/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25">
      <c r="A809" s="1" t="s">
        <v>4906</v>
      </c>
      <c r="B809" s="21" t="s">
        <v>4907</v>
      </c>
      <c r="C809" s="1">
        <v>16</v>
      </c>
      <c r="D809" s="1" t="s">
        <v>4912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5029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ref="R809" si="249">IFERROR(H809*((AA809*0.25)+(AC809*0.25)+(AD809*0.225)+(AE809*0.225)+(AF809*0.05)),"")</f>
        <v>0</v>
      </c>
      <c r="S809" s="18">
        <f t="shared" ref="S809" si="250">IFERROR(H809*AG809,"")</f>
        <v>0</v>
      </c>
      <c r="T809" s="19">
        <f t="shared" ref="T809" si="251">IFERROR(S809-H809,"")</f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ref="Y809" si="252">U809-C809</f>
        <v>-16</v>
      </c>
      <c r="Z809" s="20">
        <f>Tabela1[[#This Row],[PESO TOTAL]]-Tabela1[[#This Row],[Peso Expedido]]</f>
        <v>96</v>
      </c>
      <c r="AA809" s="17"/>
      <c r="AB809" s="33"/>
      <c r="AC809" s="33"/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4906</v>
      </c>
      <c r="B810" s="21" t="s">
        <v>4907</v>
      </c>
      <c r="C810" s="1">
        <v>96</v>
      </c>
      <c r="D810" s="1" t="s">
        <v>4913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5029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ref="R810" si="253">IFERROR(H810*((AA810*0.25)+(AC810*0.25)+(AD810*0.225)+(AE810*0.225)+(AF810*0.05)),"")</f>
        <v>0</v>
      </c>
      <c r="S810" s="18">
        <f t="shared" ref="S810" si="254">IFERROR(H810*AG810,"")</f>
        <v>0</v>
      </c>
      <c r="T810" s="19">
        <f t="shared" ref="T810" si="255">IFERROR(S810-H810,"")</f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ref="Y810" si="256">U810-C810</f>
        <v>-96</v>
      </c>
      <c r="Z810" s="20">
        <f>Tabela1[[#This Row],[PESO TOTAL]]-Tabela1[[#This Row],[Peso Expedido]]</f>
        <v>700.8</v>
      </c>
      <c r="AA810" s="17"/>
      <c r="AB810" s="33"/>
      <c r="AC810" s="33"/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customHeight="1" x14ac:dyDescent="0.25">
      <c r="A811" s="1" t="s">
        <v>4914</v>
      </c>
      <c r="B811" s="21" t="s">
        <v>4915</v>
      </c>
      <c r="C811" s="1">
        <v>2</v>
      </c>
      <c r="D811" s="1" t="s">
        <v>4916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5029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ref="R811" si="257">IFERROR(H811*((AA811*0.25)+(AC811*0.25)+(AD811*0.225)+(AE811*0.225)+(AF811*0.05)),"")</f>
        <v>0</v>
      </c>
      <c r="S811" s="18">
        <f t="shared" ref="S811" si="258">IFERROR(H811*AG811,"")</f>
        <v>0</v>
      </c>
      <c r="T811" s="19">
        <f t="shared" ref="T811" si="259">IFERROR(S811-H811,"")</f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ref="Y811" si="260">U811-C811</f>
        <v>-2</v>
      </c>
      <c r="Z811" s="20">
        <f>Tabela1[[#This Row],[PESO TOTAL]]-Tabela1[[#This Row],[Peso Expedido]]</f>
        <v>181</v>
      </c>
      <c r="AA811" s="17"/>
      <c r="AB811" s="33"/>
      <c r="AC811" s="33"/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customHeight="1" x14ac:dyDescent="0.25">
      <c r="A812" s="1" t="s">
        <v>4914</v>
      </c>
      <c r="B812" s="21" t="s">
        <v>4915</v>
      </c>
      <c r="C812" s="1">
        <v>4</v>
      </c>
      <c r="D812" s="1" t="s">
        <v>4917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5029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ref="R812" si="261">IFERROR(H812*((AA812*0.25)+(AC812*0.25)+(AD812*0.225)+(AE812*0.225)+(AF812*0.05)),"")</f>
        <v>0</v>
      </c>
      <c r="S812" s="18">
        <f t="shared" ref="S812" si="262">IFERROR(H812*AG812,"")</f>
        <v>0</v>
      </c>
      <c r="T812" s="19">
        <f t="shared" ref="T812" si="263">IFERROR(S812-H812,"")</f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ref="Y812" si="264">U812-C812</f>
        <v>-4</v>
      </c>
      <c r="Z812" s="20">
        <f>Tabela1[[#This Row],[PESO TOTAL]]-Tabela1[[#This Row],[Peso Expedido]]</f>
        <v>32.4</v>
      </c>
      <c r="AA812" s="17"/>
      <c r="AB812" s="33"/>
      <c r="AC812" s="33"/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customHeight="1" x14ac:dyDescent="0.25">
      <c r="A813" s="1" t="s">
        <v>4914</v>
      </c>
      <c r="B813" s="21" t="s">
        <v>4915</v>
      </c>
      <c r="C813" s="1">
        <v>4</v>
      </c>
      <c r="D813" s="1" t="s">
        <v>4918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5029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ref="R813" si="265">IFERROR(H813*((AA813*0.25)+(AC813*0.25)+(AD813*0.225)+(AE813*0.225)+(AF813*0.05)),"")</f>
        <v>0</v>
      </c>
      <c r="S813" s="18">
        <f t="shared" ref="S813" si="266">IFERROR(H813*AG813,"")</f>
        <v>0</v>
      </c>
      <c r="T813" s="19">
        <f t="shared" ref="T813" si="267">IFERROR(S813-H813,"")</f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ref="Y813" si="268">U813-C813</f>
        <v>-4</v>
      </c>
      <c r="Z813" s="20">
        <f>Tabela1[[#This Row],[PESO TOTAL]]-Tabela1[[#This Row],[Peso Expedido]]</f>
        <v>2.4</v>
      </c>
      <c r="AA813" s="17"/>
      <c r="AB813" s="33"/>
      <c r="AC813" s="33"/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customHeight="1" x14ac:dyDescent="0.25">
      <c r="A814" s="1" t="s">
        <v>4914</v>
      </c>
      <c r="B814" s="21" t="s">
        <v>4915</v>
      </c>
      <c r="C814" s="1">
        <v>2</v>
      </c>
      <c r="D814" s="1" t="s">
        <v>4919</v>
      </c>
      <c r="E814" s="7">
        <v>4469</v>
      </c>
      <c r="F814" s="7">
        <v>40</v>
      </c>
      <c r="G814" s="1">
        <v>14.7</v>
      </c>
      <c r="H814" s="34">
        <f>Tabela1[[#This Row],[PESO UNI]]*Tabela1[[#This Row],[QTE]]</f>
        <v>29.4</v>
      </c>
      <c r="I814" s="7" t="s">
        <v>5029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ref="R814" si="269">IFERROR(H814*((AA814*0.25)+(AC814*0.25)+(AD814*0.225)+(AE814*0.225)+(AF814*0.05)),"")</f>
        <v>0</v>
      </c>
      <c r="S814" s="18">
        <f t="shared" ref="S814" si="270">IFERROR(H814*AG814,"")</f>
        <v>0</v>
      </c>
      <c r="T814" s="19">
        <f t="shared" ref="T814" si="271">IFERROR(S814-H814,"")</f>
        <v>-29.4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ref="Y814" si="272">U814-C814</f>
        <v>-2</v>
      </c>
      <c r="Z814" s="20">
        <f>Tabela1[[#This Row],[PESO TOTAL]]-Tabela1[[#This Row],[Peso Expedido]]</f>
        <v>29.4</v>
      </c>
      <c r="AA814" s="17"/>
      <c r="AB814" s="33"/>
      <c r="AC814" s="33"/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customHeight="1" x14ac:dyDescent="0.25">
      <c r="A815" s="1" t="s">
        <v>4914</v>
      </c>
      <c r="B815" s="21" t="s">
        <v>4915</v>
      </c>
      <c r="C815" s="1">
        <v>2</v>
      </c>
      <c r="D815" s="1" t="s">
        <v>4920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5029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ref="R815" si="273">IFERROR(H815*((AA815*0.25)+(AC815*0.25)+(AD815*0.225)+(AE815*0.225)+(AF815*0.05)),"")</f>
        <v>0</v>
      </c>
      <c r="S815" s="18">
        <f t="shared" ref="S815" si="274">IFERROR(H815*AG815,"")</f>
        <v>0</v>
      </c>
      <c r="T815" s="19">
        <f t="shared" ref="T815" si="275">IFERROR(S815-H815,"")</f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ref="Y815" si="276">U815-C815</f>
        <v>-2</v>
      </c>
      <c r="Z815" s="20">
        <f>Tabela1[[#This Row],[PESO TOTAL]]-Tabela1[[#This Row],[Peso Expedido]]</f>
        <v>6.8</v>
      </c>
      <c r="AA815" s="17"/>
      <c r="AB815" s="33"/>
      <c r="AC815" s="33"/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customHeight="1" x14ac:dyDescent="0.25">
      <c r="A816" s="1" t="s">
        <v>4914</v>
      </c>
      <c r="B816" s="21" t="s">
        <v>4915</v>
      </c>
      <c r="C816" s="1">
        <v>2</v>
      </c>
      <c r="D816" s="1" t="s">
        <v>4921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5029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ref="R816" si="277">IFERROR(H816*((AA816*0.25)+(AC816*0.25)+(AD816*0.225)+(AE816*0.225)+(AF816*0.05)),"")</f>
        <v>0</v>
      </c>
      <c r="S816" s="18">
        <f t="shared" ref="S816" si="278">IFERROR(H816*AG816,"")</f>
        <v>0</v>
      </c>
      <c r="T816" s="19">
        <f t="shared" ref="T816" si="279">IFERROR(S816-H816,"")</f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ref="Y816" si="280">U816-C816</f>
        <v>-2</v>
      </c>
      <c r="Z816" s="20">
        <f>Tabela1[[#This Row],[PESO TOTAL]]-Tabela1[[#This Row],[Peso Expedido]]</f>
        <v>12</v>
      </c>
      <c r="AA816" s="17"/>
      <c r="AB816" s="33"/>
      <c r="AC816" s="33"/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4914</v>
      </c>
      <c r="B817" s="21" t="s">
        <v>4915</v>
      </c>
      <c r="C817" s="1">
        <v>28</v>
      </c>
      <c r="D817" s="1" t="s">
        <v>4922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5029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ref="R817" si="281">IFERROR(H817*((AA817*0.25)+(AC817*0.25)+(AD817*0.225)+(AE817*0.225)+(AF817*0.05)),"")</f>
        <v>0</v>
      </c>
      <c r="S817" s="18">
        <f t="shared" ref="S817" si="282">IFERROR(H817*AG817,"")</f>
        <v>0</v>
      </c>
      <c r="T817" s="19">
        <f t="shared" ref="T817" si="283">IFERROR(S817-H817,"")</f>
        <v>-204.4</v>
      </c>
      <c r="U817" s="16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IFERROR(VLOOKUP(Tabela1[[#This Row],[COD.MDE]],'LISTA DE EMBARQUE'!B:M,12,0),"")</f>
        <v/>
      </c>
      <c r="X817" s="14">
        <f>IFERROR(Tabela1[[#This Row],[QIANTIDADE EXPEDIDA]]*Tabela1[[#This Row],[PESO UNI]],"")</f>
        <v>0</v>
      </c>
      <c r="Y817" s="14">
        <f t="shared" ref="Y817" si="284">U817-C817</f>
        <v>-28</v>
      </c>
      <c r="Z817" s="20">
        <f>Tabela1[[#This Row],[PESO TOTAL]]-Tabela1[[#This Row],[Peso Expedido]]</f>
        <v>204.4</v>
      </c>
      <c r="AA817" s="17"/>
      <c r="AB817" s="33"/>
      <c r="AC817" s="33"/>
      <c r="AD817" s="33"/>
      <c r="AE817" s="33"/>
      <c r="AF817" s="33"/>
      <c r="AG817" s="33"/>
      <c r="AH817" s="33"/>
      <c r="AI817" s="33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25">
      <c r="A818" s="1" t="s">
        <v>4923</v>
      </c>
      <c r="B818" s="21" t="s">
        <v>4924</v>
      </c>
      <c r="C818" s="1">
        <v>1</v>
      </c>
      <c r="D818" s="1" t="s">
        <v>4925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5014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ref="R818" si="285">IFERROR(H818*((AA818*0.25)+(AC818*0.25)+(AD818*0.225)+(AE818*0.225)+(AF818*0.05)),"")</f>
        <v>0</v>
      </c>
      <c r="S818" s="18">
        <f t="shared" ref="S818" si="286">IFERROR(H818*AG818,"")</f>
        <v>0</v>
      </c>
      <c r="T818" s="19">
        <f t="shared" ref="T818" si="287">IFERROR(S818-H818,"")</f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ref="Y818" si="288">U818-C818</f>
        <v>-1</v>
      </c>
      <c r="Z818" s="20">
        <f>Tabela1[[#This Row],[PESO TOTAL]]-Tabela1[[#This Row],[Peso Expedido]]</f>
        <v>715.7</v>
      </c>
      <c r="AA818" s="17"/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25">
      <c r="A819" s="1" t="s">
        <v>4923</v>
      </c>
      <c r="B819" s="21" t="s">
        <v>4924</v>
      </c>
      <c r="C819" s="1">
        <v>4</v>
      </c>
      <c r="D819" s="1" t="s">
        <v>4926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5014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ref="R819" si="289">IFERROR(H819*((AA819*0.25)+(AC819*0.25)+(AD819*0.225)+(AE819*0.225)+(AF819*0.05)),"")</f>
        <v>0</v>
      </c>
      <c r="S819" s="18">
        <f t="shared" ref="S819" si="290">IFERROR(H819*AG819,"")</f>
        <v>0</v>
      </c>
      <c r="T819" s="19">
        <f t="shared" ref="T819" si="291">IFERROR(S819-H819,"")</f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ref="Y819" si="292">U819-C819</f>
        <v>-4</v>
      </c>
      <c r="Z819" s="20">
        <f>Tabela1[[#This Row],[PESO TOTAL]]-Tabela1[[#This Row],[Peso Expedido]]</f>
        <v>42.8</v>
      </c>
      <c r="AA819" s="17"/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customHeight="1" x14ac:dyDescent="0.25">
      <c r="A820" s="1" t="s">
        <v>4927</v>
      </c>
      <c r="B820" s="21" t="s">
        <v>4928</v>
      </c>
      <c r="C820" s="1">
        <v>2</v>
      </c>
      <c r="D820" s="1" t="s">
        <v>4929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ref="R820" si="293">IFERROR(H820*((AA820*0.25)+(AC820*0.25)+(AD820*0.225)+(AE820*0.225)+(AF820*0.05)),"")</f>
        <v>0</v>
      </c>
      <c r="S820" s="18">
        <f t="shared" ref="S820" si="294">IFERROR(H820*AG820,"")</f>
        <v>0</v>
      </c>
      <c r="T820" s="19">
        <f t="shared" ref="T820" si="295">IFERROR(S820-H820,"")</f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ref="Y820" si="296">U820-C820</f>
        <v>-2</v>
      </c>
      <c r="Z820" s="20">
        <f>Tabela1[[#This Row],[PESO TOTAL]]-Tabela1[[#This Row],[Peso Expedido]]</f>
        <v>47.6</v>
      </c>
      <c r="AA820" s="17"/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customHeight="1" x14ac:dyDescent="0.25">
      <c r="A821" s="1" t="s">
        <v>4930</v>
      </c>
      <c r="B821" s="21" t="s">
        <v>4931</v>
      </c>
      <c r="C821" s="1">
        <v>1</v>
      </c>
      <c r="D821" s="1" t="s">
        <v>4938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ref="R821" si="297">IFERROR(H821*((AA821*0.25)+(AC821*0.25)+(AD821*0.225)+(AE821*0.225)+(AF821*0.05)),"")</f>
        <v>0</v>
      </c>
      <c r="S821" s="18">
        <f t="shared" ref="S821" si="298">IFERROR(H821*AG821,"")</f>
        <v>0</v>
      </c>
      <c r="T821" s="19">
        <f t="shared" ref="T821" si="299">IFERROR(S821-H821,"")</f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ref="Y821" si="300">U821-C821</f>
        <v>-1</v>
      </c>
      <c r="Z821" s="20">
        <f>Tabela1[[#This Row],[PESO TOTAL]]-Tabela1[[#This Row],[Peso Expedido]]</f>
        <v>1146.0999999999999</v>
      </c>
      <c r="AA821" s="17"/>
      <c r="AB821" s="33"/>
      <c r="AC821" s="33"/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25">
      <c r="A822" s="1" t="s">
        <v>4932</v>
      </c>
      <c r="B822" s="21" t="s">
        <v>4933</v>
      </c>
      <c r="C822" s="1">
        <v>1</v>
      </c>
      <c r="D822" s="1" t="s">
        <v>4937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ref="R822" si="301">IFERROR(H822*((AA822*0.25)+(AC822*0.25)+(AD822*0.225)+(AE822*0.225)+(AF822*0.05)),"")</f>
        <v>0</v>
      </c>
      <c r="S822" s="18">
        <f t="shared" ref="S822" si="302">IFERROR(H822*AG822,"")</f>
        <v>0</v>
      </c>
      <c r="T822" s="19">
        <f t="shared" ref="T822" si="303">IFERROR(S822-H822,"")</f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ref="Y822" si="304">U822-C822</f>
        <v>-1</v>
      </c>
      <c r="Z822" s="20">
        <f>Tabela1[[#This Row],[PESO TOTAL]]-Tabela1[[#This Row],[Peso Expedido]]</f>
        <v>769.4</v>
      </c>
      <c r="AA822" s="17"/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customHeight="1" x14ac:dyDescent="0.25">
      <c r="A823" s="1" t="s">
        <v>4934</v>
      </c>
      <c r="B823" s="21" t="s">
        <v>4935</v>
      </c>
      <c r="C823" s="1">
        <v>1</v>
      </c>
      <c r="D823" s="1" t="s">
        <v>4936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ref="R823" si="305">IFERROR(H823*((AA823*0.25)+(AC823*0.25)+(AD823*0.225)+(AE823*0.225)+(AF823*0.05)),"")</f>
        <v>0</v>
      </c>
      <c r="S823" s="18">
        <f t="shared" ref="S823" si="306">IFERROR(H823*AG823,"")</f>
        <v>0</v>
      </c>
      <c r="T823" s="19">
        <f t="shared" ref="T823" si="307">IFERROR(S823-H823,"")</f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ref="Y823" si="308">U823-C823</f>
        <v>-1</v>
      </c>
      <c r="Z823" s="20">
        <f>Tabela1[[#This Row],[PESO TOTAL]]-Tabela1[[#This Row],[Peso Expedido]]</f>
        <v>764.5</v>
      </c>
      <c r="AA823" s="17"/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customHeight="1" x14ac:dyDescent="0.25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5017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ref="R824" si="309">IFERROR(H824*((AA824*0.25)+(AC824*0.25)+(AD824*0.225)+(AE824*0.225)+(AF824*0.05)),"")</f>
        <v>0</v>
      </c>
      <c r="S824" s="18">
        <f t="shared" ref="S824" si="310">IFERROR(H824*AG824,"")</f>
        <v>0</v>
      </c>
      <c r="T824" s="19">
        <f t="shared" ref="T824" si="311">IFERROR(S824-H824,"")</f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ref="Y824" si="312">U824-C824</f>
        <v>-1</v>
      </c>
      <c r="Z824" s="20">
        <f>Tabela1[[#This Row],[PESO TOTAL]]-Tabela1[[#This Row],[Peso Expedido]]</f>
        <v>748.5</v>
      </c>
      <c r="AA824" s="17"/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customHeight="1" x14ac:dyDescent="0.25">
      <c r="A825" s="1" t="s">
        <v>4939</v>
      </c>
      <c r="B825" s="21" t="s">
        <v>4940</v>
      </c>
      <c r="C825" s="1">
        <v>1</v>
      </c>
      <c r="D825" s="1" t="s">
        <v>5016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5017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ref="R825" si="313">IFERROR(H825*((AA825*0.25)+(AC825*0.25)+(AD825*0.225)+(AE825*0.225)+(AF825*0.05)),"")</f>
        <v>0</v>
      </c>
      <c r="S825" s="18">
        <f t="shared" ref="S825" si="314">IFERROR(H825*AG825,"")</f>
        <v>0</v>
      </c>
      <c r="T825" s="19">
        <f t="shared" ref="T825" si="315">IFERROR(S825-H825,"")</f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ref="Y825" si="316">U825-C825</f>
        <v>-1</v>
      </c>
      <c r="Z825" s="20">
        <f>Tabela1[[#This Row],[PESO TOTAL]]-Tabela1[[#This Row],[Peso Expedido]]</f>
        <v>287.7</v>
      </c>
      <c r="AA825" s="17"/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customHeight="1" x14ac:dyDescent="0.25">
      <c r="A826" s="1" t="s">
        <v>4939</v>
      </c>
      <c r="B826" s="21" t="s">
        <v>4940</v>
      </c>
      <c r="C826" s="1">
        <v>1</v>
      </c>
      <c r="D826" s="1" t="s">
        <v>4941</v>
      </c>
      <c r="E826" s="7">
        <v>4513</v>
      </c>
      <c r="F826" s="7">
        <v>43</v>
      </c>
      <c r="G826" s="1">
        <v>374.9</v>
      </c>
      <c r="H826" s="34">
        <f>Tabela1[[#This Row],[PESO UNI]]*Tabela1[[#This Row],[QTE]]</f>
        <v>374.9</v>
      </c>
      <c r="I826" s="7" t="s">
        <v>5017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ref="R826" si="317">IFERROR(H826*((AA826*0.25)+(AC826*0.25)+(AD826*0.225)+(AE826*0.225)+(AF826*0.05)),"")</f>
        <v>0</v>
      </c>
      <c r="S826" s="18">
        <f t="shared" ref="S826" si="318">IFERROR(H826*AG826,"")</f>
        <v>0</v>
      </c>
      <c r="T826" s="19">
        <f t="shared" ref="T826" si="319">IFERROR(S826-H826,"")</f>
        <v>-374.9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ref="Y826" si="320">U826-C826</f>
        <v>-1</v>
      </c>
      <c r="Z826" s="20">
        <f>Tabela1[[#This Row],[PESO TOTAL]]-Tabela1[[#This Row],[Peso Expedido]]</f>
        <v>374.9</v>
      </c>
      <c r="AA826" s="17"/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customHeight="1" x14ac:dyDescent="0.25">
      <c r="A827" s="1" t="s">
        <v>4942</v>
      </c>
      <c r="B827" s="21" t="s">
        <v>4943</v>
      </c>
      <c r="C827" s="1">
        <v>1</v>
      </c>
      <c r="D827" s="1" t="s">
        <v>4944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5013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ref="R827" si="321">IFERROR(H827*((AA827*0.25)+(AC827*0.25)+(AD827*0.225)+(AE827*0.225)+(AF827*0.05)),"")</f>
        <v>0</v>
      </c>
      <c r="S827" s="18">
        <f t="shared" ref="S827" si="322">IFERROR(H827*AG827,"")</f>
        <v>0</v>
      </c>
      <c r="T827" s="19">
        <f t="shared" ref="T827" si="323">IFERROR(S827-H827,"")</f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ref="Y827" si="324">U827-C827</f>
        <v>-1</v>
      </c>
      <c r="Z827" s="20">
        <f>Tabela1[[#This Row],[PESO TOTAL]]-Tabela1[[#This Row],[Peso Expedido]]</f>
        <v>485.6</v>
      </c>
      <c r="AA827" s="17"/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customHeight="1" x14ac:dyDescent="0.25">
      <c r="A828" s="1" t="s">
        <v>4942</v>
      </c>
      <c r="B828" s="21" t="s">
        <v>4943</v>
      </c>
      <c r="C828" s="1">
        <v>2</v>
      </c>
      <c r="D828" s="1" t="s">
        <v>4945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5013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ref="R828" si="325">IFERROR(H828*((AA828*0.25)+(AC828*0.25)+(AD828*0.225)+(AE828*0.225)+(AF828*0.05)),"")</f>
        <v>0</v>
      </c>
      <c r="S828" s="18">
        <f t="shared" ref="S828" si="326">IFERROR(H828*AG828,"")</f>
        <v>0</v>
      </c>
      <c r="T828" s="19">
        <f t="shared" ref="T828" si="327">IFERROR(S828-H828,"")</f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ref="Y828" si="328">U828-C828</f>
        <v>-2</v>
      </c>
      <c r="Z828" s="20">
        <f>Tabela1[[#This Row],[PESO TOTAL]]-Tabela1[[#This Row],[Peso Expedido]]</f>
        <v>181.2</v>
      </c>
      <c r="AA828" s="17"/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customHeight="1" x14ac:dyDescent="0.25">
      <c r="A829" s="1" t="s">
        <v>4942</v>
      </c>
      <c r="B829" s="21" t="s">
        <v>4943</v>
      </c>
      <c r="C829" s="1">
        <v>2</v>
      </c>
      <c r="D829" s="1" t="s">
        <v>4946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5013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ref="R829" si="329">IFERROR(H829*((AA829*0.25)+(AC829*0.25)+(AD829*0.225)+(AE829*0.225)+(AF829*0.05)),"")</f>
        <v>0</v>
      </c>
      <c r="S829" s="18">
        <f t="shared" ref="S829" si="330">IFERROR(H829*AG829,"")</f>
        <v>0</v>
      </c>
      <c r="T829" s="19">
        <f t="shared" ref="T829" si="331">IFERROR(S829-H829,"")</f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ref="Y829" si="332">U829-C829</f>
        <v>-2</v>
      </c>
      <c r="Z829" s="20">
        <f>Tabela1[[#This Row],[PESO TOTAL]]-Tabela1[[#This Row],[Peso Expedido]]</f>
        <v>227.6</v>
      </c>
      <c r="AA829" s="17"/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customHeight="1" x14ac:dyDescent="0.25">
      <c r="A830" s="1" t="s">
        <v>4947</v>
      </c>
      <c r="B830" s="21" t="s">
        <v>4948</v>
      </c>
      <c r="C830" s="1">
        <v>2</v>
      </c>
      <c r="D830" s="1" t="s">
        <v>4949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5013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ref="R830" si="333">IFERROR(H830*((AA830*0.25)+(AC830*0.25)+(AD830*0.225)+(AE830*0.225)+(AF830*0.05)),"")</f>
        <v>0</v>
      </c>
      <c r="S830" s="18">
        <f t="shared" ref="S830" si="334">IFERROR(H830*AG830,"")</f>
        <v>0</v>
      </c>
      <c r="T830" s="19">
        <f t="shared" ref="T830" si="335">IFERROR(S830-H830,"")</f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ref="Y830" si="336">U830-C830</f>
        <v>-2</v>
      </c>
      <c r="Z830" s="20">
        <f>Tabela1[[#This Row],[PESO TOTAL]]-Tabela1[[#This Row],[Peso Expedido]]</f>
        <v>38.799999999999997</v>
      </c>
      <c r="AA830" s="17"/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customHeight="1" x14ac:dyDescent="0.25">
      <c r="A831" s="1" t="s">
        <v>4947</v>
      </c>
      <c r="B831" s="21" t="s">
        <v>4948</v>
      </c>
      <c r="C831" s="1">
        <v>2</v>
      </c>
      <c r="D831" s="1" t="s">
        <v>4950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5013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ref="R831" si="337">IFERROR(H831*((AA831*0.25)+(AC831*0.25)+(AD831*0.225)+(AE831*0.225)+(AF831*0.05)),"")</f>
        <v>0</v>
      </c>
      <c r="S831" s="18">
        <f t="shared" ref="S831" si="338">IFERROR(H831*AG831,"")</f>
        <v>0</v>
      </c>
      <c r="T831" s="19">
        <f t="shared" ref="T831" si="339">IFERROR(S831-H831,"")</f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ref="Y831" si="340">U831-C831</f>
        <v>-2</v>
      </c>
      <c r="Z831" s="20">
        <f>Tabela1[[#This Row],[PESO TOTAL]]-Tabela1[[#This Row],[Peso Expedido]]</f>
        <v>52.4</v>
      </c>
      <c r="AA831" s="17"/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customHeight="1" x14ac:dyDescent="0.25">
      <c r="A832" s="1" t="s">
        <v>4947</v>
      </c>
      <c r="B832" s="21" t="s">
        <v>4948</v>
      </c>
      <c r="C832" s="1">
        <v>2</v>
      </c>
      <c r="D832" s="1" t="s">
        <v>4951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5013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ref="R832" si="341">IFERROR(H832*((AA832*0.25)+(AC832*0.25)+(AD832*0.225)+(AE832*0.225)+(AF832*0.05)),"")</f>
        <v>0</v>
      </c>
      <c r="S832" s="18">
        <f t="shared" ref="S832" si="342">IFERROR(H832*AG832,"")</f>
        <v>0</v>
      </c>
      <c r="T832" s="19">
        <f t="shared" ref="T832" si="343">IFERROR(S832-H832,"")</f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ref="Y832" si="344">U832-C832</f>
        <v>-2</v>
      </c>
      <c r="Z832" s="20">
        <f>Tabela1[[#This Row],[PESO TOTAL]]-Tabela1[[#This Row],[Peso Expedido]]</f>
        <v>4.4000000000000004</v>
      </c>
      <c r="AA832" s="17"/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customHeight="1" x14ac:dyDescent="0.25">
      <c r="A833" s="1" t="s">
        <v>4947</v>
      </c>
      <c r="B833" s="21" t="s">
        <v>4948</v>
      </c>
      <c r="C833" s="1">
        <v>2</v>
      </c>
      <c r="D833" s="1" t="s">
        <v>4952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5013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ref="R833" si="345">IFERROR(H833*((AA833*0.25)+(AC833*0.25)+(AD833*0.225)+(AE833*0.225)+(AF833*0.05)),"")</f>
        <v>0</v>
      </c>
      <c r="S833" s="18">
        <f t="shared" ref="S833" si="346">IFERROR(H833*AG833,"")</f>
        <v>0</v>
      </c>
      <c r="T833" s="19">
        <f t="shared" ref="T833" si="347">IFERROR(S833-H833,"")</f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ref="Y833" si="348">U833-C833</f>
        <v>-2</v>
      </c>
      <c r="Z833" s="20">
        <f>Tabela1[[#This Row],[PESO TOTAL]]-Tabela1[[#This Row],[Peso Expedido]]</f>
        <v>13.8</v>
      </c>
      <c r="AA833" s="17"/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4954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4955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349">IFERROR(H834*((AA834*0.25)+(AC834*0.25)+(AD834*0.225)+(AE834*0.225)+(AF834*0.05)),"")</f>
        <v>4.2180000000000009</v>
      </c>
      <c r="S834" s="18">
        <f t="shared" ref="S834" si="350">IFERROR(H834*AG834,"")</f>
        <v>0</v>
      </c>
      <c r="T834" s="19">
        <f t="shared" ref="T834" si="351">IFERROR(S834-H834,"")</f>
        <v>-14.8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ref="Y834" si="352">U834-C834</f>
        <v>-2</v>
      </c>
      <c r="Z834" s="20">
        <f>Tabela1[[#This Row],[PESO TOTAL]]-Tabela1[[#This Row],[Peso Expedido]]</f>
        <v>14.8</v>
      </c>
      <c r="AA834" s="17">
        <v>0.3</v>
      </c>
      <c r="AB834" s="17">
        <v>0.3</v>
      </c>
      <c r="AC834" s="17">
        <v>0.3</v>
      </c>
      <c r="AD834" s="17">
        <v>0.3</v>
      </c>
      <c r="AE834" s="17">
        <v>0.3</v>
      </c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4956</v>
      </c>
      <c r="B835" s="21"/>
      <c r="C835" s="1">
        <v>1</v>
      </c>
      <c r="D835" s="1" t="s">
        <v>4957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" si="353">IFERROR(H835*((AA835*0.25)+(AC835*0.25)+(AD835*0.225)+(AE835*0.225)+(AF835*0.05)),"")</f>
        <v>0</v>
      </c>
      <c r="S835" s="18">
        <f t="shared" ref="S835" si="354">IFERROR(H835*AG835,"")</f>
        <v>0</v>
      </c>
      <c r="T835" s="19">
        <f t="shared" ref="T835" si="355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" si="356">U835-C835</f>
        <v>-1</v>
      </c>
      <c r="Z835" s="20">
        <f>Tabela1[[#This Row],[PESO TOTAL]]-Tabela1[[#This Row],[Peso Expedido]]</f>
        <v>3649.4</v>
      </c>
      <c r="AA835" s="17"/>
      <c r="AB835" s="33"/>
      <c r="AC835" s="33"/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4959</v>
      </c>
      <c r="B836" s="21"/>
      <c r="C836" s="1">
        <v>1</v>
      </c>
      <c r="D836" s="1" t="s">
        <v>4958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>IFERROR(H836*((AA836*0.25)+(AC836*0.25)+(AD836*0.225)+(AE836*0.225)+(AF836*0.05)),"")</f>
        <v>0</v>
      </c>
      <c r="S836" s="18">
        <f>IFERROR(H836*AG836,"")</f>
        <v>0</v>
      </c>
      <c r="T836" s="19">
        <f>IFERROR(S836-H836,"")</f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>U836-C836</f>
        <v>-1</v>
      </c>
      <c r="Z836" s="20">
        <f>Tabela1[[#This Row],[PESO TOTAL]]-Tabela1[[#This Row],[Peso Expedido]]</f>
        <v>2670.7</v>
      </c>
      <c r="AA836" s="17"/>
      <c r="AB836" s="33"/>
      <c r="AC836" s="33"/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customHeight="1" x14ac:dyDescent="0.25">
      <c r="A837" s="1" t="s">
        <v>4960</v>
      </c>
      <c r="B837" s="21" t="s">
        <v>4961</v>
      </c>
      <c r="C837" s="1">
        <v>1</v>
      </c>
      <c r="D837" s="1" t="s">
        <v>4962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5013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>IFERROR(H837*((AA837*0.25)+(AC837*0.25)+(AD837*0.225)+(AE837*0.225)+(AF837*0.05)),"")</f>
        <v>0</v>
      </c>
      <c r="S837" s="18">
        <f>IFERROR(H837*AG837,"")</f>
        <v>0</v>
      </c>
      <c r="T837" s="19">
        <f>IFERROR(S837-H837,"")</f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>U837-C837</f>
        <v>-1</v>
      </c>
      <c r="Z837" s="20">
        <f>Tabela1[[#This Row],[PESO TOTAL]]-Tabela1[[#This Row],[Peso Expedido]]</f>
        <v>2649.8</v>
      </c>
      <c r="AA837" s="17"/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customHeight="1" x14ac:dyDescent="0.25">
      <c r="A838" s="1" t="s">
        <v>4963</v>
      </c>
      <c r="B838" s="21" t="s">
        <v>4964</v>
      </c>
      <c r="C838" s="1">
        <v>1</v>
      </c>
      <c r="D838" s="1" t="s">
        <v>4967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>
        <v>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>IFERROR(H838*((AA838*0.25)+(AC838*0.25)+(AD838*0.225)+(AE838*0.225)+(AF838*0.05)),"")</f>
        <v>0</v>
      </c>
      <c r="S838" s="18">
        <f>IFERROR(H838*AG838,"")</f>
        <v>0</v>
      </c>
      <c r="T838" s="19">
        <f>IFERROR(S838-H838,"")</f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>U838-C838</f>
        <v>-1</v>
      </c>
      <c r="Z838" s="20">
        <f>Tabela1[[#This Row],[PESO TOTAL]]-Tabela1[[#This Row],[Peso Expedido]]</f>
        <v>435.1</v>
      </c>
      <c r="AA838" s="17"/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customHeight="1" x14ac:dyDescent="0.25">
      <c r="A839" s="1" t="s">
        <v>4966</v>
      </c>
      <c r="B839" s="21" t="s">
        <v>4965</v>
      </c>
      <c r="C839" s="1">
        <v>1</v>
      </c>
      <c r="D839" s="1" t="s">
        <v>4968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>
        <v>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>IFERROR(H839*((AA839*0.25)+(AC839*0.25)+(AD839*0.225)+(AE839*0.225)+(AF839*0.05)),"")</f>
        <v>0</v>
      </c>
      <c r="S839" s="18">
        <f>IFERROR(H839*AG839,"")</f>
        <v>0</v>
      </c>
      <c r="T839" s="19">
        <f>IFERROR(S839-H839,"")</f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>U839-C839</f>
        <v>-1</v>
      </c>
      <c r="Z839" s="20">
        <f>Tabela1[[#This Row],[PESO TOTAL]]-Tabela1[[#This Row],[Peso Expedido]]</f>
        <v>670.6</v>
      </c>
      <c r="AA839" s="17"/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customHeight="1" x14ac:dyDescent="0.25">
      <c r="A840" s="1" t="s">
        <v>4978</v>
      </c>
      <c r="B840" s="21" t="s">
        <v>4979</v>
      </c>
      <c r="C840" s="1">
        <v>4</v>
      </c>
      <c r="D840" s="1" t="s">
        <v>4980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>
        <v>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ref="R840" si="357">IFERROR(H840*((AA840*0.25)+(AC840*0.25)+(AD840*0.225)+(AE840*0.225)+(AF840*0.05)),"")</f>
        <v>0</v>
      </c>
      <c r="S840" s="18">
        <f t="shared" ref="S840" si="358">IFERROR(H840*AG840,"")</f>
        <v>0</v>
      </c>
      <c r="T840" s="19">
        <f t="shared" ref="T840" si="359">IFERROR(S840-H840,"")</f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ref="Y840" si="360">U840-C840</f>
        <v>-4</v>
      </c>
      <c r="Z840" s="20">
        <f>Tabela1[[#This Row],[PESO TOTAL]]-Tabela1[[#This Row],[Peso Expedido]]</f>
        <v>35.6</v>
      </c>
      <c r="AA840" s="17"/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customHeight="1" x14ac:dyDescent="0.25">
      <c r="A841" s="1" t="s">
        <v>4978</v>
      </c>
      <c r="B841" s="21" t="s">
        <v>4979</v>
      </c>
      <c r="C841" s="1">
        <v>1</v>
      </c>
      <c r="D841" s="1" t="s">
        <v>4981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>
        <v>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 t="shared" ref="R841:R851" si="361">IFERROR(H841*((AA841*0.25)+(AC841*0.25)+(AD841*0.225)+(AE841*0.225)+(AF841*0.05)),"")</f>
        <v>0</v>
      </c>
      <c r="S841" s="18">
        <f t="shared" ref="S841:S851" si="362">IFERROR(H841*AG841,"")</f>
        <v>0</v>
      </c>
      <c r="T841" s="19">
        <f t="shared" ref="T841:T851" si="363">IFERROR(S841-H841,"")</f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ref="Y841:Y851" si="364">U841-C841</f>
        <v>-1</v>
      </c>
      <c r="Z841" s="20">
        <f>Tabela1[[#This Row],[PESO TOTAL]]-Tabela1[[#This Row],[Peso Expedido]]</f>
        <v>325</v>
      </c>
      <c r="AA841" s="17"/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4983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si="361"/>
        <v>3.78</v>
      </c>
      <c r="S842" s="18">
        <f t="shared" si="362"/>
        <v>3.78</v>
      </c>
      <c r="T842" s="19">
        <f t="shared" si="363"/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364"/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4984</v>
      </c>
      <c r="B843" s="21"/>
      <c r="C843" s="1">
        <v>32</v>
      </c>
      <c r="D843" s="1" t="s">
        <v>4985</v>
      </c>
      <c r="E843" s="7">
        <v>4496</v>
      </c>
      <c r="F843" s="7">
        <v>12</v>
      </c>
      <c r="G843" s="1">
        <v>58.3</v>
      </c>
      <c r="H843" s="34">
        <f>Tabela1[[#This Row],[PESO UNI]]*Tabela1[[#This Row],[QTE]]</f>
        <v>1865.6</v>
      </c>
      <c r="I843" s="7">
        <v>0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 t="shared" si="361"/>
        <v>652.95999999999992</v>
      </c>
      <c r="S843" s="18">
        <f t="shared" si="362"/>
        <v>652.95999999999992</v>
      </c>
      <c r="T843" s="19">
        <f t="shared" si="363"/>
        <v>-1212.6399999999999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si="364"/>
        <v>-32</v>
      </c>
      <c r="Z843" s="20">
        <f>Tabela1[[#This Row],[PESO TOTAL]]-Tabela1[[#This Row],[Peso Expedido]]</f>
        <v>1865.6</v>
      </c>
      <c r="AA843" s="17">
        <v>0.35</v>
      </c>
      <c r="AB843" s="33"/>
      <c r="AC843" s="33">
        <v>0.35</v>
      </c>
      <c r="AD843" s="33">
        <v>0.35</v>
      </c>
      <c r="AE843" s="33">
        <v>0.35</v>
      </c>
      <c r="AF843" s="33">
        <v>0.35</v>
      </c>
      <c r="AG843" s="33">
        <v>0.35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4986</v>
      </c>
      <c r="B844" s="21"/>
      <c r="C844" s="1">
        <v>11</v>
      </c>
      <c r="D844" s="1" t="s">
        <v>4987</v>
      </c>
      <c r="E844" s="7">
        <v>4497</v>
      </c>
      <c r="F844" s="7">
        <v>12</v>
      </c>
      <c r="G844" s="1">
        <v>58.3</v>
      </c>
      <c r="H844" s="34">
        <f>Tabela1[[#This Row],[PESO UNI]]*Tabela1[[#This Row],[QTE]]</f>
        <v>641.29999999999995</v>
      </c>
      <c r="I844" s="7">
        <v>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-11</v>
      </c>
      <c r="R844" s="18">
        <f t="shared" si="361"/>
        <v>224.45499999999996</v>
      </c>
      <c r="S844" s="18">
        <f t="shared" si="362"/>
        <v>224.45499999999996</v>
      </c>
      <c r="T844" s="19">
        <f t="shared" si="363"/>
        <v>-416.84500000000003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 t="shared" si="364"/>
        <v>-11</v>
      </c>
      <c r="Z844" s="20">
        <f>Tabela1[[#This Row],[PESO TOTAL]]-Tabela1[[#This Row],[Peso Expedido]]</f>
        <v>641.29999999999995</v>
      </c>
      <c r="AA844" s="17">
        <v>0.35</v>
      </c>
      <c r="AB844" s="33"/>
      <c r="AC844" s="33">
        <v>0.35</v>
      </c>
      <c r="AD844" s="33">
        <v>0.35</v>
      </c>
      <c r="AE844" s="33">
        <v>0.35</v>
      </c>
      <c r="AF844" s="33">
        <v>0.35</v>
      </c>
      <c r="AG844" s="33">
        <v>0.35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4988</v>
      </c>
      <c r="B845" s="21"/>
      <c r="C845" s="1">
        <v>4</v>
      </c>
      <c r="D845" s="1" t="s">
        <v>4989</v>
      </c>
      <c r="E845" s="7">
        <v>4498</v>
      </c>
      <c r="F845" s="7">
        <v>12</v>
      </c>
      <c r="G845" s="1">
        <v>32.299999999999997</v>
      </c>
      <c r="H845" s="34">
        <f>Tabela1[[#This Row],[PESO UNI]]*Tabela1[[#This Row],[QTE]]</f>
        <v>129.19999999999999</v>
      </c>
      <c r="I845" s="7">
        <v>0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-4</v>
      </c>
      <c r="R845" s="18">
        <f t="shared" si="361"/>
        <v>45.219999999999992</v>
      </c>
      <c r="S845" s="18">
        <f t="shared" si="362"/>
        <v>45.219999999999992</v>
      </c>
      <c r="T845" s="19">
        <f t="shared" si="363"/>
        <v>-83.97999999999999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 t="shared" si="364"/>
        <v>-4</v>
      </c>
      <c r="Z845" s="20">
        <f>Tabela1[[#This Row],[PESO TOTAL]]-Tabela1[[#This Row],[Peso Expedido]]</f>
        <v>129.19999999999999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4988</v>
      </c>
      <c r="B846" s="21"/>
      <c r="C846" s="1">
        <v>4</v>
      </c>
      <c r="D846" s="1" t="s">
        <v>4990</v>
      </c>
      <c r="E846" s="7">
        <v>4499</v>
      </c>
      <c r="F846" s="7">
        <v>12</v>
      </c>
      <c r="G846" s="1">
        <v>28.3</v>
      </c>
      <c r="H846" s="34">
        <f>Tabela1[[#This Row],[PESO UNI]]*Tabela1[[#This Row],[QTE]]</f>
        <v>113.2</v>
      </c>
      <c r="I846" s="7">
        <v>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-4</v>
      </c>
      <c r="R846" s="18">
        <f t="shared" si="361"/>
        <v>39.619999999999997</v>
      </c>
      <c r="S846" s="18">
        <f t="shared" si="362"/>
        <v>39.619999999999997</v>
      </c>
      <c r="T846" s="19">
        <f t="shared" si="363"/>
        <v>-73.580000000000013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 t="shared" si="364"/>
        <v>-4</v>
      </c>
      <c r="Z846" s="20">
        <f>Tabela1[[#This Row],[PESO TOTAL]]-Tabela1[[#This Row],[Peso Expedido]]</f>
        <v>113.2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4988</v>
      </c>
      <c r="B847" s="21"/>
      <c r="C847" s="1">
        <v>4</v>
      </c>
      <c r="D847" s="1" t="s">
        <v>4991</v>
      </c>
      <c r="E847" s="7">
        <v>4500</v>
      </c>
      <c r="F847" s="7">
        <v>12</v>
      </c>
      <c r="G847" s="1">
        <v>28.3</v>
      </c>
      <c r="H847" s="34">
        <f>Tabela1[[#This Row],[PESO UNI]]*Tabela1[[#This Row],[QTE]]</f>
        <v>113.2</v>
      </c>
      <c r="I847" s="7">
        <v>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361"/>
        <v>39.619999999999997</v>
      </c>
      <c r="S847" s="18">
        <f t="shared" si="362"/>
        <v>39.619999999999997</v>
      </c>
      <c r="T847" s="19">
        <f t="shared" si="363"/>
        <v>-73.580000000000013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364"/>
        <v>-4</v>
      </c>
      <c r="Z847" s="20">
        <f>Tabela1[[#This Row],[PESO TOTAL]]-Tabela1[[#This Row],[Peso Expedido]]</f>
        <v>113.2</v>
      </c>
      <c r="AA847" s="17">
        <v>0.35</v>
      </c>
      <c r="AB847" s="33"/>
      <c r="AC847" s="33">
        <v>0.35</v>
      </c>
      <c r="AD847" s="33">
        <v>0.35</v>
      </c>
      <c r="AE847" s="33">
        <v>0.35</v>
      </c>
      <c r="AF847" s="33">
        <v>0.35</v>
      </c>
      <c r="AG847" s="33">
        <v>0.35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4988</v>
      </c>
      <c r="B848" s="21"/>
      <c r="C848" s="1">
        <v>8</v>
      </c>
      <c r="D848" s="1" t="s">
        <v>4992</v>
      </c>
      <c r="E848" s="7">
        <v>4501</v>
      </c>
      <c r="F848" s="7">
        <v>12</v>
      </c>
      <c r="G848" s="1">
        <v>28.3</v>
      </c>
      <c r="H848" s="34">
        <f>Tabela1[[#This Row],[PESO UNI]]*Tabela1[[#This Row],[QTE]]</f>
        <v>226.4</v>
      </c>
      <c r="I848" s="7">
        <v>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-8</v>
      </c>
      <c r="R848" s="18">
        <f t="shared" si="361"/>
        <v>79.239999999999995</v>
      </c>
      <c r="S848" s="18">
        <f t="shared" si="362"/>
        <v>79.239999999999995</v>
      </c>
      <c r="T848" s="19">
        <f t="shared" si="363"/>
        <v>-147.16000000000003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364"/>
        <v>-8</v>
      </c>
      <c r="Z848" s="20">
        <f>Tabela1[[#This Row],[PESO TOTAL]]-Tabela1[[#This Row],[Peso Expedido]]</f>
        <v>226.4</v>
      </c>
      <c r="AA848" s="17">
        <v>0.35</v>
      </c>
      <c r="AB848" s="33"/>
      <c r="AC848" s="33">
        <v>0.35</v>
      </c>
      <c r="AD848" s="33">
        <v>0.35</v>
      </c>
      <c r="AE848" s="33">
        <v>0.35</v>
      </c>
      <c r="AF848" s="33">
        <v>0.35</v>
      </c>
      <c r="AG848" s="33">
        <v>0.35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4993</v>
      </c>
      <c r="B849" s="21"/>
      <c r="C849" s="1">
        <v>4</v>
      </c>
      <c r="D849" s="1" t="s">
        <v>4994</v>
      </c>
      <c r="E849" s="7">
        <v>4502</v>
      </c>
      <c r="F849" s="7">
        <v>12</v>
      </c>
      <c r="G849" s="1">
        <v>18.399999999999999</v>
      </c>
      <c r="H849" s="34">
        <f>Tabela1[[#This Row],[PESO UNI]]*Tabela1[[#This Row],[QTE]]</f>
        <v>73.599999999999994</v>
      </c>
      <c r="I849" s="7">
        <v>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>IFERROR(H849*((AA849*0.25)+(AC849*0.25)+(AD849*0.225)+(AE849*0.225)+(AF849*0.05)),"")</f>
        <v>25.759999999999998</v>
      </c>
      <c r="S849" s="18">
        <f t="shared" si="362"/>
        <v>25.759999999999998</v>
      </c>
      <c r="T849" s="19">
        <f t="shared" si="363"/>
        <v>-47.839999999999996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364"/>
        <v>-4</v>
      </c>
      <c r="Z849" s="20">
        <f>Tabela1[[#This Row],[PESO TOTAL]]-Tabela1[[#This Row],[Peso Expedido]]</f>
        <v>73.599999999999994</v>
      </c>
      <c r="AA849" s="17">
        <v>0.35</v>
      </c>
      <c r="AB849" s="33"/>
      <c r="AC849" s="33">
        <v>0.35</v>
      </c>
      <c r="AD849" s="33">
        <v>0.35</v>
      </c>
      <c r="AE849" s="33">
        <v>0.35</v>
      </c>
      <c r="AF849" s="33">
        <v>0.35</v>
      </c>
      <c r="AG849" s="33">
        <v>0.35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4993</v>
      </c>
      <c r="B850" s="21"/>
      <c r="C850" s="1">
        <v>4</v>
      </c>
      <c r="D850" s="1" t="s">
        <v>4995</v>
      </c>
      <c r="E850" s="7">
        <v>4502</v>
      </c>
      <c r="F850" s="7">
        <v>12</v>
      </c>
      <c r="G850" s="1">
        <v>30.9</v>
      </c>
      <c r="H850" s="34">
        <f>Tabela1[[#This Row],[PESO UNI]]*Tabela1[[#This Row],[QTE]]</f>
        <v>123.6</v>
      </c>
      <c r="I850" s="7">
        <v>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>IFERROR(H850*((AA850*0.25)+(AC850*0.25)+(AD850*0.225)+(AE850*0.225)+(AF850*0.05)),"")</f>
        <v>43.26</v>
      </c>
      <c r="S850" s="18">
        <f t="shared" si="362"/>
        <v>43.26</v>
      </c>
      <c r="T850" s="19">
        <f t="shared" si="363"/>
        <v>-80.34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364"/>
        <v>-4</v>
      </c>
      <c r="Z850" s="20">
        <f>Tabela1[[#This Row],[PESO TOTAL]]-Tabela1[[#This Row],[Peso Expedido]]</f>
        <v>123.6</v>
      </c>
      <c r="AA850" s="17">
        <v>0.35</v>
      </c>
      <c r="AB850" s="33"/>
      <c r="AC850" s="33">
        <v>0.35</v>
      </c>
      <c r="AD850" s="33">
        <v>0.35</v>
      </c>
      <c r="AE850" s="33">
        <v>0.35</v>
      </c>
      <c r="AF850" s="33">
        <v>0.35</v>
      </c>
      <c r="AG850" s="33">
        <v>0.35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4996</v>
      </c>
      <c r="B851" s="21"/>
      <c r="C851" s="1">
        <v>1</v>
      </c>
      <c r="D851" s="1" t="s">
        <v>4997</v>
      </c>
      <c r="E851" s="7">
        <v>4503</v>
      </c>
      <c r="F851" s="7">
        <v>12</v>
      </c>
      <c r="G851" s="1">
        <v>27</v>
      </c>
      <c r="H851" s="34">
        <f>Tabela1[[#This Row],[PESO UNI]]*Tabela1[[#This Row],[QTE]]</f>
        <v>27</v>
      </c>
      <c r="I851" s="7">
        <v>0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-1</v>
      </c>
      <c r="R851" s="18">
        <f t="shared" si="361"/>
        <v>9.4499999999999993</v>
      </c>
      <c r="S851" s="18">
        <f t="shared" si="362"/>
        <v>9.4499999999999993</v>
      </c>
      <c r="T851" s="19">
        <f t="shared" si="363"/>
        <v>-17.55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364"/>
        <v>-1</v>
      </c>
      <c r="Z851" s="20">
        <f>Tabela1[[#This Row],[PESO TOTAL]]-Tabela1[[#This Row],[Peso Expedido]]</f>
        <v>27</v>
      </c>
      <c r="AA851" s="17">
        <v>0.35</v>
      </c>
      <c r="AB851" s="33"/>
      <c r="AC851" s="33">
        <v>0.35</v>
      </c>
      <c r="AD851" s="33">
        <v>0.35</v>
      </c>
      <c r="AE851" s="33">
        <v>0.35</v>
      </c>
      <c r="AF851" s="33">
        <v>0.35</v>
      </c>
      <c r="AG851" s="33">
        <v>0.35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4998</v>
      </c>
      <c r="B852" s="21"/>
      <c r="C852" s="1">
        <v>14</v>
      </c>
      <c r="D852" s="1" t="s">
        <v>4999</v>
      </c>
      <c r="E852" s="7">
        <v>4504</v>
      </c>
      <c r="F852" s="7">
        <v>12</v>
      </c>
      <c r="G852" s="1">
        <v>7</v>
      </c>
      <c r="H852" s="34">
        <f>Tabela1[[#This Row],[PESO UNI]]*Tabela1[[#This Row],[QTE]]</f>
        <v>98</v>
      </c>
      <c r="I852" s="7">
        <v>0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-14</v>
      </c>
      <c r="R852" s="18">
        <f>IFERROR(H852*((AA852*0.25)+(AC852*0.25)+(AD852*0.225)+(AE852*0.225)+(AF852*0.05)),"")</f>
        <v>34.299999999999997</v>
      </c>
      <c r="S852" s="18">
        <f>IFERROR(H852*AG852,"")</f>
        <v>34.299999999999997</v>
      </c>
      <c r="T852" s="19">
        <f>IFERROR(S852-H852,"")</f>
        <v>-63.7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>U852-C852</f>
        <v>-14</v>
      </c>
      <c r="Z852" s="20">
        <f>Tabela1[[#This Row],[PESO TOTAL]]-Tabela1[[#This Row],[Peso Expedido]]</f>
        <v>98</v>
      </c>
      <c r="AA852" s="17">
        <v>0.35</v>
      </c>
      <c r="AB852" s="33"/>
      <c r="AC852" s="33">
        <v>0.35</v>
      </c>
      <c r="AD852" s="33">
        <v>0.35</v>
      </c>
      <c r="AE852" s="33">
        <v>0.35</v>
      </c>
      <c r="AF852" s="33">
        <v>0.35</v>
      </c>
      <c r="AG852" s="33">
        <v>0.35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customHeight="1" x14ac:dyDescent="0.25">
      <c r="A853" s="1" t="s">
        <v>5000</v>
      </c>
      <c r="B853" s="21" t="s">
        <v>5001</v>
      </c>
      <c r="C853" s="1">
        <v>1</v>
      </c>
      <c r="D853" s="1" t="s">
        <v>5002</v>
      </c>
      <c r="E853" s="7">
        <v>4505</v>
      </c>
      <c r="F853" s="7">
        <v>49</v>
      </c>
      <c r="G853" s="1">
        <v>355.2</v>
      </c>
      <c r="H853" s="34">
        <f>Tabela1[[#This Row],[PESO UNI]]*Tabela1[[#This Row],[QTE]]</f>
        <v>355.2</v>
      </c>
      <c r="I853" s="7">
        <v>0</v>
      </c>
      <c r="J853" s="8" t="s">
        <v>3093</v>
      </c>
      <c r="K853" s="8" t="s">
        <v>4320</v>
      </c>
      <c r="L853" s="9" t="s">
        <v>2984</v>
      </c>
      <c r="M853" s="10">
        <v>46240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ref="R853:R854" si="365">IFERROR(H853*((AA853*0.25)+(AC853*0.25)+(AD853*0.225)+(AE853*0.225)+(AF853*0.05)),"")</f>
        <v>0</v>
      </c>
      <c r="S853" s="18">
        <f t="shared" ref="S853:S854" si="366">IFERROR(H853*AG853,"")</f>
        <v>0</v>
      </c>
      <c r="T853" s="19">
        <f t="shared" ref="T853:T854" si="367">IFERROR(S853-H853,"")</f>
        <v>-355.2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ref="Y853:Y854" si="368">U853-C853</f>
        <v>-1</v>
      </c>
      <c r="Z853" s="20">
        <f>Tabela1[[#This Row],[PESO TOTAL]]-Tabela1[[#This Row],[Peso Expedido]]</f>
        <v>355.2</v>
      </c>
      <c r="AA853" s="17"/>
      <c r="AB853" s="33"/>
      <c r="AC853" s="33"/>
      <c r="AD853" s="33"/>
      <c r="AE853" s="33"/>
      <c r="AF853" s="33"/>
      <c r="AG853" s="33"/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customHeight="1" x14ac:dyDescent="0.25">
      <c r="A854" s="1" t="s">
        <v>5000</v>
      </c>
      <c r="B854" s="21" t="s">
        <v>5001</v>
      </c>
      <c r="C854" s="1">
        <v>2</v>
      </c>
      <c r="D854" s="1" t="s">
        <v>5003</v>
      </c>
      <c r="E854" s="7">
        <v>4506</v>
      </c>
      <c r="F854" s="7">
        <v>49</v>
      </c>
      <c r="G854" s="1">
        <v>40.6</v>
      </c>
      <c r="H854" s="34">
        <f>Tabela1[[#This Row],[PESO UNI]]*Tabela1[[#This Row],[QTE]]</f>
        <v>81.2</v>
      </c>
      <c r="I854" s="7">
        <v>0</v>
      </c>
      <c r="J854" s="8" t="s">
        <v>3093</v>
      </c>
      <c r="K854" s="8" t="s">
        <v>4320</v>
      </c>
      <c r="L854" s="9" t="s">
        <v>2984</v>
      </c>
      <c r="M854" s="10">
        <v>46240</v>
      </c>
      <c r="N854" s="8" t="s">
        <v>38</v>
      </c>
      <c r="O854" s="12"/>
      <c r="P854" s="13"/>
      <c r="Q854" s="14">
        <f>Tabela1[[#This Row],[QTDE/ Fabricação]]-Tabela1[[#This Row],[QTE]]</f>
        <v>-2</v>
      </c>
      <c r="R854" s="18">
        <f t="shared" si="365"/>
        <v>0</v>
      </c>
      <c r="S854" s="18">
        <f t="shared" si="366"/>
        <v>0</v>
      </c>
      <c r="T854" s="19">
        <f t="shared" si="367"/>
        <v>-81.2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368"/>
        <v>-2</v>
      </c>
      <c r="Z854" s="20">
        <f>Tabela1[[#This Row],[PESO TOTAL]]-Tabela1[[#This Row],[Peso Expedido]]</f>
        <v>81.2</v>
      </c>
      <c r="AA854" s="17"/>
      <c r="AB854" s="33"/>
      <c r="AC854" s="33"/>
      <c r="AD854" s="33"/>
      <c r="AE854" s="33"/>
      <c r="AF854" s="33"/>
      <c r="AG854" s="33"/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customHeight="1" x14ac:dyDescent="0.25">
      <c r="A855" s="1" t="s">
        <v>5000</v>
      </c>
      <c r="B855" s="21" t="s">
        <v>5001</v>
      </c>
      <c r="C855" s="1">
        <v>2</v>
      </c>
      <c r="D855" s="1" t="s">
        <v>5004</v>
      </c>
      <c r="E855" s="7">
        <v>4507</v>
      </c>
      <c r="F855" s="7">
        <v>49</v>
      </c>
      <c r="G855" s="1">
        <v>106.4</v>
      </c>
      <c r="H855" s="34">
        <f>Tabela1[[#This Row],[PESO UNI]]*Tabela1[[#This Row],[QTE]]</f>
        <v>212.8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-2</v>
      </c>
      <c r="R855" s="18">
        <f>IFERROR(H855*((AA855*0.25)+(AC855*0.25)+(AD855*0.225)+(AE855*0.225)+(AF855*0.05)),"")</f>
        <v>0</v>
      </c>
      <c r="S855" s="18">
        <f>IFERROR(H855*AG855,"")</f>
        <v>0</v>
      </c>
      <c r="T855" s="19">
        <f>IFERROR(S855-H855,"")</f>
        <v>-212.8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>U855-C855</f>
        <v>-2</v>
      </c>
      <c r="Z855" s="20">
        <f>Tabela1[[#This Row],[PESO TOTAL]]-Tabela1[[#This Row],[Peso Expedido]]</f>
        <v>212.8</v>
      </c>
      <c r="AA855" s="17"/>
      <c r="AB855" s="33"/>
      <c r="AC855" s="33"/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customHeight="1" x14ac:dyDescent="0.25">
      <c r="A856" s="1" t="s">
        <v>5005</v>
      </c>
      <c r="B856" s="21" t="s">
        <v>5006</v>
      </c>
      <c r="C856" s="1">
        <v>1</v>
      </c>
      <c r="D856" s="1" t="s">
        <v>5007</v>
      </c>
      <c r="E856" s="7">
        <v>4508</v>
      </c>
      <c r="F856" s="7">
        <v>50</v>
      </c>
      <c r="G856" s="1">
        <v>435.1</v>
      </c>
      <c r="H856" s="34">
        <f>Tabela1[[#This Row],[PESO UNI]]*Tabela1[[#This Row],[QTE]]</f>
        <v>435.1</v>
      </c>
      <c r="I856" s="7">
        <v>0</v>
      </c>
      <c r="J856" s="8" t="s">
        <v>3045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>IFERROR(H856*((AA856*0.25)+(AC856*0.25)+(AD856*0.225)+(AE856*0.225)+(AF856*0.05)),"")</f>
        <v>0</v>
      </c>
      <c r="S856" s="18">
        <f>IFERROR(H856*AG856,"")</f>
        <v>0</v>
      </c>
      <c r="T856" s="19">
        <f>IFERROR(S856-H856,"")</f>
        <v>-435.1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>U856-C856</f>
        <v>-1</v>
      </c>
      <c r="Z856" s="20">
        <f>Tabela1[[#This Row],[PESO TOTAL]]-Tabela1[[#This Row],[Peso Expedido]]</f>
        <v>435.1</v>
      </c>
      <c r="AA856" s="17"/>
      <c r="AB856" s="33"/>
      <c r="AC856" s="33"/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customHeight="1" x14ac:dyDescent="0.25">
      <c r="A857" s="1" t="s">
        <v>5008</v>
      </c>
      <c r="B857" s="21" t="s">
        <v>5009</v>
      </c>
      <c r="C857" s="1">
        <v>2</v>
      </c>
      <c r="D857" s="1" t="s">
        <v>5010</v>
      </c>
      <c r="E857" s="7">
        <v>4509</v>
      </c>
      <c r="F857" s="7">
        <v>51</v>
      </c>
      <c r="G857" s="1">
        <v>43.6</v>
      </c>
      <c r="H857" s="34">
        <f>Tabela1[[#This Row],[PESO UNI]]*Tabela1[[#This Row],[QTE]]</f>
        <v>87.2</v>
      </c>
      <c r="I857" s="7" t="s">
        <v>5015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>IFERROR(H857*((AA857*0.25)+(AC857*0.25)+(AD857*0.225)+(AE857*0.225)+(AF857*0.05)),"")</f>
        <v>0</v>
      </c>
      <c r="S857" s="18">
        <f>IFERROR(H857*AG857,"")</f>
        <v>0</v>
      </c>
      <c r="T857" s="19">
        <f>IFERROR(S857-H857,"")</f>
        <v>-87.2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>U857-C857</f>
        <v>-2</v>
      </c>
      <c r="Z857" s="20">
        <f>Tabela1[[#This Row],[PESO TOTAL]]-Tabela1[[#This Row],[Peso Expedido]]</f>
        <v>87.2</v>
      </c>
      <c r="AA857" s="17"/>
      <c r="AB857" s="33"/>
      <c r="AC857" s="33"/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customHeight="1" x14ac:dyDescent="0.25">
      <c r="A858" s="1" t="s">
        <v>5008</v>
      </c>
      <c r="B858" s="21" t="s">
        <v>5009</v>
      </c>
      <c r="C858" s="1">
        <v>1</v>
      </c>
      <c r="D858" s="1" t="s">
        <v>5011</v>
      </c>
      <c r="E858" s="7">
        <v>4510</v>
      </c>
      <c r="F858" s="7">
        <v>51</v>
      </c>
      <c r="G858" s="1">
        <v>72</v>
      </c>
      <c r="H858" s="34">
        <f>Tabela1[[#This Row],[PESO UNI]]*Tabela1[[#This Row],[QTE]]</f>
        <v>72</v>
      </c>
      <c r="I858" s="7" t="s">
        <v>5015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ref="R858" si="369">IFERROR(H858*((AA858*0.25)+(AC858*0.25)+(AD858*0.225)+(AE858*0.225)+(AF858*0.05)),"")</f>
        <v>0</v>
      </c>
      <c r="S858" s="18">
        <f t="shared" ref="S858" si="370">IFERROR(H858*AG858,"")</f>
        <v>0</v>
      </c>
      <c r="T858" s="19">
        <f t="shared" ref="T858" si="371">IFERROR(S858-H858,"")</f>
        <v>-72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ref="Y858" si="372">U858-C858</f>
        <v>-1</v>
      </c>
      <c r="Z858" s="20">
        <f>Tabela1[[#This Row],[PESO TOTAL]]-Tabela1[[#This Row],[Peso Expedido]]</f>
        <v>72</v>
      </c>
      <c r="AA858" s="17"/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customHeight="1" x14ac:dyDescent="0.25">
      <c r="A859" s="1" t="s">
        <v>5008</v>
      </c>
      <c r="B859" s="21" t="s">
        <v>5009</v>
      </c>
      <c r="C859" s="1">
        <v>2</v>
      </c>
      <c r="D859" s="1" t="s">
        <v>5012</v>
      </c>
      <c r="E859" s="7">
        <v>4511</v>
      </c>
      <c r="F859" s="7">
        <v>51</v>
      </c>
      <c r="G859" s="1">
        <v>6.3</v>
      </c>
      <c r="H859" s="34">
        <f>Tabela1[[#This Row],[PESO UNI]]*Tabela1[[#This Row],[QTE]]</f>
        <v>12.6</v>
      </c>
      <c r="I859" s="7" t="s">
        <v>5015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>IFERROR(H859*((AA859*0.25)+(AC859*0.25)+(AD859*0.225)+(AE859*0.225)+(AF859*0.05)),"")</f>
        <v>0</v>
      </c>
      <c r="S859" s="18">
        <f>IFERROR(H859*AG859,"")</f>
        <v>0</v>
      </c>
      <c r="T859" s="19">
        <f>IFERROR(S859-H859,"")</f>
        <v>-12.6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>U859-C859</f>
        <v>-2</v>
      </c>
      <c r="Z859" s="20">
        <f>Tabela1[[#This Row],[PESO TOTAL]]-Tabela1[[#This Row],[Peso Expedido]]</f>
        <v>12.6</v>
      </c>
      <c r="AA859" s="17"/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814</v>
      </c>
      <c r="B860" s="21"/>
      <c r="C860" s="1">
        <v>2</v>
      </c>
      <c r="D860" s="1" t="s">
        <v>5018</v>
      </c>
      <c r="E860" s="7">
        <v>4514</v>
      </c>
      <c r="F860" s="7">
        <v>1</v>
      </c>
      <c r="G860" s="1">
        <v>5.2</v>
      </c>
      <c r="H860" s="34">
        <f>Tabela1[[#This Row],[PESO UNI]]*Tabela1[[#This Row],[QTE]]</f>
        <v>10.4</v>
      </c>
      <c r="I860" s="7">
        <v>1</v>
      </c>
      <c r="J860" s="8" t="s">
        <v>5019</v>
      </c>
      <c r="K860" s="8" t="s">
        <v>23</v>
      </c>
      <c r="L860" s="9" t="s">
        <v>5020</v>
      </c>
      <c r="M860" s="10">
        <v>46241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>IFERROR(H860*((AA860*0.25)+(AC860*0.25)+(AD860*0.225)+(AE860*0.225)+(AF860*0.05)),"")</f>
        <v>0</v>
      </c>
      <c r="S860" s="18">
        <f>IFERROR(H860*AG860,"")</f>
        <v>0</v>
      </c>
      <c r="T860" s="19">
        <f>IFERROR(S860-H860,"")</f>
        <v>-10.4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>U860-C860</f>
        <v>-2</v>
      </c>
      <c r="Z860" s="20">
        <f>Tabela1[[#This Row],[PESO TOTAL]]-Tabela1[[#This Row],[Peso Expedido]]</f>
        <v>10.4</v>
      </c>
      <c r="AA860" s="17"/>
      <c r="AB860" s="33"/>
      <c r="AC860" s="33"/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customHeight="1" x14ac:dyDescent="0.25">
      <c r="A861" s="1" t="s">
        <v>5021</v>
      </c>
      <c r="B861" s="21" t="s">
        <v>5022</v>
      </c>
      <c r="C861" s="1">
        <v>2</v>
      </c>
      <c r="D861" s="1" t="s">
        <v>5023</v>
      </c>
      <c r="E861" s="7">
        <v>4515</v>
      </c>
      <c r="F861" s="7">
        <v>52</v>
      </c>
      <c r="G861" s="1">
        <v>53.7</v>
      </c>
      <c r="H861" s="34">
        <f>Tabela1[[#This Row],[PESO UNI]]*Tabela1[[#This Row],[QTE]]</f>
        <v>107.4</v>
      </c>
      <c r="I861" s="7">
        <v>0</v>
      </c>
      <c r="J861" s="8" t="s">
        <v>3045</v>
      </c>
      <c r="K861" s="8" t="s">
        <v>4320</v>
      </c>
      <c r="L861" s="9" t="s">
        <v>2984</v>
      </c>
      <c r="M861" s="10">
        <v>46241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>IFERROR(H861*((AA861*0.25)+(AC861*0.25)+(AD861*0.225)+(AE861*0.225)+(AF861*0.05)),"")</f>
        <v>0</v>
      </c>
      <c r="S861" s="18">
        <f>IFERROR(H861*AG861,"")</f>
        <v>0</v>
      </c>
      <c r="T861" s="19">
        <f>IFERROR(S861-H861,"")</f>
        <v>-107.4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>U861-C861</f>
        <v>-2</v>
      </c>
      <c r="Z861" s="20">
        <f>Tabela1[[#This Row],[PESO TOTAL]]-Tabela1[[#This Row],[Peso Expedido]]</f>
        <v>107.4</v>
      </c>
      <c r="AA861" s="17"/>
      <c r="AB861" s="33"/>
      <c r="AC861" s="33"/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customHeight="1" x14ac:dyDescent="0.25">
      <c r="A862" s="1" t="s">
        <v>5021</v>
      </c>
      <c r="B862" s="21" t="s">
        <v>5022</v>
      </c>
      <c r="C862" s="1">
        <v>1</v>
      </c>
      <c r="D862" s="1" t="s">
        <v>5024</v>
      </c>
      <c r="E862" s="7">
        <v>4516</v>
      </c>
      <c r="F862" s="7">
        <v>52</v>
      </c>
      <c r="G862" s="1">
        <v>170.2</v>
      </c>
      <c r="H862" s="34">
        <f>Tabela1[[#This Row],[PESO UNI]]*Tabela1[[#This Row],[QTE]]</f>
        <v>170.2</v>
      </c>
      <c r="I862" s="7">
        <v>0</v>
      </c>
      <c r="J862" s="8" t="s">
        <v>3045</v>
      </c>
      <c r="K862" s="8" t="s">
        <v>4320</v>
      </c>
      <c r="L862" s="9" t="s">
        <v>2984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-1</v>
      </c>
      <c r="R862" s="18">
        <f t="shared" ref="R862:R865" si="373">IFERROR(H862*((AA862*0.25)+(AC862*0.25)+(AD862*0.225)+(AE862*0.225)+(AF862*0.05)),"")</f>
        <v>0</v>
      </c>
      <c r="S862" s="18">
        <f t="shared" ref="S862:S865" si="374">IFERROR(H862*AG862,"")</f>
        <v>0</v>
      </c>
      <c r="T862" s="19">
        <f t="shared" ref="T862:T865" si="375">IFERROR(S862-H862,"")</f>
        <v>-170.2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ref="Y862:Y865" si="376">U862-C862</f>
        <v>-1</v>
      </c>
      <c r="Z862" s="20">
        <f>Tabela1[[#This Row],[PESO TOTAL]]-Tabela1[[#This Row],[Peso Expedido]]</f>
        <v>170.2</v>
      </c>
      <c r="AA862" s="17"/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customHeight="1" x14ac:dyDescent="0.25">
      <c r="A863" s="1" t="s">
        <v>5021</v>
      </c>
      <c r="B863" s="21" t="s">
        <v>5022</v>
      </c>
      <c r="C863" s="1">
        <v>1</v>
      </c>
      <c r="D863" s="1" t="s">
        <v>5025</v>
      </c>
      <c r="E863" s="7">
        <v>4517</v>
      </c>
      <c r="F863" s="7">
        <v>52</v>
      </c>
      <c r="G863" s="1">
        <v>220.2</v>
      </c>
      <c r="H863" s="34">
        <f>Tabela1[[#This Row],[PESO UNI]]*Tabela1[[#This Row],[QTE]]</f>
        <v>220.2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-1</v>
      </c>
      <c r="R863" s="18">
        <f t="shared" si="373"/>
        <v>0</v>
      </c>
      <c r="S863" s="18">
        <f t="shared" si="374"/>
        <v>0</v>
      </c>
      <c r="T863" s="19">
        <f t="shared" si="375"/>
        <v>-220.2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376"/>
        <v>-1</v>
      </c>
      <c r="Z863" s="20">
        <f>Tabela1[[#This Row],[PESO TOTAL]]-Tabela1[[#This Row],[Peso Expedido]]</f>
        <v>220.2</v>
      </c>
      <c r="AA863" s="17"/>
      <c r="AB863" s="33"/>
      <c r="AC863" s="33"/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customHeight="1" x14ac:dyDescent="0.25">
      <c r="A864" s="1" t="s">
        <v>5021</v>
      </c>
      <c r="B864" s="21" t="s">
        <v>5022</v>
      </c>
      <c r="C864" s="1">
        <v>1</v>
      </c>
      <c r="D864" s="1" t="s">
        <v>5026</v>
      </c>
      <c r="E864" s="7">
        <v>4518</v>
      </c>
      <c r="F864" s="7">
        <v>52</v>
      </c>
      <c r="G864" s="1">
        <v>220.2</v>
      </c>
      <c r="H864" s="34">
        <f>Tabela1[[#This Row],[PESO UNI]]*Tabela1[[#This Row],[QTE]]</f>
        <v>220.2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373"/>
        <v>0</v>
      </c>
      <c r="S864" s="18">
        <f t="shared" si="374"/>
        <v>0</v>
      </c>
      <c r="T864" s="19">
        <f t="shared" si="375"/>
        <v>-220.2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376"/>
        <v>-1</v>
      </c>
      <c r="Z864" s="20">
        <f>Tabela1[[#This Row],[PESO TOTAL]]-Tabela1[[#This Row],[Peso Expedido]]</f>
        <v>220.2</v>
      </c>
      <c r="AA864" s="17"/>
      <c r="AB864" s="33"/>
      <c r="AC864" s="33"/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customHeight="1" x14ac:dyDescent="0.25">
      <c r="A865" s="1" t="s">
        <v>5021</v>
      </c>
      <c r="B865" s="21" t="s">
        <v>5022</v>
      </c>
      <c r="C865" s="1">
        <v>2</v>
      </c>
      <c r="D865" s="1" t="s">
        <v>5027</v>
      </c>
      <c r="E865" s="7">
        <v>4519</v>
      </c>
      <c r="F865" s="7">
        <v>52</v>
      </c>
      <c r="G865" s="1">
        <v>55.1</v>
      </c>
      <c r="H865" s="34">
        <f>Tabela1[[#This Row],[PESO UNI]]*Tabela1[[#This Row],[QTE]]</f>
        <v>110.2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-2</v>
      </c>
      <c r="R865" s="18">
        <f t="shared" si="373"/>
        <v>0</v>
      </c>
      <c r="S865" s="18">
        <f t="shared" si="374"/>
        <v>0</v>
      </c>
      <c r="T865" s="19">
        <f t="shared" si="375"/>
        <v>-110.2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376"/>
        <v>-2</v>
      </c>
      <c r="Z865" s="20">
        <f>Tabela1[[#This Row],[PESO TOTAL]]-Tabela1[[#This Row],[Peso Expedido]]</f>
        <v>110.2</v>
      </c>
      <c r="AA865" s="17"/>
      <c r="AB865" s="33"/>
      <c r="AC865" s="33"/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customHeight="1" x14ac:dyDescent="0.25">
      <c r="A866" s="1" t="s">
        <v>5021</v>
      </c>
      <c r="B866" s="21" t="s">
        <v>5022</v>
      </c>
      <c r="C866" s="1">
        <v>2</v>
      </c>
      <c r="D866" s="1" t="s">
        <v>5028</v>
      </c>
      <c r="E866" s="7">
        <v>4521</v>
      </c>
      <c r="F866" s="7">
        <v>52</v>
      </c>
      <c r="G866" s="1">
        <v>69</v>
      </c>
      <c r="H866" s="34">
        <f>Tabela1[[#This Row],[PESO UNI]]*Tabela1[[#This Row],[QTE]]</f>
        <v>138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-2</v>
      </c>
      <c r="R866" s="18">
        <f>IFERROR(H866*((AA866*0.25)+(AC866*0.25)+(AD866*0.225)+(AE866*0.225)+(AF866*0.05)),"")</f>
        <v>0</v>
      </c>
      <c r="S866" s="18">
        <f>IFERROR(H866*AG866,"")</f>
        <v>0</v>
      </c>
      <c r="T866" s="19">
        <f>IFERROR(S866-H866,"")</f>
        <v>-138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>U866-C866</f>
        <v>-2</v>
      </c>
      <c r="Z866" s="20">
        <f>Tabela1[[#This Row],[PESO TOTAL]]-Tabela1[[#This Row],[Peso Expedido]]</f>
        <v>138</v>
      </c>
      <c r="AA866" s="17"/>
      <c r="AB866" s="33"/>
      <c r="AC866" s="33"/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210" t="s">
        <v>5032</v>
      </c>
      <c r="B867" s="21"/>
      <c r="C867" s="208">
        <v>6</v>
      </c>
      <c r="D867" s="1" t="s">
        <v>5033</v>
      </c>
      <c r="E867" s="211">
        <v>4522</v>
      </c>
      <c r="F867" s="194">
        <v>1</v>
      </c>
      <c r="G867" s="1">
        <v>15</v>
      </c>
      <c r="H867" s="34">
        <f>Tabela1[[#This Row],[PESO UNI]]*Tabela1[[#This Row],[QTE]]</f>
        <v>90</v>
      </c>
      <c r="I867" s="7" t="s">
        <v>43</v>
      </c>
      <c r="J867" s="8" t="s">
        <v>5034</v>
      </c>
      <c r="K867" s="8" t="s">
        <v>23</v>
      </c>
      <c r="L867" s="9" t="s">
        <v>5035</v>
      </c>
      <c r="M867" s="10">
        <v>46245</v>
      </c>
      <c r="N867" s="8" t="s">
        <v>38</v>
      </c>
      <c r="O867" s="12"/>
      <c r="P867" s="13"/>
      <c r="Q867" s="14">
        <f>Tabela1[[#This Row],[QTDE/ Fabricação]]-Tabela1[[#This Row],[QTE]]</f>
        <v>-6</v>
      </c>
      <c r="R867" s="18">
        <f>IFERROR(H867*((AA867*0.25)+(AC867*0.25)+(AD867*0.225)+(AE867*0.225)+(AF867*0.05)),"")</f>
        <v>0</v>
      </c>
      <c r="S867" s="18">
        <f>IFERROR(H867*AG867,"")</f>
        <v>0</v>
      </c>
      <c r="T867" s="19">
        <f>IFERROR(S867-H867,"")</f>
        <v>-90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>U867-C867</f>
        <v>-6</v>
      </c>
      <c r="Z867" s="20">
        <f>Tabela1[[#This Row],[PESO TOTAL]]-Tabela1[[#This Row],[Peso Expedido]]</f>
        <v>90</v>
      </c>
      <c r="AA867" s="17"/>
      <c r="AB867" s="33"/>
      <c r="AC867" s="33"/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s="1" customFormat="1" ht="15.75" hidden="1" customHeight="1" x14ac:dyDescent="0.25">
      <c r="A868" s="1" t="s">
        <v>5036</v>
      </c>
      <c r="C868" s="1">
        <v>10</v>
      </c>
      <c r="D868" s="1" t="s">
        <v>5037</v>
      </c>
      <c r="E868" s="1">
        <v>4523</v>
      </c>
      <c r="F868" s="1">
        <v>1</v>
      </c>
      <c r="G868" s="1">
        <v>10.5</v>
      </c>
      <c r="H868" s="1">
        <f>Tabela1[[#This Row],[PESO UNI]]*Tabela1[[#This Row],[QTE]]</f>
        <v>105</v>
      </c>
      <c r="I868" s="1" t="s">
        <v>43</v>
      </c>
      <c r="J868" s="1" t="s">
        <v>5034</v>
      </c>
      <c r="K868" s="1" t="s">
        <v>23</v>
      </c>
      <c r="L868" s="9" t="s">
        <v>5035</v>
      </c>
      <c r="M868" s="1">
        <v>46245</v>
      </c>
      <c r="N868" s="1" t="s">
        <v>38</v>
      </c>
      <c r="Q868" s="1">
        <f>Tabela1[[#This Row],[QTDE/ Fabricação]]-Tabela1[[#This Row],[QTE]]</f>
        <v>-10</v>
      </c>
      <c r="R868" s="1">
        <f t="shared" ref="R868" si="377">IFERROR(H868*((AA868*0.25)+(AC868*0.25)+(AD868*0.225)+(AE868*0.225)+(AF868*0.05)),"")</f>
        <v>0</v>
      </c>
      <c r="S868" s="1">
        <f t="shared" ref="S868" si="378">IFERROR(H868*AG868,"")</f>
        <v>0</v>
      </c>
      <c r="T868" s="1">
        <f t="shared" ref="T868" si="379">IFERROR(S868-H868,"")</f>
        <v>-105</v>
      </c>
      <c r="U868" s="1">
        <f>IFERROR(SUMIF('LISTA DE EMBARQUE'!B:B,MICRO!E:E,'LISTA DE EMBARQUE'!G:G),"")</f>
        <v>0</v>
      </c>
      <c r="V868" s="1" t="str">
        <f>IFERROR(VLOOKUP(Tabela1[[#This Row],[COD.MDE]],'LISTA DE EMBARQUE'!B:L,11,0),"")</f>
        <v/>
      </c>
      <c r="W868" s="1" t="str">
        <f>IFERROR(VLOOKUP(Tabela1[[#This Row],[COD.MDE]],'LISTA DE EMBARQUE'!B:M,12,0),"")</f>
        <v/>
      </c>
      <c r="X868" s="1">
        <f>IFERROR(Tabela1[[#This Row],[QIANTIDADE EXPEDIDA]]*Tabela1[[#This Row],[PESO UNI]],"")</f>
        <v>0</v>
      </c>
      <c r="Y868" s="1">
        <f t="shared" ref="Y868" si="380">U868-C868</f>
        <v>-10</v>
      </c>
      <c r="Z868" s="1">
        <f>Tabela1[[#This Row],[PESO TOTAL]]-Tabela1[[#This Row],[Peso Expedido]]</f>
        <v>105</v>
      </c>
    </row>
    <row r="869" spans="1:49" s="1" customFormat="1" ht="15.75" hidden="1" customHeight="1" x14ac:dyDescent="0.25">
      <c r="A869" s="1" t="s">
        <v>5038</v>
      </c>
      <c r="C869" s="1">
        <v>5</v>
      </c>
      <c r="D869" s="1" t="s">
        <v>5039</v>
      </c>
      <c r="E869" s="1">
        <v>4524</v>
      </c>
      <c r="F869" s="1">
        <v>1</v>
      </c>
      <c r="G869" s="1">
        <v>35</v>
      </c>
      <c r="H869" s="1">
        <f>Tabela1[[#This Row],[PESO UNI]]*Tabela1[[#This Row],[QTE]]</f>
        <v>175</v>
      </c>
      <c r="I869" s="1" t="s">
        <v>43</v>
      </c>
      <c r="J869" s="1" t="s">
        <v>5034</v>
      </c>
      <c r="K869" s="1" t="s">
        <v>23</v>
      </c>
      <c r="L869" s="9" t="s">
        <v>5035</v>
      </c>
      <c r="M869" s="1">
        <v>46245</v>
      </c>
      <c r="N869" s="1" t="s">
        <v>38</v>
      </c>
      <c r="Q869" s="1">
        <f>Tabela1[[#This Row],[QTDE/ Fabricação]]-Tabela1[[#This Row],[QTE]]</f>
        <v>-5</v>
      </c>
      <c r="R869" s="1">
        <f>IFERROR(H869*((AA869*0.25)+(AC869*0.25)+(AD869*0.225)+(AE869*0.225)+(AF869*0.05)),"")</f>
        <v>0</v>
      </c>
      <c r="S869" s="1">
        <f>IFERROR(H869*AG869,"")</f>
        <v>0</v>
      </c>
      <c r="T869" s="1">
        <f>IFERROR(S869-H869,"")</f>
        <v>-175</v>
      </c>
      <c r="U869" s="1">
        <f>IFERROR(SUMIF('LISTA DE EMBARQUE'!B:B,MICRO!E:E,'LISTA DE EMBARQUE'!G:G),"")</f>
        <v>0</v>
      </c>
      <c r="V869" s="1" t="str">
        <f>IFERROR(VLOOKUP(Tabela1[[#This Row],[COD.MDE]],'LISTA DE EMBARQUE'!B:L,11,0),"")</f>
        <v/>
      </c>
      <c r="W869" s="1" t="str">
        <f>IFERROR(VLOOKUP(Tabela1[[#This Row],[COD.MDE]],'LISTA DE EMBARQUE'!B:M,12,0),"")</f>
        <v/>
      </c>
      <c r="X869" s="1">
        <f>IFERROR(Tabela1[[#This Row],[QIANTIDADE EXPEDIDA]]*Tabela1[[#This Row],[PESO UNI]],"")</f>
        <v>0</v>
      </c>
      <c r="Y869" s="1">
        <f>U869-C869</f>
        <v>-5</v>
      </c>
      <c r="Z869" s="1">
        <f>Tabela1[[#This Row],[PESO TOTAL]]-Tabela1[[#This Row],[Peso Expedido]]</f>
        <v>175</v>
      </c>
    </row>
    <row r="870" spans="1:49" ht="15.75" hidden="1" customHeight="1" x14ac:dyDescent="0.25">
      <c r="A870" s="1" t="s">
        <v>5042</v>
      </c>
      <c r="B870" s="21"/>
      <c r="C870" s="1">
        <v>710</v>
      </c>
      <c r="D870" s="1" t="s">
        <v>5043</v>
      </c>
      <c r="E870" s="7">
        <v>4525</v>
      </c>
      <c r="F870" s="7">
        <v>13</v>
      </c>
      <c r="G870" s="1">
        <v>35</v>
      </c>
      <c r="H870" s="34">
        <f>Tabela1[[#This Row],[PESO UNI]]*Tabela1[[#This Row],[QTE]]</f>
        <v>24850</v>
      </c>
      <c r="I870" s="7">
        <v>0</v>
      </c>
      <c r="J870" s="8" t="s">
        <v>4834</v>
      </c>
      <c r="K870" s="8" t="s">
        <v>4320</v>
      </c>
      <c r="L870" s="9" t="s">
        <v>3291</v>
      </c>
      <c r="M870" s="10">
        <v>46246</v>
      </c>
      <c r="N870" s="8" t="s">
        <v>38</v>
      </c>
      <c r="O870" s="12"/>
      <c r="P870" s="13"/>
      <c r="Q870" s="14">
        <f>Tabela1[[#This Row],[QTDE/ Fabricação]]-Tabela1[[#This Row],[QTE]]</f>
        <v>-710</v>
      </c>
      <c r="R870" s="18">
        <f>IFERROR(H870*((AA870*0.25)+(AC870*0.25)+(AD870*0.225)+(AE870*0.225)+(AF870*0.05)),"")</f>
        <v>0</v>
      </c>
      <c r="S870" s="18">
        <f>IFERROR(H870*AG870,"")</f>
        <v>0</v>
      </c>
      <c r="T870" s="19">
        <f>IFERROR(S870-H870,"")</f>
        <v>-24850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>U870-C870</f>
        <v>-710</v>
      </c>
      <c r="Z870" s="20">
        <f>Tabela1[[#This Row],[PESO TOTAL]]-Tabela1[[#This Row],[Peso Expedido]]</f>
        <v>24850</v>
      </c>
      <c r="AA870" s="17"/>
      <c r="AB870" s="33"/>
      <c r="AC870" s="33"/>
      <c r="AD870" s="33"/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25" t="s">
        <v>414</v>
      </c>
      <c r="C871" s="25">
        <v>10</v>
      </c>
      <c r="D871" s="1" t="s">
        <v>5044</v>
      </c>
      <c r="E871" s="25">
        <v>4526</v>
      </c>
      <c r="F871" s="25">
        <v>1</v>
      </c>
      <c r="G871" s="1">
        <v>5</v>
      </c>
      <c r="H871" s="34">
        <f>Tabela1[[#This Row],[PESO UNI]]*Tabela1[[#This Row],[QTE]]</f>
        <v>50</v>
      </c>
      <c r="I871" s="7">
        <v>0</v>
      </c>
      <c r="J871" s="8" t="s">
        <v>5045</v>
      </c>
      <c r="K871" s="8" t="s">
        <v>23</v>
      </c>
      <c r="L871" s="9" t="s">
        <v>5046</v>
      </c>
      <c r="M871" s="10">
        <v>46246</v>
      </c>
      <c r="N871" s="8" t="s">
        <v>38</v>
      </c>
      <c r="O871" s="12"/>
      <c r="P871" s="13"/>
      <c r="Q871" s="14">
        <f>Tabela1[[#This Row],[QTDE/ Fabricação]]-Tabela1[[#This Row],[QTE]]</f>
        <v>-10</v>
      </c>
      <c r="R871" s="18">
        <f>IFERROR(H871*((AA871*0.25)+(AC871*0.25)+(AD871*0.225)+(AE871*0.225)+(AF871*0.05)),"")</f>
        <v>0</v>
      </c>
      <c r="S871" s="18">
        <f>IFERROR(H871*AG871,"")</f>
        <v>0</v>
      </c>
      <c r="T871" s="19">
        <f>IFERROR(S871-H871,"")</f>
        <v>-50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>U871-C871</f>
        <v>-10</v>
      </c>
      <c r="Z871" s="20">
        <f>Tabela1[[#This Row],[PESO TOTAL]]-Tabela1[[#This Row],[Peso Expedido]]</f>
        <v>50</v>
      </c>
      <c r="AA871" s="17"/>
      <c r="AB871" s="33"/>
      <c r="AC871" s="33"/>
      <c r="AD871" s="33"/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</row>
  </sheetData>
  <phoneticPr fontId="6" type="noConversion"/>
  <conditionalFormatting sqref="E2:E458 AA29:AH449 AI29:AI459 AA452:AD453 AA454:AB458 AD454:AD458 AA486:AH604 E556:E604 L605 J605:J867 E606:E867 AA762:AJ762 AC762:AE763 AA763:AI867 E870 J870:J871 AA870:AI871">
    <cfRule type="expression" dxfId="67" priority="179">
      <formula>$AI2="OK"</formula>
    </cfRule>
  </conditionalFormatting>
  <conditionalFormatting sqref="F564:F867 B606:B867 H606:I867 K764:O864 K865:K867 M865:O867 L865:L871 B870 F870">
    <cfRule type="expression" dxfId="66" priority="63">
      <formula>#REF!="OK"</formula>
    </cfRule>
  </conditionalFormatting>
  <conditionalFormatting sqref="H419">
    <cfRule type="expression" dxfId="65" priority="26972">
      <formula>$AI449="OK"</formula>
    </cfRule>
  </conditionalFormatting>
  <conditionalFormatting sqref="H420:H438">
    <cfRule type="expression" dxfId="64" priority="26962">
      <formula>$AI459="OK"</formula>
    </cfRule>
  </conditionalFormatting>
  <conditionalFormatting sqref="H576">
    <cfRule type="expression" dxfId="63" priority="26939">
      <formula>$AI604="OK"</formula>
    </cfRule>
  </conditionalFormatting>
  <conditionalFormatting sqref="H870:I871 K870:K871 M870:O871">
    <cfRule type="expression" dxfId="62" priority="6">
      <formula>#REF!="OK"</formula>
    </cfRule>
  </conditionalFormatting>
  <conditionalFormatting sqref="K153:K438 K445:K458 L448:L449 L762:O763">
    <cfRule type="expression" dxfId="61" priority="188">
      <formula>#REF!="OK"</formula>
    </cfRule>
  </conditionalFormatting>
  <conditionalFormatting sqref="K762:K763">
    <cfRule type="expression" dxfId="60" priority="71">
      <formula>$AI891="OK"</formula>
    </cfRule>
  </conditionalFormatting>
  <conditionalFormatting sqref="L2:L27 H415:H417">
    <cfRule type="expression" dxfId="59" priority="26715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58" priority="185">
      <formula>$AI72="OK"</formula>
    </cfRule>
  </conditionalFormatting>
  <conditionalFormatting sqref="L408">
    <cfRule type="expression" dxfId="57" priority="26964">
      <formula>$AI449="OK"</formula>
    </cfRule>
  </conditionalFormatting>
  <conditionalFormatting sqref="L409:L438">
    <cfRule type="expression" dxfId="56" priority="26817">
      <formula>$AI459="OK"</formula>
    </cfRule>
  </conditionalFormatting>
  <conditionalFormatting sqref="N2:N458">
    <cfRule type="expression" dxfId="55" priority="69">
      <formula>#REF!="OK"</formula>
    </cfRule>
  </conditionalFormatting>
  <conditionalFormatting sqref="O450:O458">
    <cfRule type="cellIs" dxfId="54" priority="134" operator="lessThan">
      <formula>0</formula>
    </cfRule>
  </conditionalFormatting>
  <conditionalFormatting sqref="O450:P452 H449 R449 A450:D452 F450:F452 M450:M452 H450:J458 P457:P458">
    <cfRule type="expression" dxfId="53" priority="26773">
      <formula>$AI503="OK"</formula>
    </cfRule>
  </conditionalFormatting>
  <conditionalFormatting sqref="O453:P453">
    <cfRule type="expression" dxfId="52" priority="145">
      <formula>#REF!="OK"</formula>
    </cfRule>
  </conditionalFormatting>
  <conditionalFormatting sqref="O2:Z27 A2:D27 F2:F27 H2:K27 M2:M27 H153:H413 H459:H571">
    <cfRule type="expression" dxfId="51" priority="26748">
      <formula>$AI34="OK"</formula>
    </cfRule>
  </conditionalFormatting>
  <conditionalFormatting sqref="T153:Z211 T257:Z393 O500:Z558 O153:R211 O257:R393 A28:D107 F28:F107 H28:K107 M28:M107 S153:S210 A153:D211 F153:F211 I153:J211 M153:M211 S256:S392 A257:D393 F257:F393 I257:J393 M257:M393 B556:B558 F556:F558 I556:I558 M556:M558 O28:Z107">
    <cfRule type="expression" dxfId="50" priority="26446">
      <formula>$AI73="OK"</formula>
    </cfRule>
  </conditionalFormatting>
  <conditionalFormatting sqref="O108:Z108 A108:D108 F108 H108:K108 M108 L109">
    <cfRule type="expression" dxfId="49" priority="27081">
      <formula>#REF!="OK"</formula>
    </cfRule>
  </conditionalFormatting>
  <conditionalFormatting sqref="O402:Z402 O406:Z406 A402:D402 F402 I402:J402 M402 L403 A406:D406 F406 I406:J406 M406 L407 H414 H418">
    <cfRule type="expression" dxfId="48" priority="26965">
      <formula>#REF!="OK"</formula>
    </cfRule>
  </conditionalFormatting>
  <conditionalFormatting sqref="O403:Z405 L110:L152 L214:L256 L396:L402 A403:D405 F403:F405 I403:J405 M403:M405">
    <cfRule type="expression" dxfId="47" priority="26652">
      <formula>$AI153="OK"</formula>
    </cfRule>
  </conditionalFormatting>
  <conditionalFormatting sqref="O407:Z407 L404:L406 A407:D407 F407 I407:J407 M407">
    <cfRule type="expression" dxfId="46" priority="26974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45" priority="26787">
      <formula>$AI499="OK"</formula>
    </cfRule>
  </conditionalFormatting>
  <conditionalFormatting sqref="O559:Z562 Z560:Z563 B559:B562 F559:F562 I559:I562 M559:M562 H572:H575">
    <cfRule type="expression" dxfId="44" priority="26902">
      <formula>#REF!="OK"</formula>
    </cfRule>
  </conditionalFormatting>
  <conditionalFormatting sqref="O563:Z563 B563 F563 I563 M563">
    <cfRule type="expression" dxfId="43" priority="26816">
      <formula>$AI604="OK"</formula>
    </cfRule>
  </conditionalFormatting>
  <conditionalFormatting sqref="P762:Z834">
    <cfRule type="expression" dxfId="42" priority="27101">
      <formula>$AI901="OK"</formula>
    </cfRule>
  </conditionalFormatting>
  <conditionalFormatting sqref="P835:Z867">
    <cfRule type="expression" dxfId="41" priority="27147">
      <formula>$AI972="OK"</formula>
    </cfRule>
  </conditionalFormatting>
  <conditionalFormatting sqref="P837:Z867">
    <cfRule type="expression" dxfId="40" priority="27111">
      <formula>$AI973="OK"</formula>
    </cfRule>
  </conditionalFormatting>
  <conditionalFormatting sqref="P870:Z871">
    <cfRule type="expression" dxfId="39" priority="4">
      <formula>$AI1006="OK"</formula>
    </cfRule>
    <cfRule type="expression" dxfId="38" priority="5">
      <formula>$AI1007="OK"</formula>
    </cfRule>
  </conditionalFormatting>
  <conditionalFormatting sqref="Q2:Q456 Q459:Q867 Q870:Q871">
    <cfRule type="cellIs" dxfId="37" priority="26415" operator="greaterThanOrEqual">
      <formula>0</formula>
    </cfRule>
  </conditionalFormatting>
  <conditionalFormatting sqref="Q2:Q456 Q870:Q871 Q459:Q867">
    <cfRule type="cellIs" dxfId="36" priority="26414" operator="lessThan">
      <formula>0</formula>
    </cfRule>
  </conditionalFormatting>
  <conditionalFormatting sqref="S211">
    <cfRule type="expression" dxfId="35" priority="186">
      <formula>#REF!="OK"</formula>
    </cfRule>
  </conditionalFormatting>
  <conditionalFormatting sqref="S393">
    <cfRule type="expression" dxfId="34" priority="187">
      <formula>#REF!="OK"</formula>
    </cfRule>
  </conditionalFormatting>
  <conditionalFormatting sqref="S447:Z447 O447:Q447 A447:D447 F447 J447 M447 A453:D453 F453 M453 L454:L458">
    <cfRule type="expression" dxfId="33" priority="26772">
      <formula>#REF!="OK"</formula>
    </cfRule>
  </conditionalFormatting>
  <conditionalFormatting sqref="T2:T867 O450:O458 T870:T871 Y870:Z871 Y2:Z867">
    <cfRule type="cellIs" dxfId="32" priority="135" operator="greaterThanOrEqual">
      <formula>0</formula>
    </cfRule>
  </conditionalFormatting>
  <conditionalFormatting sqref="T2:T867 T870:T871 Y870:Z871 Y2:Z867">
    <cfRule type="cellIs" dxfId="31" priority="26416" operator="lessThan">
      <formula>0</formula>
    </cfRule>
  </conditionalFormatting>
  <conditionalFormatting sqref="T212:Z212 O212:R212 A212:D212 F212 I212:J212 M212">
    <cfRule type="expression" dxfId="30" priority="26626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29" priority="26514">
      <formula>$AI257="OK"</formula>
    </cfRule>
  </conditionalFormatting>
  <conditionalFormatting sqref="T394:Z394 O394:R394 A394:D394 F394 I394:J394 M394 L395">
    <cfRule type="expression" dxfId="28" priority="26677">
      <formula>#REF!="OK"</formula>
    </cfRule>
  </conditionalFormatting>
  <conditionalFormatting sqref="T408:Z438 O408:R438 S408:S437 A408:D438 F408:F438 I408:J438 M408:M438 L439:L445">
    <cfRule type="expression" dxfId="27" priority="27058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26" priority="26967">
      <formula>$AI490="OK"</formula>
    </cfRule>
  </conditionalFormatting>
  <conditionalFormatting sqref="T605:Z605 Q605:R605 H605">
    <cfRule type="expression" dxfId="25" priority="26954">
      <formula>$AI669="OK"</formula>
    </cfRule>
  </conditionalFormatting>
  <conditionalFormatting sqref="V450:Y451 R450:T458 V452:Z458">
    <cfRule type="expression" dxfId="24" priority="26872">
      <formula>$AI487="OK"</formula>
    </cfRule>
  </conditionalFormatting>
  <conditionalFormatting sqref="Z450:Z451 O564:Z622 K623:Z761 K556:K622 B564:B603 I564:I603 M564:M603 H577:H603 A604:D605 H604:J605 L604:N622">
    <cfRule type="expression" dxfId="23" priority="26941">
      <formula>#REF!="OK"</formula>
    </cfRule>
  </conditionalFormatting>
  <conditionalFormatting sqref="Z450:Z451">
    <cfRule type="expression" dxfId="22" priority="118">
      <formula>$AI494="OK"</formula>
    </cfRule>
  </conditionalFormatting>
  <conditionalFormatting sqref="Z564">
    <cfRule type="expression" dxfId="21" priority="26932">
      <formula>$AI604="OK"</formula>
    </cfRule>
  </conditionalFormatting>
  <conditionalFormatting sqref="Z605">
    <cfRule type="expression" dxfId="20" priority="26957">
      <formula>$AI668="OK"</formula>
    </cfRule>
  </conditionalFormatting>
  <conditionalFormatting sqref="AA606:AH761">
    <cfRule type="expression" dxfId="19" priority="103">
      <formula>$AI606="OK"</formula>
    </cfRule>
    <cfRule type="cellIs" dxfId="18" priority="102" operator="greaterThanOrEqual">
      <formula>1</formula>
    </cfRule>
  </conditionalFormatting>
  <conditionalFormatting sqref="AA2:AI28 AA450:AE451 AE452:AG452 AF453:AG458 AA459:AH459 A459:G555 I459:N555 AA460:AI603 J556:J603 L556:L603">
    <cfRule type="expression" dxfId="17" priority="26412">
      <formula>$AI2="OK"</formula>
    </cfRule>
  </conditionalFormatting>
  <conditionalFormatting sqref="AA2:AI28 AA29:AH451 AI29:AI459 AJ153:AW153 AE452:AG452 AA452:AD453 AE453 AF453:AG458 AA454:AB458 AD454:AG458 AA459:AH459 AI606:AI761 AA762:AJ867">
    <cfRule type="cellIs" dxfId="16" priority="26413" operator="greaterThanOrEqual">
      <formula>1</formula>
    </cfRule>
  </conditionalFormatting>
  <conditionalFormatting sqref="AA460:AI605">
    <cfRule type="cellIs" dxfId="15" priority="112" operator="greaterThanOrEqual">
      <formula>1</formula>
    </cfRule>
  </conditionalFormatting>
  <conditionalFormatting sqref="AA605:AI605">
    <cfRule type="expression" dxfId="14" priority="113">
      <formula>$AI605="OK"</formula>
    </cfRule>
  </conditionalFormatting>
  <conditionalFormatting sqref="AA870:AJ871">
    <cfRule type="cellIs" dxfId="13" priority="3" operator="greaterThanOrEqual">
      <formula>1</formula>
    </cfRule>
  </conditionalFormatting>
  <conditionalFormatting sqref="AC454:AC458">
    <cfRule type="cellIs" dxfId="12" priority="53" operator="greaterThanOrEqual">
      <formula>1</formula>
    </cfRule>
    <cfRule type="expression" dxfId="11" priority="52">
      <formula>$AI454="OK"</formula>
    </cfRule>
  </conditionalFormatting>
  <conditionalFormatting sqref="AE453:AE458">
    <cfRule type="expression" dxfId="10" priority="51">
      <formula>$AI453="OK"</formula>
    </cfRule>
  </conditionalFormatting>
  <conditionalFormatting sqref="AF454:AF458">
    <cfRule type="expression" dxfId="9" priority="50">
      <formula>$AI454="OK"</formula>
    </cfRule>
  </conditionalFormatting>
  <conditionalFormatting sqref="AF450:AH451">
    <cfRule type="expression" dxfId="8" priority="1">
      <formula>$AI450="OK"</formula>
    </cfRule>
  </conditionalFormatting>
  <conditionalFormatting sqref="AG454:AG458">
    <cfRule type="expression" dxfId="7" priority="49">
      <formula>$AI454="OK"</formula>
    </cfRule>
  </conditionalFormatting>
  <conditionalFormatting sqref="AI486:AI761 N556:N603">
    <cfRule type="expression" dxfId="6" priority="119">
      <formula>$AI486="OK"</formula>
    </cfRule>
  </conditionalFormatting>
  <conditionalFormatting sqref="AJ153:AW153">
    <cfRule type="expression" dxfId="5" priority="190">
      <formula>$AI153="OK"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2"/>
  <sheetViews>
    <sheetView topLeftCell="A14" workbookViewId="0">
      <selection activeCell="B21" sqref="B2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184">
        <v>188</v>
      </c>
      <c r="B2" s="107" t="s">
        <v>2071</v>
      </c>
      <c r="C2" s="185">
        <v>46188</v>
      </c>
      <c r="D2" s="185">
        <v>46232</v>
      </c>
      <c r="E2" s="192" t="s">
        <v>4860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46387</v>
      </c>
      <c r="D4" s="185"/>
      <c r="E4" s="186" t="s">
        <v>4970</v>
      </c>
      <c r="F4" s="107" t="s">
        <v>2983</v>
      </c>
    </row>
    <row r="5" spans="1:6" ht="30" x14ac:dyDescent="0.25">
      <c r="A5" s="215">
        <v>200</v>
      </c>
      <c r="B5" s="216" t="s">
        <v>2994</v>
      </c>
      <c r="C5" s="217">
        <v>46219</v>
      </c>
      <c r="D5" s="217"/>
      <c r="E5" s="218" t="s">
        <v>496</v>
      </c>
      <c r="F5" s="219" t="s">
        <v>2993</v>
      </c>
    </row>
    <row r="6" spans="1:6" ht="30" x14ac:dyDescent="0.25">
      <c r="A6" s="215">
        <v>201</v>
      </c>
      <c r="B6" s="216" t="s">
        <v>2992</v>
      </c>
      <c r="C6" s="217">
        <v>46198</v>
      </c>
      <c r="D6" s="217"/>
      <c r="E6" s="218" t="s">
        <v>496</v>
      </c>
      <c r="F6" s="219" t="s">
        <v>2991</v>
      </c>
    </row>
    <row r="7" spans="1:6" ht="75" x14ac:dyDescent="0.25">
      <c r="A7" s="215">
        <v>202</v>
      </c>
      <c r="B7" s="216" t="s">
        <v>3007</v>
      </c>
      <c r="C7" s="220">
        <v>46198</v>
      </c>
      <c r="D7" s="217"/>
      <c r="E7" s="218" t="s">
        <v>496</v>
      </c>
      <c r="F7" s="219" t="s">
        <v>3006</v>
      </c>
    </row>
    <row r="8" spans="1:6" x14ac:dyDescent="0.25">
      <c r="A8" s="187">
        <v>203</v>
      </c>
      <c r="B8" s="188" t="s">
        <v>4982</v>
      </c>
      <c r="C8" s="189">
        <v>46202</v>
      </c>
      <c r="D8" s="189">
        <v>46231</v>
      </c>
      <c r="E8" s="193" t="s">
        <v>4862</v>
      </c>
      <c r="F8" s="107" t="s">
        <v>3009</v>
      </c>
    </row>
    <row r="9" spans="1:6" x14ac:dyDescent="0.25">
      <c r="A9" s="215">
        <v>204</v>
      </c>
      <c r="B9" s="221" t="s">
        <v>3164</v>
      </c>
      <c r="C9" s="217">
        <v>46226</v>
      </c>
      <c r="D9" s="217"/>
      <c r="E9" s="218" t="s">
        <v>4861</v>
      </c>
      <c r="F9" s="219" t="s">
        <v>3009</v>
      </c>
    </row>
    <row r="10" spans="1:6" x14ac:dyDescent="0.25">
      <c r="A10" s="215">
        <v>205</v>
      </c>
      <c r="B10" s="221" t="s">
        <v>3166</v>
      </c>
      <c r="C10" s="217">
        <v>46235</v>
      </c>
      <c r="D10" s="217"/>
      <c r="E10" s="222" t="s">
        <v>4862</v>
      </c>
      <c r="F10" s="219" t="s">
        <v>3165</v>
      </c>
    </row>
    <row r="11" spans="1:6" ht="30" x14ac:dyDescent="0.25">
      <c r="A11" s="184">
        <v>207</v>
      </c>
      <c r="B11" s="207" t="s">
        <v>3293</v>
      </c>
      <c r="C11" s="185">
        <v>46336</v>
      </c>
      <c r="D11" s="185"/>
      <c r="E11" s="186" t="s">
        <v>4971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/>
      <c r="E12" s="193" t="s">
        <v>4863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4864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4973</v>
      </c>
      <c r="F14" s="188" t="s">
        <v>4442</v>
      </c>
    </row>
    <row r="15" spans="1:6" x14ac:dyDescent="0.25">
      <c r="A15" s="215">
        <v>897</v>
      </c>
      <c r="B15" s="221" t="s">
        <v>4551</v>
      </c>
      <c r="C15" s="217">
        <v>46216</v>
      </c>
      <c r="D15" s="217"/>
      <c r="E15" s="222" t="s">
        <v>496</v>
      </c>
      <c r="F15" s="221" t="s">
        <v>4550</v>
      </c>
    </row>
    <row r="16" spans="1:6" x14ac:dyDescent="0.25">
      <c r="A16" s="213">
        <v>210</v>
      </c>
      <c r="B16" s="191" t="s">
        <v>4855</v>
      </c>
      <c r="C16" s="189">
        <v>46308</v>
      </c>
      <c r="D16" s="189"/>
      <c r="E16" s="190" t="s">
        <v>4972</v>
      </c>
      <c r="F16" s="188" t="s">
        <v>2991</v>
      </c>
    </row>
    <row r="17" spans="1:6" ht="30" x14ac:dyDescent="0.25">
      <c r="A17" s="213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4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13">
        <v>133</v>
      </c>
      <c r="B19" s="188" t="s">
        <v>4977</v>
      </c>
      <c r="C19" s="189">
        <v>46249</v>
      </c>
      <c r="D19" s="189"/>
      <c r="E19" s="190" t="s">
        <v>4976</v>
      </c>
      <c r="F19" s="188" t="s">
        <v>4975</v>
      </c>
    </row>
    <row r="20" spans="1:6" x14ac:dyDescent="0.25">
      <c r="A20" s="213">
        <v>899</v>
      </c>
      <c r="B20" s="188" t="s">
        <v>4977</v>
      </c>
      <c r="C20" s="189">
        <v>46270</v>
      </c>
      <c r="D20" s="189"/>
      <c r="E20" s="190" t="s">
        <v>4972</v>
      </c>
      <c r="F20" s="188" t="s">
        <v>4442</v>
      </c>
    </row>
    <row r="21" spans="1:6" ht="45" x14ac:dyDescent="0.25">
      <c r="A21" s="225">
        <v>214</v>
      </c>
      <c r="B21" s="191" t="s">
        <v>5040</v>
      </c>
      <c r="C21" s="189">
        <v>46268</v>
      </c>
      <c r="D21" s="189"/>
      <c r="E21" s="190" t="s">
        <v>4972</v>
      </c>
      <c r="F21" s="188" t="s">
        <v>5041</v>
      </c>
    </row>
    <row r="22" spans="1:6" x14ac:dyDescent="0.25">
      <c r="A22" s="225">
        <v>899</v>
      </c>
      <c r="B22" s="188" t="s">
        <v>5047</v>
      </c>
      <c r="C22" s="189">
        <v>46270</v>
      </c>
      <c r="D22" s="189"/>
      <c r="E22" s="190" t="s">
        <v>4972</v>
      </c>
      <c r="F22" s="188" t="s">
        <v>4442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72" t="e" vm="1">
        <v>#VALUE!</v>
      </c>
      <c r="D2" s="273"/>
      <c r="E2" s="276" t="s">
        <v>320</v>
      </c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7"/>
      <c r="U2" s="280" t="s">
        <v>246</v>
      </c>
      <c r="V2" s="270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74"/>
      <c r="D3" s="275"/>
      <c r="E3" s="278"/>
      <c r="F3" s="278"/>
      <c r="G3" s="278"/>
      <c r="H3" s="278"/>
      <c r="I3" s="278"/>
      <c r="J3" s="278"/>
      <c r="K3" s="278"/>
      <c r="L3" s="278"/>
      <c r="M3" s="278"/>
      <c r="N3" s="278"/>
      <c r="O3" s="278"/>
      <c r="P3" s="278"/>
      <c r="Q3" s="278"/>
      <c r="R3" s="278"/>
      <c r="S3" s="278"/>
      <c r="T3" s="279"/>
      <c r="U3" s="281"/>
      <c r="V3" s="271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40" t="s">
        <v>2070</v>
      </c>
      <c r="D6" s="243" t="s">
        <v>2069</v>
      </c>
      <c r="E6" s="246" t="s">
        <v>2071</v>
      </c>
      <c r="F6" s="249">
        <v>46183</v>
      </c>
      <c r="G6" s="261">
        <v>46220</v>
      </c>
      <c r="H6" s="264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58">
        <f>T9/T6</f>
        <v>0.88949747289203585</v>
      </c>
      <c r="V6" s="237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41"/>
      <c r="D7" s="244"/>
      <c r="E7" s="247"/>
      <c r="F7" s="250"/>
      <c r="G7" s="262"/>
      <c r="H7" s="265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59"/>
      <c r="V7" s="238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41"/>
      <c r="D8" s="244"/>
      <c r="E8" s="247"/>
      <c r="F8" s="250"/>
      <c r="G8" s="262"/>
      <c r="H8" s="265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59"/>
      <c r="V8" s="238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41"/>
      <c r="D9" s="244"/>
      <c r="E9" s="247"/>
      <c r="F9" s="250"/>
      <c r="G9" s="262"/>
      <c r="H9" s="265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59"/>
      <c r="V9" s="238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42"/>
      <c r="D10" s="245"/>
      <c r="E10" s="248"/>
      <c r="F10" s="251"/>
      <c r="G10" s="263"/>
      <c r="H10" s="266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60"/>
      <c r="V10" s="239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40" t="s">
        <v>2987</v>
      </c>
      <c r="D12" s="243" t="s">
        <v>2551</v>
      </c>
      <c r="E12" s="246" t="s">
        <v>2986</v>
      </c>
      <c r="F12" s="249">
        <v>46205</v>
      </c>
      <c r="G12" s="261"/>
      <c r="H12" s="267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58">
        <f>T15/T12</f>
        <v>0.76586952907929418</v>
      </c>
      <c r="V12" s="237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41"/>
      <c r="D13" s="244"/>
      <c r="E13" s="247"/>
      <c r="F13" s="250"/>
      <c r="G13" s="262"/>
      <c r="H13" s="268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59"/>
      <c r="V13" s="238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41"/>
      <c r="D14" s="244"/>
      <c r="E14" s="247"/>
      <c r="F14" s="250"/>
      <c r="G14" s="262"/>
      <c r="H14" s="268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59"/>
      <c r="V14" s="238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41"/>
      <c r="D15" s="244"/>
      <c r="E15" s="247"/>
      <c r="F15" s="250"/>
      <c r="G15" s="262"/>
      <c r="H15" s="268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59"/>
      <c r="V15" s="238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42"/>
      <c r="D16" s="245"/>
      <c r="E16" s="248"/>
      <c r="F16" s="251"/>
      <c r="G16" s="263"/>
      <c r="H16" s="269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60"/>
      <c r="V16" s="239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40" t="s">
        <v>2983</v>
      </c>
      <c r="D18" s="243" t="s">
        <v>2984</v>
      </c>
      <c r="E18" s="246" t="s">
        <v>2985</v>
      </c>
      <c r="F18" s="249">
        <v>46289</v>
      </c>
      <c r="G18" s="261"/>
      <c r="H18" s="255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33.438199999999995</v>
      </c>
      <c r="U18" s="258">
        <f>T21/T18</f>
        <v>0.66234725553408991</v>
      </c>
      <c r="V18" s="237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41"/>
      <c r="D19" s="244"/>
      <c r="E19" s="247"/>
      <c r="F19" s="250"/>
      <c r="G19" s="262"/>
      <c r="H19" s="256"/>
      <c r="I19" s="129" t="s">
        <v>3028</v>
      </c>
      <c r="J19" s="130">
        <f t="shared" ref="J19" si="17">J18-J20</f>
        <v>6.931899999999998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9.8668000000000013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31.590199999999996</v>
      </c>
      <c r="U19" s="259"/>
      <c r="V19" s="238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41"/>
      <c r="D20" s="244"/>
      <c r="E20" s="247"/>
      <c r="F20" s="250"/>
      <c r="G20" s="262"/>
      <c r="H20" s="256"/>
      <c r="I20" s="129" t="s">
        <v>3030</v>
      </c>
      <c r="J20" s="131">
        <f>SUMIF(PERFORMANCE!$N:$N,W18,PERFORMANCE!$Q:$Q)/1000</f>
        <v>1.1772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1.8479999999999999</v>
      </c>
      <c r="U20" s="259"/>
      <c r="V20" s="238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41"/>
      <c r="D21" s="244"/>
      <c r="E21" s="247"/>
      <c r="F21" s="250"/>
      <c r="G21" s="262"/>
      <c r="H21" s="256"/>
      <c r="I21" s="132" t="s">
        <v>315</v>
      </c>
      <c r="J21" s="131">
        <f>SUMIF(PERFORMANCE!$N:$N,MACRO!W18,PERFORMANCE!$R:$R)/1000</f>
        <v>3.0653000000000001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9.8668000000000013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22.1477</v>
      </c>
      <c r="U21" s="259"/>
      <c r="V21" s="238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42"/>
      <c r="D22" s="245"/>
      <c r="E22" s="248"/>
      <c r="F22" s="251"/>
      <c r="G22" s="263"/>
      <c r="H22" s="257"/>
      <c r="I22" s="133" t="s">
        <v>3029</v>
      </c>
      <c r="J22" s="134">
        <f t="shared" ref="J22:R22" si="28">J18-J21</f>
        <v>5.0437999999999974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11.290499999999994</v>
      </c>
      <c r="U22" s="260"/>
      <c r="V22" s="239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40" t="s">
        <v>3292</v>
      </c>
      <c r="D24" s="243" t="s">
        <v>3291</v>
      </c>
      <c r="E24" s="246" t="s">
        <v>3293</v>
      </c>
      <c r="F24" s="249">
        <v>46336</v>
      </c>
      <c r="G24" s="252"/>
      <c r="H24" s="255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58">
        <v>0</v>
      </c>
      <c r="V24" s="237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41"/>
      <c r="D25" s="244"/>
      <c r="E25" s="247"/>
      <c r="F25" s="250"/>
      <c r="G25" s="253"/>
      <c r="H25" s="256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59"/>
      <c r="V25" s="238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41"/>
      <c r="D26" s="244"/>
      <c r="E26" s="247"/>
      <c r="F26" s="250"/>
      <c r="G26" s="253"/>
      <c r="H26" s="256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59"/>
      <c r="V26" s="238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41"/>
      <c r="D27" s="244"/>
      <c r="E27" s="247"/>
      <c r="F27" s="250"/>
      <c r="G27" s="253"/>
      <c r="H27" s="256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59"/>
      <c r="V27" s="238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42"/>
      <c r="D28" s="245"/>
      <c r="E28" s="248"/>
      <c r="F28" s="251"/>
      <c r="G28" s="254"/>
      <c r="H28" s="257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60"/>
      <c r="V28" s="239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40" t="s">
        <v>2993</v>
      </c>
      <c r="D30" s="243" t="s">
        <v>2989</v>
      </c>
      <c r="E30" s="246" t="s">
        <v>2994</v>
      </c>
      <c r="F30" s="249">
        <v>46219</v>
      </c>
      <c r="G30" s="252"/>
      <c r="H30" s="264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58">
        <v>0</v>
      </c>
      <c r="V30" s="237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41"/>
      <c r="D31" s="244"/>
      <c r="E31" s="247"/>
      <c r="F31" s="250"/>
      <c r="G31" s="253"/>
      <c r="H31" s="265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59"/>
      <c r="V31" s="238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41"/>
      <c r="D32" s="244"/>
      <c r="E32" s="247"/>
      <c r="F32" s="250"/>
      <c r="G32" s="253"/>
      <c r="H32" s="265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59"/>
      <c r="V32" s="238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41"/>
      <c r="D33" s="244"/>
      <c r="E33" s="247"/>
      <c r="F33" s="250"/>
      <c r="G33" s="253"/>
      <c r="H33" s="265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59"/>
      <c r="V33" s="238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42"/>
      <c r="D34" s="245"/>
      <c r="E34" s="248"/>
      <c r="F34" s="251"/>
      <c r="G34" s="254"/>
      <c r="H34" s="266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60"/>
      <c r="V34" s="239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40" t="s">
        <v>2995</v>
      </c>
      <c r="D36" s="243" t="s">
        <v>2990</v>
      </c>
      <c r="E36" s="246" t="s">
        <v>2992</v>
      </c>
      <c r="F36" s="249">
        <v>46198</v>
      </c>
      <c r="G36" s="282"/>
      <c r="H36" s="267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58">
        <v>0</v>
      </c>
      <c r="V36" s="237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41"/>
      <c r="D37" s="244"/>
      <c r="E37" s="247"/>
      <c r="F37" s="250"/>
      <c r="G37" s="283"/>
      <c r="H37" s="268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59"/>
      <c r="V37" s="238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41"/>
      <c r="D38" s="244"/>
      <c r="E38" s="247"/>
      <c r="F38" s="250"/>
      <c r="G38" s="283"/>
      <c r="H38" s="268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59"/>
      <c r="V38" s="238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41"/>
      <c r="D39" s="244"/>
      <c r="E39" s="247"/>
      <c r="F39" s="250"/>
      <c r="G39" s="283"/>
      <c r="H39" s="268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59"/>
      <c r="V39" s="238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42"/>
      <c r="D40" s="245"/>
      <c r="E40" s="248"/>
      <c r="F40" s="251"/>
      <c r="G40" s="284"/>
      <c r="H40" s="269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60"/>
      <c r="V40" s="239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40" t="s">
        <v>3006</v>
      </c>
      <c r="D42" s="243" t="s">
        <v>3004</v>
      </c>
      <c r="E42" s="246" t="s">
        <v>3007</v>
      </c>
      <c r="F42" s="249">
        <v>46188</v>
      </c>
      <c r="G42" s="282">
        <v>46220</v>
      </c>
      <c r="H42" s="264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58">
        <v>0</v>
      </c>
      <c r="V42" s="237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41"/>
      <c r="D43" s="244"/>
      <c r="E43" s="247"/>
      <c r="F43" s="250"/>
      <c r="G43" s="283"/>
      <c r="H43" s="265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59"/>
      <c r="V43" s="238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41"/>
      <c r="D44" s="244"/>
      <c r="E44" s="247"/>
      <c r="F44" s="250"/>
      <c r="G44" s="283"/>
      <c r="H44" s="265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59"/>
      <c r="V44" s="238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41"/>
      <c r="D45" s="244"/>
      <c r="E45" s="247"/>
      <c r="F45" s="250"/>
      <c r="G45" s="283"/>
      <c r="H45" s="265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59"/>
      <c r="V45" s="238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42"/>
      <c r="D46" s="245"/>
      <c r="E46" s="248"/>
      <c r="F46" s="251"/>
      <c r="G46" s="284"/>
      <c r="H46" s="266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60"/>
      <c r="V46" s="239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40" t="s">
        <v>3009</v>
      </c>
      <c r="D48" s="243" t="s">
        <v>3005</v>
      </c>
      <c r="E48" s="246" t="s">
        <v>3008</v>
      </c>
      <c r="F48" s="249">
        <v>46202</v>
      </c>
      <c r="G48" s="282">
        <v>46233</v>
      </c>
      <c r="H48" s="264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58">
        <v>0</v>
      </c>
      <c r="V48" s="237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41"/>
      <c r="D49" s="244"/>
      <c r="E49" s="247"/>
      <c r="F49" s="250"/>
      <c r="G49" s="283"/>
      <c r="H49" s="265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59"/>
      <c r="V49" s="238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41"/>
      <c r="D50" s="244"/>
      <c r="E50" s="247"/>
      <c r="F50" s="250"/>
      <c r="G50" s="283"/>
      <c r="H50" s="265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59"/>
      <c r="V50" s="238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41"/>
      <c r="D51" s="244"/>
      <c r="E51" s="247"/>
      <c r="F51" s="250"/>
      <c r="G51" s="283"/>
      <c r="H51" s="265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59"/>
      <c r="V51" s="238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42"/>
      <c r="D52" s="245"/>
      <c r="E52" s="248"/>
      <c r="F52" s="251"/>
      <c r="G52" s="284"/>
      <c r="H52" s="266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60"/>
      <c r="V52" s="239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40" t="s">
        <v>3009</v>
      </c>
      <c r="D54" s="243" t="s">
        <v>3111</v>
      </c>
      <c r="E54" s="246" t="s">
        <v>3164</v>
      </c>
      <c r="F54" s="249">
        <v>46226</v>
      </c>
      <c r="G54" s="252"/>
      <c r="H54" s="264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58">
        <v>0</v>
      </c>
      <c r="V54" s="237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41"/>
      <c r="D55" s="244"/>
      <c r="E55" s="247"/>
      <c r="F55" s="250"/>
      <c r="G55" s="253"/>
      <c r="H55" s="265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59"/>
      <c r="V55" s="238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41"/>
      <c r="D56" s="244"/>
      <c r="E56" s="247"/>
      <c r="F56" s="250"/>
      <c r="G56" s="253"/>
      <c r="H56" s="265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59"/>
      <c r="V56" s="238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41"/>
      <c r="D57" s="244"/>
      <c r="E57" s="247"/>
      <c r="F57" s="250"/>
      <c r="G57" s="253"/>
      <c r="H57" s="265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59"/>
      <c r="V57" s="238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42"/>
      <c r="D58" s="245"/>
      <c r="E58" s="248"/>
      <c r="F58" s="251"/>
      <c r="G58" s="254"/>
      <c r="H58" s="266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60"/>
      <c r="V58" s="239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40" t="s">
        <v>3165</v>
      </c>
      <c r="D60" s="243" t="s">
        <v>3163</v>
      </c>
      <c r="E60" s="246" t="s">
        <v>3166</v>
      </c>
      <c r="F60" s="249">
        <v>46235</v>
      </c>
      <c r="G60" s="252"/>
      <c r="H60" s="255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58">
        <v>0</v>
      </c>
      <c r="V60" s="237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41"/>
      <c r="D61" s="244"/>
      <c r="E61" s="247"/>
      <c r="F61" s="250"/>
      <c r="G61" s="253"/>
      <c r="H61" s="256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59"/>
      <c r="V61" s="238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41"/>
      <c r="D62" s="244"/>
      <c r="E62" s="247"/>
      <c r="F62" s="250"/>
      <c r="G62" s="253"/>
      <c r="H62" s="256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59"/>
      <c r="V62" s="238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41"/>
      <c r="D63" s="244"/>
      <c r="E63" s="247"/>
      <c r="F63" s="250"/>
      <c r="G63" s="253"/>
      <c r="H63" s="256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59"/>
      <c r="V63" s="238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42"/>
      <c r="D64" s="245"/>
      <c r="E64" s="248"/>
      <c r="F64" s="251"/>
      <c r="G64" s="254"/>
      <c r="H64" s="257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60"/>
      <c r="V64" s="239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40" t="s">
        <v>4307</v>
      </c>
      <c r="D66" s="243" t="s">
        <v>4299</v>
      </c>
      <c r="E66" s="246" t="s">
        <v>4308</v>
      </c>
      <c r="F66" s="249">
        <v>46233</v>
      </c>
      <c r="G66" s="252"/>
      <c r="H66" s="255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58">
        <v>0</v>
      </c>
      <c r="V66" s="237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41"/>
      <c r="D67" s="244"/>
      <c r="E67" s="247"/>
      <c r="F67" s="250"/>
      <c r="G67" s="253"/>
      <c r="H67" s="256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59"/>
      <c r="V67" s="238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41"/>
      <c r="D68" s="244"/>
      <c r="E68" s="247"/>
      <c r="F68" s="250"/>
      <c r="G68" s="253"/>
      <c r="H68" s="256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59"/>
      <c r="V68" s="238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41"/>
      <c r="D69" s="244"/>
      <c r="E69" s="247"/>
      <c r="F69" s="250"/>
      <c r="G69" s="253"/>
      <c r="H69" s="256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59"/>
      <c r="V69" s="238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42"/>
      <c r="D70" s="245"/>
      <c r="E70" s="248"/>
      <c r="F70" s="251"/>
      <c r="G70" s="254"/>
      <c r="H70" s="257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60"/>
      <c r="V70" s="239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40" t="s">
        <v>3165</v>
      </c>
      <c r="D72" s="243" t="s">
        <v>4306</v>
      </c>
      <c r="E72" s="246" t="s">
        <v>4309</v>
      </c>
      <c r="F72" s="249">
        <v>46280</v>
      </c>
      <c r="G72" s="252"/>
      <c r="H72" s="255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58">
        <v>0</v>
      </c>
      <c r="V72" s="237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41"/>
      <c r="D73" s="244"/>
      <c r="E73" s="247"/>
      <c r="F73" s="250"/>
      <c r="G73" s="253"/>
      <c r="H73" s="256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59"/>
      <c r="V73" s="238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41"/>
      <c r="D74" s="244"/>
      <c r="E74" s="247"/>
      <c r="F74" s="250"/>
      <c r="G74" s="253"/>
      <c r="H74" s="256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59"/>
      <c r="V74" s="238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41"/>
      <c r="D75" s="244"/>
      <c r="E75" s="247"/>
      <c r="F75" s="250"/>
      <c r="G75" s="253"/>
      <c r="H75" s="256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59"/>
      <c r="V75" s="238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42"/>
      <c r="D76" s="245"/>
      <c r="E76" s="248"/>
      <c r="F76" s="251"/>
      <c r="G76" s="254"/>
      <c r="H76" s="257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60"/>
      <c r="V76" s="239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85" t="s">
        <v>326</v>
      </c>
      <c r="E79" s="287" t="s">
        <v>891</v>
      </c>
      <c r="F79" s="288"/>
      <c r="G79" s="288"/>
      <c r="H79" s="288"/>
      <c r="I79" s="288"/>
      <c r="J79" s="289"/>
      <c r="K79" s="290" t="s">
        <v>331</v>
      </c>
      <c r="L79" s="291"/>
      <c r="M79" s="291"/>
      <c r="N79" s="292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86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12.782800000000002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97.556899999999999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7.9078999999999979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10.004800000000003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33.991700000000002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17.277200000000001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63.565199999999997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16.941300000000002</v>
      </c>
      <c r="F86" s="98">
        <f t="shared" si="235"/>
        <v>0</v>
      </c>
      <c r="G86" s="98">
        <f t="shared" si="235"/>
        <v>3.3136999999999999</v>
      </c>
      <c r="H86" s="98">
        <f t="shared" si="235"/>
        <v>12.960799999999999</v>
      </c>
      <c r="I86" s="98">
        <f t="shared" si="235"/>
        <v>11.876800000000001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77.262600000000006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7.8437999999999972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6.5799999999999415E-2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19.787699999999994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138"/>
  <sheetViews>
    <sheetView topLeftCell="C1" zoomScaleNormal="100" workbookViewId="0">
      <pane ySplit="1" topLeftCell="A5125" activePane="bottomLeft" state="frozen"/>
      <selection pane="bottomLeft" activeCell="F5137" sqref="F5137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4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4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4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4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4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4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4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4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4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4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4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4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4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4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4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4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4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4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4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4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4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4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4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4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4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3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3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3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3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3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3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4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3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4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3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4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3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3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3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3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3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3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3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3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3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3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3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3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3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3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3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3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3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3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3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3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3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3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3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3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3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3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3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3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3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3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3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3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3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3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3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3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3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3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3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3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3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3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3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3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3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3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3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3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3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3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3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3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3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3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3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3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3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3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3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3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3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3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3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3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3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3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3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3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3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3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3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3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3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3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3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3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3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3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3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3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3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3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3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3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3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3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3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3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3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3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3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3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3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3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3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3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3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3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3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3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3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3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3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3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3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3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3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3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3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3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3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3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3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3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3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3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3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3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3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3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3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3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3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3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3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3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3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3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3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3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3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3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3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3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3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4969</v>
      </c>
      <c r="J5115" s="1">
        <v>41</v>
      </c>
      <c r="K5115" s="1">
        <v>164</v>
      </c>
      <c r="L5115" s="42">
        <v>1</v>
      </c>
      <c r="M5115" s="223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4969</v>
      </c>
      <c r="J5116" s="1">
        <v>2.5</v>
      </c>
      <c r="K5116" s="1">
        <v>10</v>
      </c>
      <c r="L5116" s="42">
        <v>1</v>
      </c>
      <c r="M5116" s="223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4969</v>
      </c>
      <c r="J5117" s="1">
        <v>1.8</v>
      </c>
      <c r="K5117" s="1">
        <v>7.2</v>
      </c>
      <c r="L5117" s="42">
        <v>1</v>
      </c>
      <c r="M5117" s="223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4969</v>
      </c>
      <c r="J5118" s="1">
        <v>16</v>
      </c>
      <c r="K5118" s="1">
        <v>480</v>
      </c>
      <c r="L5118" s="42">
        <v>1</v>
      </c>
      <c r="M5118" s="223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4969</v>
      </c>
      <c r="J5119" s="1">
        <v>16</v>
      </c>
      <c r="K5119" s="1">
        <v>192</v>
      </c>
      <c r="L5119" s="42">
        <v>1</v>
      </c>
      <c r="M5119" s="223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4974</v>
      </c>
      <c r="J5120" s="1">
        <v>11.5</v>
      </c>
      <c r="K5120" s="1">
        <v>345</v>
      </c>
      <c r="L5120" s="42">
        <v>1</v>
      </c>
      <c r="M5120" s="223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5030</v>
      </c>
      <c r="J5121" s="1">
        <v>4.0999999999999996</v>
      </c>
      <c r="K5121" s="1">
        <v>122.99999999999999</v>
      </c>
      <c r="L5121" s="42">
        <v>1</v>
      </c>
      <c r="M5121" s="223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3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3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3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3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3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3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3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3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5031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3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3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3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3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3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3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5048</v>
      </c>
      <c r="J5136" s="1">
        <v>19.8</v>
      </c>
      <c r="K5136" s="1">
        <v>99</v>
      </c>
      <c r="L5136" s="42">
        <v>1</v>
      </c>
      <c r="M5136" s="223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5049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3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5050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3">
        <v>46247</v>
      </c>
      <c r="N5138" s="1" t="str">
        <f>VLOOKUP(B5138,MICRO!E:L,8,0)</f>
        <v>P-198</v>
      </c>
    </row>
  </sheetData>
  <autoFilter ref="A1:O5121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5138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4646.3919999999998</v>
      </c>
      <c r="I357" s="113">
        <f>SUMIF(MICRO!AP:AP,O:O,MICRO!T:T)</f>
        <v>-2426.3000000000002</v>
      </c>
      <c r="J357" s="114">
        <f t="shared" si="130"/>
        <v>0.7227913633252443</v>
      </c>
      <c r="K357" s="113">
        <f>SUMIF(MICRO!AP:AP,O:O,MICRO!X:X)</f>
        <v>2819.3</v>
      </c>
      <c r="L357" s="114">
        <f t="shared" si="131"/>
        <v>0.43856947296372362</v>
      </c>
      <c r="M357" s="113">
        <f t="shared" si="132"/>
        <v>3609.0999999999985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1177.2</v>
      </c>
      <c r="R357">
        <f>SUMIF(MICRO!AP:AP,O:O,MICRO!AU:AU)</f>
        <v>2824.9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1212.6692499999999</v>
      </c>
      <c r="I359" s="113">
        <f>SUMIF(MICRO!AP:AP,O:O,MICRO!T:T)</f>
        <v>-1440.3000000000002</v>
      </c>
      <c r="J359" s="114">
        <f t="shared" si="130"/>
        <v>0.72152629856607364</v>
      </c>
      <c r="K359" s="113">
        <f>SUMIF(MICRO!AP:AP,O:O,MICRO!X:X)</f>
        <v>240.4</v>
      </c>
      <c r="L359" s="114">
        <f t="shared" si="131"/>
        <v>0.14303563991194146</v>
      </c>
      <c r="M359" s="113">
        <f t="shared" si="132"/>
        <v>1440.3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240.4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1.0197925587591588</v>
      </c>
      <c r="M365" s="113">
        <f t="shared" si="137"/>
        <v>-41.599999999999909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2101.8000000000002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2026-08-17T12:32:51Z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