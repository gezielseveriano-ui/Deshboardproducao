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2399" documentId="8_{FDD42E6F-94E1-48F3-8613-54A91AB43A68}" xr6:coauthVersionLast="47" xr6:coauthVersionMax="47" xr10:uidLastSave="{36B3E147-887E-4A65-AD01-6295AEDD29F5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EMBARQUE'!$A$1:$O$5114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8" i="1" l="1"/>
  <c r="Q838" i="1"/>
  <c r="R838" i="1"/>
  <c r="S838" i="1"/>
  <c r="T838" i="1" s="1"/>
  <c r="U838" i="1"/>
  <c r="V838" i="1"/>
  <c r="W838" i="1"/>
  <c r="H839" i="1"/>
  <c r="Q839" i="1"/>
  <c r="U839" i="1"/>
  <c r="V839" i="1"/>
  <c r="W839" i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W837" i="1"/>
  <c r="V837" i="1"/>
  <c r="U837" i="1"/>
  <c r="Y837" i="1" s="1"/>
  <c r="Q837" i="1"/>
  <c r="H837" i="1"/>
  <c r="W836" i="1"/>
  <c r="V836" i="1"/>
  <c r="U836" i="1"/>
  <c r="Y836" i="1" s="1"/>
  <c r="Q836" i="1"/>
  <c r="H836" i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R834" i="1" s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Y831" i="1" s="1"/>
  <c r="Q831" i="1"/>
  <c r="H831" i="1"/>
  <c r="S831" i="1" s="1"/>
  <c r="T831" i="1" s="1"/>
  <c r="W830" i="1"/>
  <c r="V830" i="1"/>
  <c r="U830" i="1"/>
  <c r="Y830" i="1" s="1"/>
  <c r="Q830" i="1"/>
  <c r="H830" i="1"/>
  <c r="W829" i="1"/>
  <c r="V829" i="1"/>
  <c r="U829" i="1"/>
  <c r="X829" i="1" s="1"/>
  <c r="Q829" i="1"/>
  <c r="H829" i="1"/>
  <c r="R829" i="1" s="1"/>
  <c r="H828" i="1"/>
  <c r="W828" i="1"/>
  <c r="V828" i="1"/>
  <c r="U828" i="1"/>
  <c r="X828" i="1" s="1"/>
  <c r="Q828" i="1"/>
  <c r="W827" i="1"/>
  <c r="V827" i="1"/>
  <c r="U827" i="1"/>
  <c r="Y827" i="1" s="1"/>
  <c r="Q827" i="1"/>
  <c r="H827" i="1"/>
  <c r="W826" i="1"/>
  <c r="V826" i="1"/>
  <c r="U826" i="1"/>
  <c r="Y826" i="1" s="1"/>
  <c r="Q826" i="1"/>
  <c r="H826" i="1"/>
  <c r="W825" i="1"/>
  <c r="V825" i="1"/>
  <c r="U825" i="1"/>
  <c r="Y825" i="1" s="1"/>
  <c r="Q825" i="1"/>
  <c r="H825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X838" i="1" l="1"/>
  <c r="Z838" i="1" s="1"/>
  <c r="Y838" i="1"/>
  <c r="R839" i="1"/>
  <c r="S839" i="1"/>
  <c r="T839" i="1" s="1"/>
  <c r="X839" i="1"/>
  <c r="Z839" i="1" s="1"/>
  <c r="Y839" i="1"/>
  <c r="R837" i="1"/>
  <c r="S837" i="1"/>
  <c r="T837" i="1" s="1"/>
  <c r="X837" i="1"/>
  <c r="Z837" i="1" s="1"/>
  <c r="R836" i="1"/>
  <c r="S836" i="1"/>
  <c r="T836" i="1" s="1"/>
  <c r="X836" i="1"/>
  <c r="Z836" i="1" s="1"/>
  <c r="R835" i="1"/>
  <c r="X835" i="1"/>
  <c r="Z835" i="1" s="1"/>
  <c r="S834" i="1"/>
  <c r="T834" i="1" s="1"/>
  <c r="R833" i="1"/>
  <c r="X834" i="1"/>
  <c r="Z834" i="1" s="1"/>
  <c r="X833" i="1"/>
  <c r="Z833" i="1" s="1"/>
  <c r="S829" i="1"/>
  <c r="T829" i="1" s="1"/>
  <c r="Z829" i="1"/>
  <c r="R832" i="1"/>
  <c r="S832" i="1"/>
  <c r="T832" i="1" s="1"/>
  <c r="X832" i="1"/>
  <c r="Z832" i="1" s="1"/>
  <c r="Z828" i="1"/>
  <c r="X831" i="1"/>
  <c r="Z831" i="1" s="1"/>
  <c r="R831" i="1"/>
  <c r="R830" i="1"/>
  <c r="S830" i="1"/>
  <c r="T830" i="1" s="1"/>
  <c r="X830" i="1"/>
  <c r="Z830" i="1" s="1"/>
  <c r="Y829" i="1"/>
  <c r="R828" i="1"/>
  <c r="S828" i="1"/>
  <c r="T828" i="1" s="1"/>
  <c r="Y828" i="1"/>
  <c r="R827" i="1"/>
  <c r="S827" i="1"/>
  <c r="T827" i="1" s="1"/>
  <c r="X827" i="1"/>
  <c r="Z827" i="1" s="1"/>
  <c r="R826" i="1"/>
  <c r="S826" i="1"/>
  <c r="T826" i="1" s="1"/>
  <c r="X826" i="1"/>
  <c r="Z826" i="1" s="1"/>
  <c r="R825" i="1"/>
  <c r="S825" i="1"/>
  <c r="T825" i="1" s="1"/>
  <c r="X825" i="1"/>
  <c r="Z825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S443" i="1" s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R447" i="1" l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T443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AT128" i="1" s="1"/>
  <c r="AV128" i="1"/>
  <c r="AS128" i="1" s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S131" i="1" s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R128" i="1" l="1"/>
  <c r="Z128" i="1"/>
  <c r="AI128" i="1" s="1"/>
  <c r="T128" i="1"/>
  <c r="T129" i="1"/>
  <c r="R129" i="1"/>
  <c r="Z129" i="1"/>
  <c r="AI129" i="1" s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U81" i="1"/>
  <c r="AR81" i="1"/>
  <c r="AQ81" i="1"/>
  <c r="AP81" i="1"/>
  <c r="AO81" i="1"/>
  <c r="W81" i="1" s="1"/>
  <c r="AK81" i="1"/>
  <c r="H81" i="1"/>
  <c r="AU80" i="1"/>
  <c r="AR80" i="1"/>
  <c r="AQ80" i="1"/>
  <c r="AP80" i="1"/>
  <c r="AO80" i="1"/>
  <c r="W80" i="1" s="1"/>
  <c r="AK80" i="1"/>
  <c r="H80" i="1"/>
  <c r="S80" i="1" s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V55" i="1"/>
  <c r="AS55" i="1" s="1"/>
  <c r="AU55" i="1"/>
  <c r="AT55" i="1" s="1"/>
  <c r="AR55" i="1"/>
  <c r="AQ55" i="1"/>
  <c r="AP55" i="1"/>
  <c r="AO55" i="1"/>
  <c r="W55" i="1" s="1"/>
  <c r="AK55" i="1"/>
  <c r="H55" i="1"/>
  <c r="S55" i="1" s="1"/>
  <c r="AV54" i="1"/>
  <c r="AU54" i="1"/>
  <c r="AT54" i="1" s="1"/>
  <c r="AR54" i="1"/>
  <c r="AQ54" i="1"/>
  <c r="AP54" i="1"/>
  <c r="AO54" i="1"/>
  <c r="W54" i="1" s="1"/>
  <c r="AK54" i="1"/>
  <c r="H54" i="1"/>
  <c r="S54" i="1" s="1"/>
  <c r="AV53" i="1"/>
  <c r="AU53" i="1"/>
  <c r="AT53" i="1" s="1"/>
  <c r="AR53" i="1"/>
  <c r="AQ53" i="1"/>
  <c r="AP53" i="1"/>
  <c r="AO53" i="1"/>
  <c r="W53" i="1" s="1"/>
  <c r="AK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S35" i="1" s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4" i="1" l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T80" i="1"/>
  <c r="T80" i="1"/>
  <c r="AV80" i="1"/>
  <c r="AS80" i="1" s="1"/>
  <c r="AT35" i="1"/>
  <c r="T35" i="1"/>
  <c r="AV35" i="1"/>
  <c r="AS35" i="1" s="1"/>
  <c r="AT81" i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T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T91" i="1"/>
  <c r="R90" i="1"/>
  <c r="T90" i="1"/>
  <c r="Z90" i="1"/>
  <c r="AI90" i="1" s="1"/>
  <c r="T89" i="1"/>
  <c r="Z89" i="1"/>
  <c r="AI89" i="1" s="1"/>
  <c r="R89" i="1"/>
  <c r="R88" i="1"/>
  <c r="T88" i="1"/>
  <c r="Z88" i="1"/>
  <c r="AI88" i="1" s="1"/>
  <c r="R87" i="1"/>
  <c r="Z87" i="1"/>
  <c r="AI87" i="1" s="1"/>
  <c r="T87" i="1"/>
  <c r="Z86" i="1"/>
  <c r="AI86" i="1" s="1"/>
  <c r="R86" i="1"/>
  <c r="T86" i="1"/>
  <c r="Z85" i="1"/>
  <c r="AI85" i="1" s="1"/>
  <c r="T85" i="1"/>
  <c r="R85" i="1"/>
  <c r="Z84" i="1"/>
  <c r="AI84" i="1" s="1"/>
  <c r="R84" i="1"/>
  <c r="T84" i="1"/>
  <c r="Z83" i="1"/>
  <c r="AI83" i="1" s="1"/>
  <c r="T83" i="1"/>
  <c r="R83" i="1"/>
  <c r="R82" i="1"/>
  <c r="Z82" i="1"/>
  <c r="AI82" i="1" s="1"/>
  <c r="T82" i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T53" i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85" i="1"/>
  <c r="AT50" i="1"/>
  <c r="AV64" i="1"/>
  <c r="AS64" i="1" s="1"/>
  <c r="AV50" i="1"/>
  <c r="AS50" i="1" s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<sst xmlns="http://schemas.openxmlformats.org/spreadsheetml/2006/main" count="29698" uniqueCount="4983">
  <si>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</si>
  <si>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</si>
  <si>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</si>
  <si>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</si>
  <si>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</si>
  <si>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</si>
  <si>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</si>
  <si>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</si>
  <si>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</si>
  <si>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</si>
  <si>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</si>
  <si>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</si>
  <si>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</si>
  <si>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</si>
  <si>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</si>
  <si>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</si>
  <si>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</si>
  <si>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</si>
  <si>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</si>
  <si>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</si>
  <si>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</si>
  <si>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</si>
  <si>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</si>
  <si>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</si>
  <si>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</si>
  <si>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</si>
  <si>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</si>
  <si>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</si>
  <si>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</si>
  <si>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</si>
  <si>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</si>
  <si>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</si>
  <si>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</si>
  <si>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</si>
  <si>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</si>
  <si>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</si>
  <si>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</si>
  <si>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</si>
  <si>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</si>
  <si>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</si>
  <si>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</si>
  <si>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</si>
  <si>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</si>
  <si>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</si>
  <si>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</si>
  <si>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</si>
  <si>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</si>
  <si>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</si>
  <si>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</si>
  <si>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</si>
  <si>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</si>
  <si>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</si>
  <si>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</si>
  <si>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</si>
  <si>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</si>
  <si>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</si>
  <si>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</si>
  <si>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</si>
  <si>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</si>
  <si>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</si>
  <si>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</si>
  <si>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</si>
  <si>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</si>
  <si>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</si>
  <si>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</si>
  <si>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</si>
  <si>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</si>
  <si>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</si>
  <si>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</si>
  <si>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</si>
  <si>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</si>
  <si>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</si>
  <si>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</si>
  <si>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</si>
  <si>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</si>
  <si>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</si>
  <si>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</si>
  <si>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</si>
  <si>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</si>
  <si>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</si>
  <si>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</si>
  <si>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</si>
  <si>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</si>
  <si>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</si>
  <si>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</si>
  <si>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</si>
  <si>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</si>
  <si>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</si>
  <si>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</si>
  <si>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</si>
  <si>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</si>
  <si>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</si>
  <si>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</si>
  <si>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</si>
  <si>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</si>
  <si>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</si>
  <si>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</si>
  <si>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</si>
  <si>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</si>
  <si>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</si>
  <si>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</si>
  <si>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</si>
  <si>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</si>
  <si>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</si>
  <si>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</si>
  <si>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</si>
  <si>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</si>
  <si>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</si>
  <si>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</si>
  <si>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</si>
  <si>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</si>
  <si>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</si>
  <si>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</si>
  <si>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</si>
  <si>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</si>
  <si>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</si>
  <si>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</si>
  <si>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</si>
  <si>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</si>
  <si>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</si>
  <si>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</si>
  <si>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</si>
  <si>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</si>
  <si>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</si>
  <si>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</si>
  <si>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</si>
  <si>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</si>
  <si>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</si>
  <si>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</si>
  <si>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</si>
  <si>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</si>
  <si>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</si>
  <si>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</si>
  <si>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</si>
  <si>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</si>
  <si>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</si>
  <si>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</si>
  <si>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</si>
  <si>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</si>
  <si>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</si>
  <si>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</si>
  <si>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</si>
  <si>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</si>
  <si>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</si>
  <si>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</si>
  <si>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</si>
  <si>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</si>
  <si>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</si>
  <si>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</si>
  <si>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</si>
  <si>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</si>
  <si>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</si>
  <si>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</si>
  <si>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</si>
  <si>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</si>
  <si>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</si>
  <si>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</si>
  <si>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</si>
  <si>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</si>
  <si>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</si>
  <si>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</si>
  <si>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</si>
  <si>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</si>
  <si>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</si>
  <si>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</si>
  <si>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</si>
  <si>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</si>
  <si>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</si>
  <si>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</si>
  <si>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</si>
  <si>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</si>
  <si>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</si>
  <si>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</si>
  <si>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</si>
  <si>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</si>
  <si>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</si>
  <si>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</si>
  <si>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</si>
  <si>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</si>
  <si>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</si>
  <si>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</si>
  <si>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</si>
  <si>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</si>
  <si>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</si>
  <si>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</si>
  <si>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</si>
  <si>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</si>
  <si>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</si>
  <si>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</si>
  <si>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</si>
  <si>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</si>
  <si>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</si>
  <si>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</si>
  <si>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</si>
  <si>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</si>
  <si>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</si>
  <si>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</si>
  <si>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</si>
  <si>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</si>
  <si>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</si>
  <si>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</si>
  <si>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</si>
  <si>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</si>
  <si>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</si>
  <si>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</si>
  <si>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</si>
  <si>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</si>
  <si>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</si>
  <si>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</si>
  <si>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</si>
  <si>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</si>
  <si>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</si>
  <si>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</si>
  <si>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</si>
  <si>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</si>
  <si>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</si>
  <si>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</si>
  <si>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</si>
  <si>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</si>
  <si>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</si>
  <si>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</si>
  <si>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</si>
  <si>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</si>
  <si>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</si>
  <si>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</si>
  <si>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</si>
  <si>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</si>
  <si>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</si>
  <si>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</si>
  <si>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</si>
  <si>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</si>
  <si>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</si>
  <si>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</si>
  <si>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</si>
  <si>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</si>
  <si>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</si>
  <si>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</si>
  <si>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</si>
  <si>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</si>
  <si>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</si>
  <si>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</si>
  <si>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</si>
  <si>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</si>
  <si>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</si>
  <si>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</si>
  <si>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</si>
  <si>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</si>
  <si>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</si>
  <si>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</si>
  <si>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</si>
  <si>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</si>
  <si>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</si>
  <si>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</si>
  <si>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</si>
  <si>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</si>
  <si>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</si>
  <si>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</si>
  <si>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</si>
  <si>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</si>
  <si>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</si>
  <si>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</si>
  <si>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</si>
  <si>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</si>
  <si>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</si>
  <si>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</si>
  <si>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</si>
  <si>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</si>
  <si>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</si>
  <si>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</si>
  <si>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</si>
  <si>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</si>
  <si>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</si>
  <si>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</si>
  <si>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</si>
  <si>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</si>
  <si>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</si>
  <si>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</si>
  <si>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</si>
  <si>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</si>
  <si>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</si>
  <si>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</si>
  <si>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</si>
  <si>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</si>
  <si>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</si>
  <si>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</si>
  <si>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</si>
  <si>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</si>
  <si>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</si>
  <si>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</si>
  <si>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</si>
  <si>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</si>
  <si>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</si>
  <si>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</si>
  <si>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</si>
  <si>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</si>
  <si>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</si>
  <si>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</si>
  <si>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</si>
  <si>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</si>
  <si>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</si>
  <si>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</si>
  <si>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</si>
  <si>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</si>
  <si>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</si>
  <si>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</si>
  <si>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</si>
  <si>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</si>
  <si>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</si>
  <si>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</si>
  <si>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</si>
  <si>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</si>
  <si>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</si>
  <si>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</si>
  <si>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</si>
  <si>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</si>
  <si>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</si>
  <si>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</si>
  <si>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</si>
  <si>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</si>
  <si>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</si>
  <si>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</si>
  <si>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</si>
  <si>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</si>
  <si>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</si>
  <si>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</si>
  <si>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</si>
  <si>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</si>
  <si>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</si>
  <si>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</si>
  <si>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</si>
  <si>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</si>
  <si>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</si>
  <si>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</si>
  <si>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</si>
  <si>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</si>
  <si>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</si>
  <si>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</si>
  <si>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</si>
  <si>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</si>
  <si>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</si>
  <si>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</si>
  <si>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</si>
  <si>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</si>
  <si>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</si>
  <si>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</si>
  <si>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</si>
  <si>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</si>
  <si>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</si>
  <si>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</si>
  <si>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</si>
  <si>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</si>
  <si>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</si>
  <si>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</si>
  <si>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</si>
  <si>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</si>
  <si>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</si>
  <si>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</si>
  <si>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</si>
  <si>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</si>
  <si>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</si>
  <si>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</si>
  <si>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</si>
  <si>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</si>
  <si>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</si>
  <si>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</si>
  <si>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</si>
  <si>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</si>
  <si>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</si>
  <si>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</si>
  <si>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</si>
  <si>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</si>
  <si>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</si>
  <si>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</si>
  <si>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</si>
  <si>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</si>
  <si>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</si>
  <si>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</si>
  <si>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</si>
  <si>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</si>
  <si>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</si>
  <si>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</si>
  <si>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</si>
  <si>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</si>
  <si>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</si>
  <si>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</si>
  <si>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</si>
  <si>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</si>
  <si>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</si>
  <si>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</si>
  <si>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</si>
  <si>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</si>
  <si>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</si>
  <si>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</si>
  <si>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</si>
  <si>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</si>
  <si>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</si>
  <si>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</si>
  <si>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</si>
  <si>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</si>
  <si>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</si>
  <si>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</si>
  <si>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</si>
  <si>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</si>
  <si>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</si>
  <si>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</si>
  <si>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</si>
  <si>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</si>
  <si>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</si>
  <si>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</si>
  <si>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</si>
  <si>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</si>
  <si>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</si>
  <si>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</si>
  <si>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</si>
  <si>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</si>
  <si>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</si>
  <si>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</si>
  <si>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</si>
  <si>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</si>
  <si>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</si>
  <si>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</si>
  <si>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</si>
  <si>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</si>
  <si>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</si>
  <si>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</si>
  <si>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</si>
  <si>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</si>
  <si>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</si>
  <si>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</si>
  <si>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</si>
  <si>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</si>
  <si>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</si>
  <si>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</si>
  <si>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</si>
  <si>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</si>
  <si>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</si>
  <si>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</si>
  <si>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</si>
  <si>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</si>
  <si>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</si>
  <si>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</si>
  <si>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</si>
  <si>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</si>
  <si>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</si>
  <si>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</si>
  <si>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</si>
  <si>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</si>
  <si>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</si>
  <si>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</si>
  <si>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</si>
  <si>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</si>
  <si>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</si>
  <si>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</si>
  <si>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</si>
  <si>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</si>
  <si>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</si>
  <si>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</si>
  <si>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</si>
  <si>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</si>
  <si>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</si>
  <si>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</si>
  <si>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</si>
  <si>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</si>
  <si>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</si>
  <si>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</si>
  <si>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</si>
  <si>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</si>
  <si>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</si>
  <si>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</si>
  <si>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</si>
  <si>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</si>
  <si>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</si>
  <si>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</si>
  <si>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</si>
  <si>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</si>
  <si>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</si>
  <si>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</si>
  <si>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</si>
  <si>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</si>
  <si>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</si>
  <si>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</si>
  <si>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</si>
  <si>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</si>
  <si>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</si>
  <si>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</si>
  <si>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</si>
  <si>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</si>
  <si>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</si>
  <si>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</si>
  <si>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</si>
  <si>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</si>
  <si>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</si>
  <si>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</si>
  <si>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</si>
  <si>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</si>
  <si>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</si>
  <si>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</si>
  <si>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</si>
  <si>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</si>
  <si>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</si>
  <si>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</si>
  <si>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</si>
  <si>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</si>
  <si>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</si>
  <si>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</si>
  <si>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</si>
  <si>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</si>
  <si>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</si>
  <si>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</si>
  <si>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</si>
  <si>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</si>
  <si>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</si>
  <si>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</si>
  <si>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</si>
  <si>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</si>
  <si>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</si>
  <si>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</si>
  <si>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</si>
  <si>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</si>
  <si>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</si>
  <si>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</si>
  <si>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</si>
  <si>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</si>
  <si>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</si>
  <si>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</si>
  <si>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</si>
  <si>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</si>
  <si>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</si>
  <si>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</si>
  <si>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</si>
  <si>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</si>
  <si>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</si>
  <si>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</si>
  <si>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</si>
  <si>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</si>
  <si>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</si>
  <si>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</si>
  <si>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</si>
  <si>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</si>
  <si>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</si>
  <si>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</si>
  <si>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</si>
  <si>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</si>
  <si>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</si>
  <si>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</si>
  <si>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</si>
  <si>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</si>
  <si>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</si>
  <si>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</si>
  <si>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</si>
  <si>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</si>
  <si>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</si>
  <si>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</si>
  <si>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</si>
  <si>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</si>
  <si>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</si>
  <si>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</si>
  <si>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</si>
  <si>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</si>
  <si>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</si>
  <si>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</si>
  <si>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</si>
  <si>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</si>
  <si>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</si>
  <si>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</si>
  <si>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</si>
  <si>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</si>
  <si>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</si>
  <si>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</si>
  <si>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</si>
  <si>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</si>
  <si>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</si>
  <si>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</si>
  <si>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</si>
  <si>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</si>
  <si>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</si>
  <si>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</si>
  <si>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</si>
  <si>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</si>
  <si>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</si>
  <si>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</si>
  <si>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</si>
  <si>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</si>
  <si>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</si>
  <si>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</si>
  <si>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</si>
  <si>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</si>
  <si>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</si>
  <si>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</si>
  <si>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</si>
  <si>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</si>
  <si>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</si>
  <si>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</si>
  <si>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</si>
  <si>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</si>
  <si>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</si>
  <si>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</si>
  <si>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</si>
  <si>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</si>
  <si>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</si>
  <si>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</si>
  <si>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</si>
  <si>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</si>
  <si>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</si>
  <si>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</si>
  <si>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</si>
  <si>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</si>
  <si>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</si>
  <si>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</si>
  <si>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</si>
  <si>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</si>
  <si>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</si>
  <si>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</si>
  <si>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</si>
  <si>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</si>
  <si>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</si>
  <si>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</si>
  <si>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</si>
  <si>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</si>
  <si>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</si>
  <si>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</si>
  <si>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</si>
  <si>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</si>
  <si>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</si>
  <si>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</si>
  <si>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</si>
  <si>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</si>
  <si>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</si>
  <si>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</si>
  <si>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</si>
  <si>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</si>
  <si>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</si>
  <si>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</si>
  <si>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</si>
  <si>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</si>
  <si>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</si>
  <si>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</si>
  <si>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</si>
  <si>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</si>
  <si>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</si>
  <si>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</si>
  <si>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</si>
  <si>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</si>
  <si>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</si>
  <si>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</si>
  <si>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</si>
  <si>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</si>
  <si>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</si>
  <si>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</si>
  <si>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</si>
  <si>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</si>
  <si>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</si>
  <si>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</si>
  <si>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</si>
  <si>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</si>
  <si>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</si>
  <si>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</si>
  <si>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</si>
  <si>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</si>
  <si>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</si>
  <si>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</si>
  <si>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</si>
  <si>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</si>
  <si>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</si>
  <si>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</si>
  <si>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</si>
  <si>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</si>
  <si>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</si>
  <si>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</si>
  <si>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</si>
  <si>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</si>
  <si>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</si>
  <si>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</si>
  <si>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</si>
  <si>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</si>
  <si>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</si>
  <si>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</si>
  <si>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</si>
  <si>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</si>
  <si>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</si>
  <si>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</si>
  <si>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</si>
  <si>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</si>
  <si>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</si>
  <si>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</si>
  <si>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</si>
  <si>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</si>
  <si>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</si>
  <si>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</si>
  <si>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</si>
  <si>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</si>
  <si>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</si>
  <si>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</si>
  <si>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</si>
  <si>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</si>
  <si>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</si>
  <si>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</si>
  <si>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</si>
  <si>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</si>
  <si>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</si>
  <si>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</si>
  <si>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</si>
  <si>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</si>
  <si>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</si>
  <si>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</si>
  <si>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</si>
  <si>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</si>
  <si>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</si>
  <si>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</si>
  <si>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</si>
  <si>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</si>
  <si>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</si>
  <si>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</si>
  <si>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</si>
  <si>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</si>
  <si>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</si>
  <si>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</si>
  <si>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</si>
  <si>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</si>
  <si>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</si>
  <si>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</si>
  <si>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</si>
  <si>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</si>
  <si>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</si>
  <si>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</si>
  <si>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</si>
  <si>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</si>
  <si>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</si>
  <si>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</si>
  <si>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</si>
  <si>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</si>
  <si>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</si>
  <si>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</si>
  <si>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</si>
  <si>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</si>
  <si>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</si>
  <si>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</si>
  <si>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</si>
  <si>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</si>
  <si>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</si>
  <si>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</si>
  <si>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</si>
  <si>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</si>
  <si>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</si>
  <si>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</si>
  <si>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</si>
  <si>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</si>
  <si>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</si>
  <si>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</si>
  <si>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</si>
  <si>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</si>
  <si>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</si>
  <si>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</si>
  <si>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</si>
  <si>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</si>
  <si>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</si>
  <si>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</si>
  <si>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</si>
  <si>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</si>
  <si>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</si>
  <si>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</si>
  <si>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</si>
  <si>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</si>
  <si>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</si>
  <si>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</si>
  <si>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</si>
  <si>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</si>
  <si>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</si>
  <si>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</si>
  <si>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</si>
  <si>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</si>
  <si>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</si>
  <si>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</si>
  <si>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</si>
  <si>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</si>
  <si>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</si>
  <si>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</si>
  <si>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</si>
  <si>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</si>
  <si>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</si>
  <si>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</si>
  <si>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</si>
  <si>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</si>
  <si>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</si>
  <si>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</si>
  <si>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</si>
  <si>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</si>
  <si>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</si>
  <si>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</si>
  <si>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</si>
  <si>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</si>
  <si>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</si>
  <si>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</si>
  <si>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</si>
  <si>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</si>
  <si>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</si>
  <si>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</si>
  <si>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</si>
  <si>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</si>
  <si>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</si>
  <si>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</si>
  <si>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</si>
  <si>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</si>
  <si>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</si>
  <si>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</si>
  <si>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</si>
  <si>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</si>
  <si>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</si>
  <si>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</si>
  <si>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</si>
  <si>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</si>
  <si>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</si>
  <si>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</si>
  <si>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</si>
  <si>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</si>
  <si>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</si>
  <si>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</si>
  <si>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</si>
  <si>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</si>
  <si>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</si>
  <si>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</si>
  <si>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</si>
  <si>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</si>
  <si>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</si>
  <si>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</si>
  <si>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</si>
  <si>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</si>
  <si>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</si>
  <si>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</si>
  <si>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</si>
  <si>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</si>
  <si>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</si>
  <si>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</si>
  <si>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</si>
  <si>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</si>
  <si>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</si>
  <si>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</si>
  <si>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</si>
  <si>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</si>
  <si>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</si>
  <si>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</si>
  <si>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</si>
  <si>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</si>
  <si>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</si>
  <si>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</si>
  <si>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</si>
  <si>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</si>
  <si>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</si>
  <si>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</si>
  <si>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</si>
  <si>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</si>
  <si>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</si>
  <si>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</si>
  <si>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</si>
  <si>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</si>
  <si>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</si>
  <si>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</si>
  <si>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</si>
  <si>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</si>
  <si>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</si>
  <si>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</si>
  <si>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</si>
  <si>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</si>
  <si>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</si>
  <si>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</si>
  <si>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</si>
  <si>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</si>
  <si>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</si>
  <si>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</si>
  <si>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</si>
  <si>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</si>
  <si>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</si>
  <si>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</si>
  <si>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</si>
  <si>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</si>
  <si>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</si>
  <si>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</si>
  <si>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</si>
  <si>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</si>
  <si>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</si>
  <si>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</si>
  <si>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</si>
  <si>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</si>
  <si>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</si>
  <si>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</si>
  <si>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</si>
  <si>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</si>
  <si>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</si>
  <si>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</si>
  <si>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</si>
  <si>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</si>
  <si>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</si>
  <si>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</si>
  <si>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</si>
  <si>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</si>
  <si>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</si>
  <si>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</si>
  <si>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</si>
  <si>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</si>
  <si>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</si>
  <si>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</si>
  <si>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</si>
  <si>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</si>
  <si>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</si>
  <si>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</si>
  <si>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</si>
  <si>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</si>
  <si>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</si>
  <si>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</si>
  <si>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</si>
  <si>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</si>
  <si>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</si>
  <si>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</si>
  <si>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</si>
  <si>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</si>
  <si>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</si>
  <si>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</si>
  <si>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</si>
  <si>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</si>
  <si>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</si>
  <si>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</si>
  <si>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</si>
  <si>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</si>
  <si>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</si>
  <si>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</si>
  <si>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</si>
  <si>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</si>
  <si>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</si>
  <si>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</si>
  <si>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</si>
  <si>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</si>
  <si>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</si>
  <si>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</si>
  <si>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</si>
  <si>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</si>
  <si>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</si>
  <si>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</si>
  <si>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</si>
  <si>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</si>
  <si>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</si>
  <si>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</si>
  <si>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</si>
  <si>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</si>
  <si>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</si>
  <si>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</si>
  <si>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</si>
  <si>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</si>
  <si>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</si>
  <si>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</si>
  <si>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</si>
  <si>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</si>
  <si>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</si>
  <si>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</si>
  <si>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</si>
  <si>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</si>
  <si>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</si>
  <si>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</si>
  <si>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</si>
  <si>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</si>
  <si>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</si>
  <si>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</si>
  <si>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</si>
  <si>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</si>
  <si>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</si>
  <si>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</si>
  <si>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</si>
  <si>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</si>
  <si>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</si>
  <si>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</si>
  <si>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</si>
  <si>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</si>
  <si>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</si>
  <si>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</si>
  <si>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</si>
  <si>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</si>
  <si>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</si>
  <si>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</si>
  <si>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</si>
  <si>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</si>
  <si>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</si>
  <si>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</si>
  <si>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</si>
  <si>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</si>
  <si>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</si>
  <si>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</si>
  <si>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</si>
  <si>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</si>
  <si>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</si>
  <si>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</si>
  <si>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</si>
  <si>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</si>
  <si>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</si>
  <si>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</si>
  <si>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</si>
  <si>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</si>
  <si>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</si>
  <si>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</si>
  <si>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</si>
  <si>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</si>
  <si>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</si>
  <si>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</si>
  <si>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</si>
  <si>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</si>
  <si>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</si>
  <si>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</si>
  <si>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</si>
  <si>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</si>
  <si>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</si>
  <si>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</si>
  <si>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</si>
  <si>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</si>
  <si>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</si>
  <si>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</si>
  <si>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</si>
  <si>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</si>
  <si>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</si>
  <si>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</si>
  <si>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</si>
  <si>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</si>
  <si>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</si>
  <si>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</si>
  <si>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</si>
  <si>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</si>
  <si>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</si>
  <si>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</si>
  <si>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</si>
  <si>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</si>
  <si>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</si>
  <si>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</si>
  <si>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</si>
  <si>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</si>
  <si>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</si>
  <si>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</si>
  <si>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</si>
  <si>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</si>
  <si>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</si>
  <si>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</si>
  <si>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</si>
  <si>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</si>
  <si>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</si>
  <si>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</si>
  <si>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</si>
  <si>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</si>
  <si>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</si>
  <si>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</si>
  <si>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</si>
  <si>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</si>
  <si>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</si>
  <si>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</si>
  <si>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</si>
  <si>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</si>
  <si>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</si>
  <si>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</si>
  <si>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</si>
  <si>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</si>
  <si>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</si>
  <si>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</si>
  <si>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</si>
  <si>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</si>
  <si>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</si>
  <si>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</si>
  <si>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</si>
  <si>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</si>
  <si>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</si>
  <si>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</si>
  <si>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</si>
  <si>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</si>
  <si>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</si>
  <si>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</si>
  <si>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</si>
  <si>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</si>
  <si>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</si>
  <si>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</si>
  <si>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</si>
  <si>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</si>
  <si>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</si>
  <si>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</si>
  <si>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</si>
  <si>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</si>
  <si>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</si>
  <si>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</si>
  <si>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</si>
  <si>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</si>
  <si>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</si>
  <si>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</si>
  <si>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</si>
  <si>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</si>
  <si>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</si>
  <si>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</si>
  <si>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</si>
  <si>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</si>
  <si>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</si>
  <si>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</si>
  <si>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</si>
  <si>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</si>
  <si>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</si>
  <si>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</si>
  <si>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</si>
  <si>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</si>
  <si>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</si>
  <si>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</si>
  <si>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</si>
  <si>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</si>
  <si>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</si>
  <si>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</si>
  <si>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</si>
  <si>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</si>
  <si>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</si>
  <si>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</si>
  <si>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</si>
  <si>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</si>
  <si>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</si>
  <si>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</si>
  <si>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</si>
  <si>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</si>
  <si>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</si>
  <si>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</si>
  <si>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</si>
  <si>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</si>
  <si>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</si>
  <si>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</si>
  <si>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</si>
  <si>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</si>
  <si>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</si>
  <si>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</si>
  <si>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</si>
  <si>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</si>
  <si>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</si>
  <si>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</si>
  <si>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</si>
  <si>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</si>
  <si>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</si>
  <si>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</si>
  <si>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</si>
  <si>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</si>
  <si>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</si>
  <si>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</si>
  <si>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</si>
  <si>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</si>
  <si>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</si>
  <si>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</si>
  <si>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</si>
  <si>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</si>
  <si>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</si>
  <si>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</si>
  <si>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</si>
  <si>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</si>
  <si>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</si>
  <si>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</si>
  <si>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</si>
  <si>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</si>
  <si>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</si>
  <si>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</si>
  <si>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</si>
  <si>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</si>
  <si>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</si>
  <si>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</si>
  <si>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</si>
  <si>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</si>
  <si>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</si>
  <si>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</si>
  <si>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</si>
  <si>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</si>
  <si>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</si>
  <si>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</si>
  <si>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</si>
  <si>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</si>
  <si>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</si>
  <si>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</si>
  <si>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</si>
  <si>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</si>
  <si>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</si>
  <si>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</si>
  <si>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</si>
  <si>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</si>
  <si>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</si>
  <si>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</si>
  <si>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</si>
  <si>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</si>
  <si>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</si>
  <si>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</si>
  <si>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</si>
  <si>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</si>
  <si>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</si>
  <si>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</si>
  <si>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</si>
  <si>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</si>
  <si>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</si>
  <si>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</si>
  <si>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</si>
  <si>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</si>
  <si>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</si>
  <si>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</si>
  <si>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</si>
  <si>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</si>
  <si>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</si>
  <si>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</si>
  <si>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</si>
  <si>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</si>
  <si>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</si>
  <si>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</si>
  <si>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</si>
  <si>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</si>
  <si>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</si>
  <si>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</si>
  <si>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</si>
  <si>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</si>
  <si>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</si>
  <si>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</si>
  <si>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</si>
  <si>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</si>
  <si>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</si>
  <si>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</si>
  <si>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</si>
  <si>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</si>
  <si>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</si>
  <si>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</si>
  <si>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</si>
  <si>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</si>
  <si>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</si>
  <si>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</si>
  <si>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</si>
  <si>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</si>
  <si>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</si>
  <si>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</si>
  <si>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</si>
  <si>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</si>
  <si>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</si>
  <si>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</si>
  <si>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</si>
  <si>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</si>
  <si>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</si>
  <si>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</si>
  <si>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</si>
  <si>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</si>
  <si>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</si>
  <si>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</si>
  <si>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</si>
  <si>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</si>
  <si>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</si>
  <si>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</si>
  <si>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</si>
  <si>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</si>
  <si>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</si>
  <si>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</si>
  <si>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</si>
  <si>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</si>
  <si>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</si>
  <si>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</si>
  <si>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</si>
  <si>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</si>
  <si>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</si>
  <si>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</si>
  <si>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</si>
  <si>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</si>
  <si>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</si>
  <si>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</si>
  <si>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</si>
  <si>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</si>
  <si>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</si>
  <si>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</si>
  <si>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</si>
  <si>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</si>
  <si>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</si>
  <si>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</si>
  <si>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</si>
  <si>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</si>
  <si>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</si>
  <si>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</si>
  <si>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</si>
  <si>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</si>
  <si>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</si>
  <si>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</si>
  <si>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</si>
  <si>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</si>
  <si>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</si>
  <si>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</si>
  <si>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</si>
  <si>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</si>
  <si>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</si>
  <si>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</si>
  <si>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</si>
  <si>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</si>
  <si>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</si>
  <si>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</si>
  <si>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</si>
  <si>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</si>
  <si>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</si>
  <si>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</si>
  <si>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</si>
  <si>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</si>
  <si>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</si>
  <si>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</si>
  <si>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</si>
  <si>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</si>
  <si>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</si>
  <si>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</si>
  <si>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</si>
  <si>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</si>
  <si>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</si>
  <si>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</si>
  <si>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</si>
  <si>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</si>
  <si>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</si>
  <si>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</si>
  <si>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</si>
  <si>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</si>
  <si>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</si>
  <si>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</si>
  <si>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</si>
  <si>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</si>
  <si>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</si>
  <si>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</si>
  <si>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</si>
  <si>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</si>
  <si>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</si>
  <si>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</si>
  <si>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</si>
  <si>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</si>
  <si>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</si>
  <si>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</si>
  <si>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</si>
  <si>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</si>
  <si>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</si>
  <si>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</si>
  <si>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</si>
  <si>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</si>
  <si>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</si>
  <si>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</si>
  <si>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</si>
  <si>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</si>
  <si>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</si>
  <si>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</si>
  <si>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</si>
  <si>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</si>
  <si>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</si>
  <si>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</si>
  <si>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</si>
  <si>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</si>
  <si>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</si>
  <si>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</si>
  <si>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</si>
  <si>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</si>
  <si>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</si>
  <si>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</si>
  <si>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</si>
  <si>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</si>
  <si>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</si>
  <si>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</si>
  <si>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</si>
  <si>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</si>
  <si>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</si>
  <si>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</si>
  <si>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</si>
  <si>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</si>
  <si>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</si>
  <si>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</si>
  <si>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</si>
  <si>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</si>
  <si>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</si>
  <si>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</si>
  <si>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</si>
  <si>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</si>
  <si>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</si>
  <si>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</si>
  <si>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</si>
  <si>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</si>
  <si>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</si>
  <si>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</si>
  <si>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</si>
  <si>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</si>
  <si>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</si>
  <si>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</si>
  <si>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</si>
  <si>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</si>
  <si>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</si>
  <si>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</si>
  <si>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</si>
  <si>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</si>
  <si>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</si>
  <si>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</si>
  <si>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</si>
  <si>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</si>
  <si>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</si>
  <si>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</si>
  <si>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</si>
  <si>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</si>
  <si>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</si>
  <si>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</si>
  <si>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</si>
  <si>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</si>
  <si>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</si>
  <si>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</si>
  <si>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</si>
  <si>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</si>
  <si>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</si>
  <si>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</si>
  <si>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</si>
  <si>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</si>
  <si>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</si>
  <si>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</si>
  <si>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</si>
  <si>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</si>
  <si>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</si>
  <si>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</si>
  <si>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</si>
  <si>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</si>
  <si>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</si>
  <si>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</si>
  <si>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</si>
  <si>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</si>
  <si>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</si>
  <si>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</si>
  <si>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</si>
  <si>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</si>
  <si>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</si>
  <si>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</si>
  <si>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</si>
  <si>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</si>
  <si>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</si>
  <si>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</si>
  <si>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</si>
  <si>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</si>
  <si>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</si>
  <si>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</si>
  <si>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</si>
  <si>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</si>
  <si>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</si>
  <si>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</si>
  <si>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</si>
  <si>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</si>
  <si>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</si>
  <si>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</si>
  <si>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</si>
  <si>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</si>
  <si>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</si>
  <si>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</si>
  <si>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</si>
  <si>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</si>
  <si>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</si>
  <si>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</si>
  <si>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</si>
  <si>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</si>
  <si>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</si>
  <si>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</si>
  <si>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</si>
  <si>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</si>
  <si>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</si>
  <si>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</si>
  <si>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</si>
  <si>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</si>
  <si>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</si>
  <si>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</si>
  <si>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</si>
  <si>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</si>
  <si>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</si>
  <si>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</si>
  <si>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</si>
  <si>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</si>
  <si>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</si>
  <si>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</si>
  <si>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</si>
  <si>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</si>
  <si>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</si>
  <si>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</si>
  <si>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</si>
  <si>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</si>
  <si>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</si>
  <si>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</si>
  <si>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</si>
  <si>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</si>
  <si>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</si>
  <si>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</si>
  <si>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</si>
  <si>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</si>
  <si>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</si>
  <si>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</si>
  <si>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</si>
  <si>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</si>
  <si>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</si>
  <si>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</si>
  <si>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</si>
  <si>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</si>
  <si>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</si>
  <si>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</si>
  <si>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</si>
  <si>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</si>
  <si>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</si>
  <si>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</si>
  <si>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</si>
  <si>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</si>
  <si>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</si>
  <si>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</si>
  <si>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</si>
  <si>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</si>
  <si>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</si>
  <si>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</si>
  <si>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</si>
  <si>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</si>
  <si>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</si>
  <si>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</si>
  <si>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</si>
  <si>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</si>
  <si>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</si>
  <si>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</si>
  <si>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</si>
  <si>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</si>
  <si>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</si>
  <si>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</si>
  <si>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</si>
  <si>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</si>
  <si>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</si>
  <si>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</si>
  <si>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</si>
  <si>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</si>
  <si>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</si>
  <si>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</si>
  <si>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</si>
  <si>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</si>
  <si>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</si>
  <si>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</si>
  <si>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</si>
  <si>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</si>
  <si>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</si>
  <si>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</si>
  <si>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</si>
  <si>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</si>
  <si>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</si>
  <si>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</si>
  <si>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</si>
  <si>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</si>
  <si>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</si>
  <si>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</si>
  <si>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</si>
  <si>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</si>
  <si>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</si>
  <si>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</si>
  <si>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</si>
  <si>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</si>
  <si>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</si>
  <si>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</si>
  <si>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</si>
  <si>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</si>
  <si>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</si>
  <si>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</si>
  <si>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</si>
  <si>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</si>
  <si>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</si>
  <si>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</si>
  <si>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</si>
  <si>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</si>
  <si>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</si>
  <si>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</si>
  <si>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</si>
  <si>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</si>
  <si>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</si>
  <si>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</si>
  <si>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</si>
  <si>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</si>
  <si>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</si>
  <si>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</si>
  <si>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</si>
  <si>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</si>
  <si>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</si>
  <si>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</si>
  <si>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</si>
  <si>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</si>
  <si>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</si>
  <si>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</si>
  <si>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</si>
  <si>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</si>
  <si>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</si>
  <si>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</si>
  <si>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</si>
  <si>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</si>
  <si>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</si>
  <si>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</si>
  <si>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</si>
  <si>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</si>
  <si>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</si>
  <si>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</si>
  <si>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</si>
  <si>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</si>
  <si>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</si>
  <si>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</si>
  <si>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</si>
  <si>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</si>
  <si>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</si>
  <si>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</si>
  <si>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</si>
  <si>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</si>
  <si>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</si>
  <si>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</si>
  <si>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</si>
  <si>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</si>
  <si>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</si>
  <si>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</si>
  <si>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</si>
  <si>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</si>
  <si>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</si>
  <si>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</si>
  <si>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</si>
  <si>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</si>
  <si>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</si>
  <si>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</si>
  <si>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</si>
  <si>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</si>
  <si>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</si>
  <si>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</si>
  <si>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</si>
  <si>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</si>
  <si>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</si>
  <si>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</si>
  <si>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</si>
  <si>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</si>
  <si>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</si>
  <si>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</si>
  <si>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</si>
  <si>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</si>
  <si>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</si>
  <si>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</si>
  <si>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</si>
  <si>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</si>
  <si>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</si>
  <si>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</si>
  <si>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</si>
  <si>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</si>
  <si>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</si>
  <si>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</si>
  <si>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</si>
  <si>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</si>
  <si>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</si>
  <si>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</si>
  <si>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</si>
  <si>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</si>
  <si>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</si>
  <si>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</si>
  <si>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</si>
  <si>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</si>
  <si>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</si>
  <si>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</si>
  <si>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</si>
  <si>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</si>
  <si>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</si>
  <si>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</si>
  <si>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</si>
  <si>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</si>
  <si>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</si>
  <si>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</si>
  <si>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</si>
  <si>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</si>
  <si>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</si>
  <si>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</si>
  <si>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</si>
  <si>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</si>
  <si>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</si>
  <si>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</si>
  <si>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</si>
  <si>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</si>
  <si>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</si>
  <si>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</si>
  <si>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</si>
  <si>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</si>
  <si>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</si>
  <si>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</si>
  <si>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</si>
  <si>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</si>
  <si>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</si>
  <si>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</si>
  <si>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</si>
  <si>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</si>
  <si>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</si>
  <si>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</si>
  <si>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</si>
  <si>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</si>
  <si>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</si>
  <si>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</si>
  <si>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</si>
  <si>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</si>
  <si>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</si>
  <si>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</si>
  <si>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</si>
  <si>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</si>
  <si>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</si>
  <si>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</si>
  <si>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</si>
  <si>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</si>
  <si>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</si>
  <si>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</si>
  <si>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</si>
  <si>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</si>
  <si>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</si>
  <si>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</si>
  <si>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</si>
  <si>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</si>
  <si>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</si>
  <si>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</si>
  <si>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</si>
  <si>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</si>
  <si>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</si>
  <si>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</si>
  <si>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</si>
  <si>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</si>
  <si>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</si>
  <si>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</si>
  <si>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</si>
  <si>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</si>
  <si>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</si>
  <si>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</si>
  <si>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</si>
  <si>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</si>
  <si>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</si>
  <si>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</si>
  <si>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</si>
  <si>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</si>
  <si>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</si>
  <si>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</si>
  <si>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</si>
  <si>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</si>
  <si>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</si>
  <si>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</si>
  <si>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</si>
  <si>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</si>
  <si>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</si>
  <si>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</si>
  <si>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</si>
  <si>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</si>
  <si>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</si>
  <si>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</si>
  <si>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</si>
  <si>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</si>
  <si>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</si>
  <si>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</si>
  <si>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</si>
  <si>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</si>
  <si>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</si>
  <si>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</si>
  <si>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</si>
  <si>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</si>
  <si>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</si>
  <si>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</si>
  <si>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</si>
  <si>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</si>
  <si>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</si>
  <si>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</si>
  <si>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</si>
  <si>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</si>
  <si>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</si>
  <si>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</si>
  <si>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</si>
  <si>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</si>
  <si>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</si>
  <si>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</si>
  <si>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</si>
  <si>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</si>
  <si>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</si>
  <si>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</si>
  <si>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</si>
  <si>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</si>
  <si>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</si>
  <si>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</si>
  <si>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</si>
  <si>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</si>
  <si>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</si>
  <si>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</si>
  <si>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</si>
  <si>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</si>
  <si>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</si>
  <si>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</si>
  <si>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</si>
  <si>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</si>
  <si>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</si>
  <si>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</si>
  <si>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</si>
  <si>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</si>
  <si>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</si>
  <si>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</si>
  <si>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</si>
  <si>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</si>
  <si>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</si>
  <si>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</si>
  <si>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</si>
  <si>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</si>
  <si>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</si>
  <si>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</si>
  <si>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</si>
  <si>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</si>
  <si>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</si>
  <si>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</si>
  <si>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</si>
  <si>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</si>
  <si>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</si>
  <si>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</si>
  <si>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</si>
  <si>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</si>
  <si>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</si>
  <si>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</si>
  <si>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</si>
  <si>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</si>
  <si>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</si>
  <si>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</si>
  <si>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</si>
  <si>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</si>
  <si>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</si>
  <si>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</si>
  <si>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</si>
  <si>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</si>
  <si>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</si>
  <si>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</si>
  <si>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</si>
  <si>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</si>
  <si>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</si>
  <si>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</si>
  <si>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</si>
  <si>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</si>
  <si>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</si>
  <si>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</si>
  <si>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</si>
  <si>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</si>
  <si>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</si>
  <si>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</si>
  <si>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</si>
  <si>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</si>
  <si>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</si>
  <si>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</si>
  <si>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</si>
  <si>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</si>
  <si>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</si>
  <si>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</si>
  <si>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</si>
  <si>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</si>
  <si>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</si>
  <si>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</si>
  <si>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</si>
  <si>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</si>
  <si>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</si>
  <si>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</si>
  <si>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</si>
  <si>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</si>
  <si>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</si>
  <si>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</si>
  <si>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</si>
  <si>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</si>
  <si>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</si>
  <si>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</si>
  <si>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</si>
  <si>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</si>
  <si>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</si>
  <si>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</si>
  <si>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</si>
  <si>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</si>
  <si>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</si>
  <si>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</si>
  <si>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</si>
  <si>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</si>
  <si>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</si>
  <si>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</si>
  <si>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</si>
  <si>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</si>
  <si>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</si>
  <si>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</si>
  <si>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</si>
  <si>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</si>
  <si>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</si>
  <si>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</si>
  <si>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</si>
  <si>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</si>
  <si>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</si>
  <si>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</si>
  <si>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</si>
  <si>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</si>
  <si>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</si>
  <si>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</si>
  <si>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</si>
  <si>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</si>
  <si>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</si>
  <si>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</si>
  <si>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</si>
  <si>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</si>
  <si>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</si>
  <si>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</si>
  <si>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</si>
  <si>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</si>
  <si>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</si>
  <si>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</si>
  <si>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</si>
  <si>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</si>
  <si>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</si>
  <si>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</si>
  <si>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</si>
  <si>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</si>
  <si>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</si>
  <si>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</si>
  <si>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</si>
  <si>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</si>
  <si>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</si>
  <si>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</si>
  <si>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</si>
  <si>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</si>
  <si>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</si>
  <si>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</si>
  <si>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</si>
  <si>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</si>
  <si>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</si>
  <si>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</si>
  <si>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</si>
  <si>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</si>
  <si>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</si>
  <si>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</si>
  <si>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</si>
  <si>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</si>
  <si>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</si>
  <si>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</si>
  <si>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</si>
  <si>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</si>
  <si>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</si>
  <si>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</si>
  <si>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</si>
  <si>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</si>
  <si>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</si>
  <si>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</si>
  <si>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</si>
  <si>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</si>
  <si>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</si>
  <si>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</si>
  <si>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</si>
  <si>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</si>
  <si>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</si>
  <si>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</si>
  <si>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</si>
  <si>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</si>
  <si>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</si>
  <si>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</si>
  <si>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</si>
  <si>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</si>
  <si>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</si>
  <si>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</si>
  <si>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</si>
  <si>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</si>
  <si>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</si>
  <si>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</si>
  <si>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</si>
  <si>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</si>
  <si>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</si>
  <si>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</si>
  <si>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</si>
  <si>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</si>
  <si>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</si>
  <si>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</si>
  <si>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</si>
  <si>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</si>
  <si>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</si>
  <si>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</si>
  <si>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</si>
  <si>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</si>
  <si>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</si>
  <si>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</si>
  <si>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</si>
  <si>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</si>
  <si>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</si>
  <si>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</si>
  <si>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</si>
  <si>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</si>
  <si>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</si>
  <si>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</si>
  <si>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</si>
  <si>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</si>
  <si>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</si>
  <si>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</si>
  <si>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</si>
  <si>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</si>
  <si>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</si>
  <si>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</si>
  <si>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</si>
  <si>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</si>
  <si>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</si>
  <si>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</si>
  <si>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</si>
  <si>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</si>
  <si>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</si>
  <si>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</si>
  <si>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</si>
  <si>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</si>
  <si>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</si>
  <si>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</si>
  <si>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</si>
  <si>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</si>
  <si>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</si>
  <si>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</si>
  <si>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</si>
  <si>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</si>
  <si>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</si>
  <si>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</si>
  <si>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</si>
  <si>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</si>
  <si>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</si>
  <si>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</si>
  <si>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</si>
  <si>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</si>
  <si>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</si>
  <si>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</si>
  <si>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</si>
  <si>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</si>
  <si>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</si>
  <si>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</si>
  <si>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</si>
  <si>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</si>
  <si>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</si>
  <si>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</si>
  <si>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</si>
  <si>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</si>
  <si>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</si>
  <si>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</si>
  <si>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</si>
  <si>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</si>
  <si>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</si>
  <si>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</si>
  <si>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</si>
  <si>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</si>
  <si>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</si>
  <si>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</si>
  <si>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</si>
  <si>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</si>
  <si>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</si>
  <si>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</si>
  <si>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</si>
  <si>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</si>
  <si>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</si>
  <si>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</si>
  <si>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</si>
  <si>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</si>
  <si>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</si>
  <si>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</si>
  <si>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</si>
  <si>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</si>
  <si>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</si>
  <si>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</si>
  <si>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</si>
  <si>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</si>
  <si>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</si>
  <si>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</si>
  <si>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</si>
  <si>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</si>
  <si>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</si>
  <si>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</si>
  <si>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</si>
  <si>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</si>
  <si>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</si>
  <si>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</si>
  <si>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</si>
  <si>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</si>
  <si>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</si>
  <si>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</si>
  <si>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</si>
  <si>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</si>
  <si>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</si>
  <si>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</si>
  <si>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</si>
  <si>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</si>
  <si>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</si>
  <si>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</si>
  <si>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</si>
  <si>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</si>
  <si>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</si>
  <si>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</si>
  <si>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</si>
  <si>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</si>
  <si>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</si>
  <si>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</si>
  <si>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</si>
  <si>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</si>
  <si>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</si>
  <si>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</si>
  <si>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</si>
  <si>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</si>
  <si>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</si>
  <si>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</si>
  <si>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</si>
  <si>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</si>
  <si>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</si>
  <si>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</si>
  <si>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</si>
  <si>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</si>
  <si>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</si>
  <si>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</si>
  <si>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</si>
  <si>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</si>
  <si>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</si>
  <si>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</si>
  <si>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</si>
  <si>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</si>
  <si>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</si>
  <si>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</si>
  <si>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</si>
  <si>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</si>
  <si>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</si>
  <si>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</si>
  <si>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</si>
  <si>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</si>
  <si>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</si>
  <si>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</si>
  <si>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</si>
  <si>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</si>
  <si>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</si>
  <si>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</si>
  <si>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</si>
  <si>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</si>
  <si>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</si>
  <si>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</si>
  <si>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</si>
  <si>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</si>
  <si>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</si>
  <si>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</si>
  <si>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</si>
  <si>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</si>
  <si>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</si>
  <si>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</si>
  <si>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</si>
  <si>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</si>
  <si>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</si>
  <si>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</si>
  <si>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</si>
  <si>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</si>
  <si>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</si>
  <si>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</si>
  <si>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</si>
  <si>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</si>
  <si>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</si>
  <si>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</si>
  <si>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</si>
  <si>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</si>
  <si>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</si>
  <si>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</si>
  <si>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</si>
  <si>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</si>
  <si>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</si>
  <si>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</si>
  <si>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</si>
  <si>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</si>
  <si>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</si>
  <si>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</si>
  <si>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</si>
  <si>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</si>
  <si>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</si>
  <si>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</si>
  <si>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</si>
  <si>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</si>
  <si>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</si>
  <si>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</si>
  <si>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</si>
  <si>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</si>
  <si>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</si>
  <si>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</si>
  <si>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</si>
  <si>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</si>
  <si>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</si>
  <si>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</si>
  <si>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</si>
  <si>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</si>
  <si>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</si>
  <si>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</si>
  <si>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</si>
  <si>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</si>
  <si>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</si>
  <si>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</si>
  <si>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</si>
  <si>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</si>
  <si>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</si>
  <si>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</si>
  <si>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</si>
  <si>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</si>
  <si>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</si>
  <si>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</si>
  <si>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</si>
  <si>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</si>
  <si>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</si>
  <si>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</si>
  <si>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</si>
  <si>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</si>
  <si>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</si>
  <si>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</si>
  <si>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</si>
  <si>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</si>
  <si>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</si>
  <si>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</si>
  <si>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</si>
  <si>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</si>
  <si>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</si>
  <si>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</si>
  <si>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</si>
  <si>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</si>
  <si>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</si>
  <si>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</si>
  <si>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</si>
  <si>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</si>
  <si>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</si>
  <si>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</si>
  <si>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</si>
  <si>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</si>
  <si>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</si>
  <si>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</si>
  <si>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</si>
  <si>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</si>
  <si>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</si>
  <si>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</si>
  <si>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</si>
  <si>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</si>
  <si>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</si>
  <si>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</si>
  <si>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</si>
  <si>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</si>
  <si>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</si>
  <si>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</si>
  <si>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</si>
  <si>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</si>
  <si>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</si>
  <si>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</si>
  <si>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</si>
  <si>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</si>
  <si>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</si>
  <si>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</si>
  <si>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</si>
  <si>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</si>
  <si>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</si>
  <si>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</si>
  <si>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</si>
  <si>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</si>
  <si>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</si>
  <si>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</si>
  <si>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</si>
  <si>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</si>
  <si>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</si>
  <si>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</si>
  <si>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</si>
  <si>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</si>
  <si>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</si>
  <si>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</si>
  <si>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</si>
  <si>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</si>
  <si>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</si>
  <si>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</si>
  <si>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</si>
  <si>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</si>
  <si>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</si>
  <si>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</si>
  <si>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</si>
  <si>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</si>
  <si>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</si>
  <si>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</si>
  <si>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</si>
  <si>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</si>
  <si>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</si>
  <si>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</si>
  <si>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</si>
  <si>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</si>
  <si>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</si>
  <si>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</si>
  <si>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</si>
  <si>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</si>
  <si>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</si>
  <si>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</si>
  <si>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</si>
  <si>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</si>
  <si>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</si>
  <si>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</si>
  <si>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</si>
  <si>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</si>
  <si>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</si>
  <si>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</si>
  <si>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</si>
  <si>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</si>
  <si>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</si>
  <si>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</si>
  <si>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</si>
  <si>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</si>
  <si>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</si>
  <si>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</si>
  <si>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</si>
  <si>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</si>
  <si>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</si>
  <si>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</si>
  <si>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</si>
  <si>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</si>
  <si>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</si>
  <si>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</si>
  <si>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</si>
  <si>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</si>
  <si>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</si>
  <si>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</si>
  <si>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</si>
  <si>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</si>
  <si>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</si>
  <si>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</si>
  <si>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</si>
  <si>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</si>
  <si>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</si>
  <si>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</si>
  <si>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</si>
  <si>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</si>
  <si>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</si>
  <si>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</si>
  <si>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</si>
  <si>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</si>
  <si>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</si>
  <si>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</si>
  <si>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</si>
  <si>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</si>
  <si>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</si>
  <si>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</si>
  <si>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</si>
  <si>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</si>
  <si>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</si>
  <si>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</si>
  <si>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</si>
  <si>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</si>
  <si>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</si>
  <si>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</si>
  <si>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</si>
  <si>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</si>
  <si>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</si>
  <si>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</si>
  <si>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</si>
  <si>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</si>
  <si>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</si>
  <si>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</si>
  <si>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</si>
  <si>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</si>
  <si>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</si>
  <si>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</si>
  <si>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</si>
  <si>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</si>
  <si>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</si>
  <si>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</si>
  <si>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</si>
  <si>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</si>
  <si>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</si>
  <si>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</si>
  <si>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</si>
  <si>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</si>
  <si>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</si>
  <si>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</si>
  <si>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</si>
  <si>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</si>
  <si>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</si>
  <si>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</si>
  <si>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</si>
  <si>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</si>
  <si>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</si>
  <si>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</si>
  <si>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</si>
  <si>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</si>
  <si>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</si>
  <si>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</si>
  <si>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</si>
  <si>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</si>
  <si>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</si>
  <si>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</si>
  <si>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</si>
  <si>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</si>
  <si>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</si>
  <si>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</si>
  <si>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</si>
  <si>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</si>
  <si>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</si>
  <si>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</si>
  <si>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</si>
  <si>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</si>
  <si>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</si>
  <si>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</si>
  <si>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</si>
  <si>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</si>
  <si>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</si>
  <si>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</si>
  <si>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</si>
  <si>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</si>
  <si>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</si>
  <si>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</si>
  <si>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</si>
  <si>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</si>
  <si>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</si>
  <si>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</si>
  <si>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</si>
  <si>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</si>
  <si>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</si>
  <si>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</si>
  <si>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</si>
  <si>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</si>
  <si>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</si>
  <si>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</si>
  <si>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</si>
  <si>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</si>
  <si>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</si>
  <si>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</si>
  <si>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</si>
  <si>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</si>
  <si>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</si>
  <si>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</si>
  <si>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</si>
  <si>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</si>
  <si>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</si>
  <si>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</si>
  <si>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</si>
  <si>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</si>
  <si>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</si>
  <si>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</si>
  <si>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</si>
  <si>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</si>
  <si>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</si>
  <si>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</si>
  <si>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</si>
  <si>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</si>
  <si>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</si>
  <si>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</si>
  <si>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</si>
  <si>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</si>
  <si>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</si>
  <si>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</si>
  <si>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</si>
  <si>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</si>
  <si>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</si>
  <si>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</si>
  <si>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</si>
  <si>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</si>
  <si>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</si>
  <si>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</si>
  <si>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</si>
  <si>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</si>
  <si>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</si>
  <si>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</si>
  <si>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</si>
  <si>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</si>
  <si>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</si>
  <si>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</si>
  <si>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</si>
  <si>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</si>
  <si>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</si>
  <si>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</si>
  <si>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</si>
  <si>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</si>
  <si>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</si>
  <si>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</si>
  <si>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</si>
  <si>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</si>
  <si>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</si>
  <si>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</si>
  <si>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</si>
  <si>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</si>
  <si>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</si>
  <si>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</si>
  <si>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</si>
  <si>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</si>
  <si>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</si>
  <si>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</si>
  <si>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</si>
  <si>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</si>
  <si>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</si>
  <si>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</si>
  <si>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</si>
  <si>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</si>
  <si>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</si>
  <si>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</si>
  <si>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</si>
  <si>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</si>
  <si>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</si>
  <si>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</si>
  <si>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</si>
  <si>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</si>
  <si>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</si>
  <si>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</si>
  <si>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</si>
  <si>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</si>
  <si>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</si>
  <si>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</si>
  <si>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</si>
  <si>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</si>
  <si>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</si>
  <si>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</si>
  <si>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</si>
  <si>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</si>
  <si>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</si>
  <si>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</si>
  <si>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</si>
  <si>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</si>
  <si>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</si>
  <si>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</si>
  <si>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</si>
  <si>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</si>
  <si>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</si>
  <si>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</si>
  <si>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</si>
  <si>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</si>
  <si>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</si>
  <si>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</si>
  <si>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</si>
  <si>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</si>
  <si>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</si>
  <si>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</si>
  <si>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</si>
  <si>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</si>
  <si>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</si>
  <si>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</si>
  <si>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</si>
  <si>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</si>
  <si>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</si>
  <si>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</si>
  <si>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</si>
  <si>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</si>
  <si>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</si>
  <si>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</si>
  <si>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</si>
  <si>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</si>
  <si>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</si>
  <si>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</si>
  <si>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</si>
  <si>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</si>
  <si>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</si>
  <si>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</si>
  <si>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</si>
  <si>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</si>
  <si>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</si>
  <si>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</si>
  <si>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</si>
  <si>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</si>
  <si>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</si>
  <si>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</si>
  <si>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</si>
  <si>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</si>
  <si>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</si>
  <si>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</si>
  <si>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</si>
  <si>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</si>
  <si>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</si>
  <si>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</si>
  <si>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</si>
  <si>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</si>
  <si>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</si>
  <si>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</si>
  <si>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</si>
  <si>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</si>
  <si>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</si>
  <si>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</si>
  <si>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</si>
  <si>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</si>
  <si>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</si>
  <si>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</si>
  <si>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</si>
  <si>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</si>
  <si>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</si>
  <si>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</si>
  <si>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</si>
  <si>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</si>
  <si>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</si>
  <si>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</si>
  <si>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</si>
  <si>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</si>
  <si>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</si>
  <si>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</si>
  <si>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</si>
  <si>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</si>
  <si>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</si>
  <si>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</si>
  <si>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</si>
  <si>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</si>
  <si>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</si>
  <si>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</si>
  <si>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</si>
  <si>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</si>
  <si>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</si>
  <si>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</si>
  <si>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</si>
  <si>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</si>
  <si>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</si>
  <si>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</si>
  <si>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</si>
  <si>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</si>
  <si>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</si>
  <si>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</si>
  <si>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</si>
  <si>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</si>
  <si>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</si>
  <si>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</si>
  <si>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</si>
  <si>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</si>
  <si>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</si>
  <si>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</si>
  <si>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</si>
  <si>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</si>
  <si>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</si>
  <si>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</si>
  <si>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</si>
  <si>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</si>
  <si>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</si>
  <si>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</si>
  <si>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</si>
  <si>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</si>
  <si>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</si>
  <si>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</si>
  <si>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</si>
  <si>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</si>
  <si>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</si>
  <si>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</si>
  <si>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</si>
  <si>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</si>
  <si>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</si>
  <si>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</si>
  <si>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</si>
  <si>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</si>
  <si>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</si>
  <si>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</si>
  <si>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</si>
  <si>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</si>
  <si>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</si>
  <si>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</si>
  <si>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</si>
  <si>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</si>
  <si>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</si>
  <si>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</si>
  <si>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</si>
  <si>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</si>
  <si>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</si>
  <si>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</si>
  <si>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</si>
  <si>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</si>
  <si>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</si>
  <si>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</si>
  <si>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</si>
  <si>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</si>
  <si>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</si>
  <si>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</si>
  <si>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</si>
  <si>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</si>
  <si>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</si>
  <si>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</si>
  <si>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</si>
  <si>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</si>
  <si>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</si>
  <si>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</si>
  <si>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</si>
  <si>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</si>
  <si>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</si>
  <si>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</si>
  <si>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</si>
  <si>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</si>
  <si>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</si>
  <si>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</si>
  <si>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</si>
  <si>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</si>
  <si>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</si>
  <si>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</si>
  <si>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</si>
  <si>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</si>
  <si>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</si>
  <si>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</si>
  <si>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</si>
  <si>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</si>
  <si>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</si>
  <si>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</si>
  <si>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</si>
  <si>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</si>
  <si>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</si>
  <si>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</si>
  <si>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</si>
  <si>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</si>
  <si>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</si>
  <si>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</si>
  <si>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</si>
  <si>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</si>
  <si>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</si>
  <si>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</si>
  <si>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</si>
  <si>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</si>
  <si>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</si>
  <si>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</si>
  <si>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</si>
  <si>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</si>
  <si>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</si>
  <si>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</si>
  <si>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</si>
  <si>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</si>
  <si>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</si>
  <si>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</si>
  <si>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</si>
  <si>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</si>
  <si>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</si>
  <si>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</si>
  <si>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</si>
  <si>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</si>
  <si>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</si>
  <si>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</si>
  <si>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</si>
  <si>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</si>
  <si>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</si>
  <si>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</si>
  <si>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</si>
  <si>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</si>
  <si>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</si>
  <si>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</si>
  <si>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</si>
  <si>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</si>
  <si>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</si>
  <si>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</si>
  <si>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</si>
  <si>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</si>
  <si>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</si>
  <si>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</si>
  <si>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</si>
  <si>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</si>
  <si>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</si>
  <si>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</si>
  <si>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</si>
  <si>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</si>
  <si>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</si>
  <si>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</si>
  <si>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</si>
  <si>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</si>
  <si>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</si>
  <si>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</si>
  <si>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</si>
  <si>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</si>
  <si>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</si>
  <si>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</si>
  <si>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</si>
  <si>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</si>
  <si>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</si>
  <si>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</si>
  <si>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</si>
  <si>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</si>
  <si>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</si>
  <si>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</si>
  <si>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</si>
  <si>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</si>
  <si>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</si>
  <si>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</si>
  <si>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</si>
  <si>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</si>
  <si>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</si>
  <si>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</si>
  <si>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</si>
  <si>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</si>
  <si>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</si>
  <si>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</si>
  <si>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</si>
  <si>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</si>
  <si>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</si>
  <si>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</si>
  <si>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</si>
  <si>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</si>
  <si>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</si>
  <si>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</si>
  <si>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</si>
  <si>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</si>
  <si>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</si>
  <si>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</si>
  <si>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</si>
  <si>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</si>
  <si>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</si>
  <si>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</si>
  <si>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</si>
  <si>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</si>
  <si>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</si>
  <si>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</si>
  <si>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</si>
  <si>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</si>
  <si>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</si>
  <si>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</si>
  <si>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</si>
  <si>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</si>
  <si>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</si>
  <si>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</si>
  <si>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</si>
  <si>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</si>
  <si>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</si>
  <si>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</si>
  <si>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</si>
  <si>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</si>
  <si>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</si>
  <si>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</si>
  <si>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</si>
  <si>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</si>
  <si>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</si>
  <si>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</si>
  <si>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</si>
  <si>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</si>
  <si>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</si>
  <si>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</si>
  <si>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</si>
  <si>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</si>
  <si>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</si>
  <si>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</si>
  <si>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</si>
  <si>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</si>
  <si>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</si>
  <si>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</si>
  <si>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</si>
  <si>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</si>
  <si>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</si>
  <si>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</si>
  <si>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</si>
  <si>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</si>
  <si>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</si>
  <si>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</si>
  <si>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</si>
  <si>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</si>
  <si>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</si>
  <si>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</si>
  <si>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</si>
  <si>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</si>
  <si>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</si>
  <si>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</si>
  <si>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</si>
  <si>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</si>
  <si>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</si>
  <si>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</si>
  <si>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</si>
  <si>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</si>
  <si>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</si>
  <si>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</si>
  <si>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</si>
  <si>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</si>
  <si>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</si>
  <si>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</si>
  <si>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</si>
  <si>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</si>
  <si>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</si>
  <si>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</si>
  <si>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</si>
  <si>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</si>
  <si>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</si>
  <si>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</si>
  <si>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</si>
  <si>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</si>
  <si>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</si>
  <si>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</si>
  <si>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</si>
  <si>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</si>
  <si>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</si>
  <si>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</si>
  <si>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</si>
  <si>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</si>
  <si>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</si>
  <si>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</si>
  <si>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</si>
  <si>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</si>
  <si>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</si>
  <si>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</si>
  <si>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</si>
  <si>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</si>
  <si>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</si>
  <si>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</si>
  <si>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</si>
  <si>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</si>
  <si>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</si>
  <si>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</si>
  <si>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</si>
  <si>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</si>
  <si>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</si>
  <si>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</si>
  <si>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</si>
  <si>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</si>
  <si>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</si>
  <si>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</si>
  <si>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</si>
  <si>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</si>
  <si>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</si>
  <si>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</si>
  <si>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</si>
  <si>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</si>
  <si>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</si>
  <si>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</si>
  <si>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</si>
  <si>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</si>
  <si>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</si>
  <si>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</si>
  <si>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</si>
  <si>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</si>
  <si>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</si>
  <si>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</si>
  <si>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</si>
  <si>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</si>
  <si>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</si>
  <si>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</si>
  <si>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</si>
  <si>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</si>
  <si>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</si>
  <si>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</si>
  <si>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</si>
  <si>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</si>
  <si>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</si>
  <si>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</si>
  <si>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</si>
  <si>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</si>
  <si>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</si>
  <si>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</si>
  <si>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</si>
  <si>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</si>
  <si>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</si>
  <si>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</si>
  <si>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</si>
  <si>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</si>
  <si>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</si>
  <si>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</si>
  <si>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</si>
  <si>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</si>
  <si>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</si>
  <si>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</si>
  <si>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</si>
  <si>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</si>
  <si>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</si>
  <si>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</si>
  <si>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</si>
  <si>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</si>
  <si>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</si>
  <si>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</si>
  <si>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</si>
  <si>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</si>
  <si>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</si>
  <si>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</si>
  <si>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</si>
  <si>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</si>
  <si>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</si>
  <si>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</si>
  <si>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</si>
  <si>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</si>
  <si>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</si>
  <si>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</si>
  <si>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</si>
  <si>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</si>
  <si>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</si>
  <si>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</si>
  <si>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</si>
  <si>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</si>
  <si>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</si>
  <si>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</si>
  <si>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</si>
  <si>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</si>
  <si>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</si>
  <si>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</si>
  <si>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</si>
  <si>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</si>
  <si>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</si>
  <si>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</si>
  <si>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</si>
  <si>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</si>
  <si>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</si>
  <si>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</si>
  <si>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</si>
  <si>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</si>
  <si>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</si>
  <si>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</si>
  <si>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</si>
  <si>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</si>
  <si>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</si>
  <si>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</si>
  <si>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</si>
  <si>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</si>
  <si>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</si>
  <si>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</si>
  <si>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</si>
  <si>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</si>
  <si>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</si>
  <si>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</si>
  <si>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</si>
  <si>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</si>
  <si>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</si>
  <si>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</si>
  <si>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</si>
  <si>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</si>
  <si>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</si>
  <si>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</si>
  <si>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</si>
  <si>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</si>
  <si>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</si>
  <si>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</si>
  <si>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</si>
  <si>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</si>
  <si>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</si>
  <si>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</si>
  <si>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</si>
  <si>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</si>
  <si>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</si>
  <si>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</si>
  <si>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</si>
  <si>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</si>
  <si>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</si>
  <si>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</si>
  <si>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</si>
  <si>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</si>
  <si>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</si>
  <si>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</si>
  <si>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</si>
  <si>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</si>
  <si>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</si>
  <si>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</si>
  <si>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</si>
  <si>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</si>
  <si>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</si>
  <si>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</si>
  <si>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</si>
  <si>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</si>
  <si>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</si>
  <si>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</si>
  <si>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</si>
  <si>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</si>
  <si>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</si>
  <si>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</si>
  <si>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</si>
  <si>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</si>
  <si>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</si>
  <si>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</si>
  <si>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</si>
  <si>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</si>
  <si>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</si>
  <si>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</si>
  <si>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</si>
  <si>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</si>
  <si>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</si>
  <si>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</si>
  <si>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</si>
  <si>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</si>
  <si>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</si>
  <si>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</si>
  <si>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</si>
  <si>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</si>
  <si>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</si>
  <si>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</si>
  <si>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</si>
  <si>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</si>
  <si>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</si>
  <si>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</si>
  <si>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</si>
  <si>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</si>
  <si>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</si>
  <si>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</si>
  <si>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</si>
  <si>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</si>
  <si>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</si>
  <si>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</si>
  <si>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</si>
  <si>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</si>
  <si>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</si>
  <si>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</si>
  <si>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</si>
  <si>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</si>
  <si>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</si>
  <si>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</si>
  <si>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</si>
  <si>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</si>
  <si>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</si>
  <si>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</si>
  <si>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</si>
  <si>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</si>
  <si>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</si>
  <si>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</si>
  <si>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</si>
  <si>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</si>
  <si>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</si>
  <si>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</si>
  <si>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</si>
  <si>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</si>
  <si>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</si>
  <si>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</si>
  <si>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</si>
  <si>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</si>
  <si>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</si>
  <si>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</si>
  <si>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</si>
  <si>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</si>
  <si>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</si>
  <si>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</si>
  <si>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</si>
  <si>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</si>
  <si>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</si>
  <si>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</si>
  <si>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</si>
  <si>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</si>
  <si>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</si>
  <si>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</si>
  <si>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</si>
  <si>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</si>
  <si>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</si>
  <si>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</si>
  <si>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</si>
  <si>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</si>
  <si>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</si>
  <si>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</si>
  <si>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</si>
  <si>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</si>
  <si>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</si>
  <si>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</si>
  <si>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</si>
  <si>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</si>
  <si>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</si>
  <si>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</si>
  <si>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</si>
  <si>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</si>
  <si>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</si>
  <si>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</si>
  <si>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</si>
  <si>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</si>
  <si>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</si>
  <si>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</si>
  <si>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</si>
  <si>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</si>
  <si>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</si>
  <si>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</si>
  <si>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</si>
  <si>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</si>
  <si>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</si>
  <si>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</si>
  <si>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</si>
  <si>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</si>
  <si>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</si>
  <si>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</si>
  <si>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</si>
  <si>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</si>
  <si>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</si>
  <si>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</si>
  <si>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</si>
  <si>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</si>
  <si>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</si>
  <si>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</si>
  <si>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</si>
  <si>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</si>
  <si>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</si>
  <si>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</si>
  <si>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</si>
  <si>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</si>
  <si>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</si>
  <si>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</si>
  <si>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</si>
  <si>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</si>
  <si>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</si>
  <si>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</si>
  <si>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</si>
  <si>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</si>
  <si>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</si>
  <si>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</si>
  <si>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</si>
  <si>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</si>
  <si>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</si>
  <si>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</si>
  <si>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</si>
  <si>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</si>
  <si>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</si>
  <si>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</si>
  <si>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</si>
  <si>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</si>
  <si>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</si>
  <si>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</si>
  <si>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</si>
  <si>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</si>
  <si>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</si>
  <si>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</si>
  <si>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</si>
  <si>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</si>
  <si>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</si>
  <si>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</si>
  <si>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</si>
  <si>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</si>
  <si>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</si>
  <si>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</si>
  <si>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</si>
  <si>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</si>
  <si>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</si>
  <si>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</si>
  <si>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</si>
  <si>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</si>
  <si>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</si>
  <si>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</si>
  <si>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</si>
  <si>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</si>
  <si>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</si>
  <si>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</si>
  <si>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</si>
  <si>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</si>
  <si>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</si>
  <si>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</si>
  <si>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</si>
  <si>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</si>
  <si>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</si>
  <si>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</si>
  <si>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</si>
  <si>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</si>
  <si>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</si>
  <si>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</si>
  <si>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</si>
  <si>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</si>
  <si>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</si>
  <si>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</si>
  <si>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</si>
  <si>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</si>
  <si>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</si>
  <si>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</si>
  <si>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</si>
  <si>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</si>
  <si>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</si>
  <si>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</si>
  <si>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</si>
  <si>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</si>
  <si>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</si>
  <si>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</si>
  <si>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</si>
  <si>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</si>
  <si>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</si>
  <si>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</si>
  <si>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</si>
  <si>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</si>
  <si>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</si>
  <si>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</si>
  <si>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</si>
  <si>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</si>
  <si>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</si>
  <si>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</si>
  <si>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</si>
  <si>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</si>
  <si>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</si>
  <si>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</si>
  <si>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</si>
  <si>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</si>
  <si>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</si>
  <si>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</si>
  <si>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</si>
  <si>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</si>
  <si>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</si>
  <si>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</si>
  <si>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</si>
  <si>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</si>
  <si>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</si>
  <si>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</si>
  <si>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</si>
  <si>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</si>
  <si>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</si>
  <si>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</si>
  <si>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</si>
  <si>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</si>
  <si>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</si>
  <si>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</si>
  <si>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</si>
  <si>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</si>
  <si>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</si>
  <si>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</si>
  <si>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</si>
  <si>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</si>
  <si>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</si>
  <si>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</si>
  <si>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</si>
  <si>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</si>
  <si>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</si>
  <si>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</si>
  <si>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</si>
  <si>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</si>
  <si>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</si>
  <si>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</si>
  <si>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</si>
  <si>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</si>
  <si>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</si>
  <si>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</si>
  <si>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</si>
  <si>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</si>
  <si>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</si>
  <si>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</si>
  <si>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</si>
  <si>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</si>
  <si>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</si>
  <si>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</si>
  <si>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</si>
  <si>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</si>
  <si>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</si>
  <si>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</si>
  <si>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</si>
  <si>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</si>
  <si>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</si>
  <si>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</si>
  <si>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</si>
  <si>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</si>
  <si>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</si>
  <si>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</si>
  <si>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</si>
  <si>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</si>
  <si>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</si>
  <si>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</si>
  <si>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</si>
  <si>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</si>
  <si>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</si>
  <si>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</si>
  <si>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</si>
  <si>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</si>
  <si>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</si>
  <si>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</si>
  <si>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</si>
  <si>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</si>
  <si>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</si>
  <si>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</si>
  <si>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</si>
  <si>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</si>
  <si>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</si>
  <si>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</si>
  <si>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</si>
  <si>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</si>
  <si>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</si>
  <si>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</si>
  <si>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</si>
  <si>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</si>
  <si>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</si>
  <si>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</si>
  <si>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</si>
  <si>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</si>
  <si>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</si>
  <si>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</si>
  <si>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</si>
  <si>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</si>
  <si>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</si>
  <si>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</si>
  <si>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</si>
  <si>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</si>
  <si>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</si>
  <si>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</si>
  <si>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</si>
  <si>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</si>
  <si>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</si>
  <si>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</si>
  <si>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</si>
  <si>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</si>
  <si>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</si>
  <si>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</si>
  <si>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</si>
  <si>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</si>
  <si>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</si>
  <si>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</si>
  <si>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</si>
  <si>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</si>
  <si>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</si>
  <si>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</si>
  <si>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</si>
  <si>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</si>
  <si>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</si>
  <si>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</si>
  <si>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</si>
  <si>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</si>
  <si>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</si>
  <si>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</si>
  <si>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</si>
  <si>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</si>
  <si>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</si>
  <si>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</si>
  <si>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</si>
  <si>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</si>
  <si>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</si>
  <si>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</si>
  <si>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</si>
  <si>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</si>
  <si>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</si>
  <si>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</si>
  <si>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</si>
  <si>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</si>
  <si>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</si>
  <si>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</si>
  <si>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</si>
  <si>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</si>
  <si>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</si>
  <si>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</si>
  <si>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</si>
  <si>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</si>
  <si>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</si>
  <si>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</si>
  <si>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</si>
  <si>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</si>
  <si>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</si>
  <si>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</si>
  <si>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</si>
  <si>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</si>
  <si>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</si>
  <si>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</si>
  <si>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</si>
  <si>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</si>
  <si>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</si>
  <si>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</si>
  <si>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</si>
  <si>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</si>
  <si>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</si>
  <si>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</si>
  <si>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</si>
  <si>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</si>
  <si>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</si>
  <si>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</si>
  <si>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</si>
  <si>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</si>
  <si>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</si>
  <si>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</si>
  <si>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</si>
  <si>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</si>
  <si>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</si>
  <si>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</si>
  <si>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</si>
  <si>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</si>
  <si>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</si>
  <si>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</si>
  <si>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</si>
  <si>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</si>
  <si>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</si>
  <si>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</si>
  <si>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</si>
  <si>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</si>
  <si>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</si>
  <si>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</si>
  <si>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</si>
  <si>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</si>
  <si>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</si>
  <si>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</si>
  <si>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</si>
  <si>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</si>
  <si>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</si>
  <si>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</si>
  <si>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</si>
  <si>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</si>
  <si>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</si>
  <si>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</si>
  <si>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</si>
  <si>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</si>
  <si>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</si>
  <si>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</si>
  <si>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</si>
  <si>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</si>
  <si>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</si>
  <si>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</si>
  <si>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</si>
  <si>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</si>
  <si>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</si>
  <si>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</si>
  <si>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</si>
  <si>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</si>
  <si>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</si>
  <si>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</si>
  <si>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</si>
  <si>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</si>
  <si>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</si>
  <si>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</si>
  <si>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</si>
  <si>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</si>
  <si>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</si>
  <si>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</si>
  <si>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</si>
  <si>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</si>
  <si>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</si>
  <si>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</si>
  <si>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</si>
  <si>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</si>
  <si>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</si>
  <si>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</si>
  <si>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</si>
  <si>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</si>
  <si>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</si>
  <si>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</si>
  <si>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</si>
  <si>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</si>
  <si>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</si>
  <si>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</si>
  <si>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</si>
  <si>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</si>
  <si>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</si>
  <si>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</si>
  <si>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</si>
  <si>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</si>
  <si>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</si>
  <si>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</si>
  <si>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</si>
  <si>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</si>
  <si>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</si>
  <si>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</si>
  <si>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</si>
  <si>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</si>
  <si>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</si>
  <si>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</si>
  <si>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</si>
  <si>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</si>
  <si>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</si>
  <si>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</si>
  <si>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</si>
  <si>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</si>
  <si>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</si>
  <si>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</si>
  <si>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</si>
  <si>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</si>
  <si>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</si>
  <si>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</si>
  <si>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</si>
  <si>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</si>
  <si>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</si>
  <si>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</si>
  <si>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</si>
  <si>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</si>
  <si>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</si>
  <si>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</si>
  <si>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</si>
  <si>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</si>
  <si>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</si>
  <si>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</si>
  <si>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</si>
  <si>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</si>
  <si>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</si>
  <si>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</si>
  <si>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</si>
  <si>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</si>
  <si>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</si>
  <si>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</si>
  <si>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</si>
  <si>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</si>
  <si>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</si>
  <si>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</si>
  <si>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</si>
  <si>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</si>
  <si>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</si>
  <si>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</si>
  <si>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</si>
  <si>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</si>
  <si>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</si>
  <si>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</si>
  <si>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</si>
  <si>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</si>
  <si>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</si>
  <si>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</si>
  <si>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</si>
  <si>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</si>
  <si>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</si>
  <si>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</si>
  <si>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</si>
  <si>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</si>
  <si>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</si>
  <si>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</si>
  <si>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</si>
  <si>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</si>
  <si>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</si>
  <si>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</si>
  <si>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</si>
  <si>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</si>
  <si>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</si>
  <si>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</si>
  <si>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</si>
  <si>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</si>
  <si>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</si>
  <si>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</si>
  <si>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</si>
  <si>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</si>
  <si>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</si>
  <si>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</si>
  <si>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</si>
  <si>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</si>
  <si>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</si>
  <si>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</si>
  <si>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</si>
  <si>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</si>
  <si>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</si>
  <si>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</si>
  <si>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</si>
  <si>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</si>
  <si>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</si>
  <si>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</si>
  <si>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</si>
  <si>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</si>
  <si>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</si>
  <si>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</si>
  <si>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</si>
  <si>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</si>
  <si>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</si>
  <si>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</si>
  <si>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</si>
  <si>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</si>
  <si>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</si>
  <si>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</si>
  <si>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</si>
  <si>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</si>
  <si>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</si>
  <si>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</si>
  <si>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</si>
  <si>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</si>
  <si>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</si>
  <si>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</si>
  <si>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</si>
  <si>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</si>
  <si>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</si>
  <si>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</si>
  <si>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</si>
  <si>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</si>
  <si>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</si>
  <si>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</si>
  <si>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</si>
  <si>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</si>
  <si>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</si>
  <si>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</si>
  <si>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</si>
  <si>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</si>
  <si>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</si>
  <si>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</si>
  <si>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</si>
  <si>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</si>
  <si>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</si>
  <si>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</si>
  <si>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</si>
  <si>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</si>
  <si>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</si>
  <si>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</si>
  <si>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</si>
  <si>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</si>
  <si>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</si>
  <si>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</si>
  <si>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</si>
  <si>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</si>
  <si>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</si>
  <si>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</si>
  <si>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</si>
  <si>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</si>
  <si>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</si>
  <si>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</si>
  <si>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</si>
  <si>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</si>
  <si>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</si>
  <si>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</si>
  <si>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</si>
  <si>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</si>
  <si>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</si>
  <si>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</si>
  <si>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</si>
  <si>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</si>
  <si>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</si>
  <si>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</si>
  <si>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</si>
  <si>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</si>
  <si>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</si>
  <si>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</si>
  <si>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</si>
  <si>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</si>
  <si>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</si>
  <si>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</si>
  <si>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</si>
  <si>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</si>
  <si>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</si>
  <si>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</si>
  <si>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</si>
  <si>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</si>
  <si>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</si>
  <si>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</si>
  <si>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</si>
  <si>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</si>
  <si>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</si>
  <si>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</si>
  <si>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</si>
  <si>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</si>
  <si>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</si>
  <si>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</si>
  <si>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</si>
  <si>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</si>
  <si>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</si>
  <si>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</si>
  <si>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</si>
  <si>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</si>
  <si>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</si>
  <si>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</si>
  <si>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</si>
  <si>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</si>
  <si>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</si>
  <si>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</si>
  <si>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</si>
  <si>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</si>
  <si>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</si>
  <si>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</si>
  <si>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</si>
  <si>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</si>
  <si>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</si>
  <si>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</si>
  <si>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</si>
  <si>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</si>
  <si>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</si>
  <si>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</si>
  <si>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</si>
  <si>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</si>
  <si>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</si>
  <si>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</si>
  <si>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</si>
  <si>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</si>
  <si>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</si>
  <si>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</si>
  <si>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</si>
  <si>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</si>
  <si>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</si>
  <si>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</si>
  <si>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</si>
  <si>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</si>
  <si>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</si>
  <si>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</si>
  <si>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</si>
  <si>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</si>
  <si>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</si>
  <si>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</si>
  <si>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</si>
  <si>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</si>
  <si>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</si>
  <si>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</si>
  <si>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</si>
  <si>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</si>
  <si>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</si>
  <si>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</si>
  <si>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</si>
  <si>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</si>
  <si>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</si>
  <si>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</si>
  <si>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</si>
  <si>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</si>
  <si>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</si>
  <si>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</si>
  <si>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</si>
  <si>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</si>
  <si>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</si>
  <si>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</si>
  <si>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</si>
  <si>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</si>
  <si>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</si>
  <si>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</si>
  <si>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</si>
  <si>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</si>
  <si>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</si>
  <si>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</si>
  <si>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</si>
  <si>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</si>
  <si>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</si>
  <si>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</si>
  <si>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</si>
  <si>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</si>
  <si>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</si>
  <si>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</si>
  <si>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</si>
  <si>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</si>
  <si>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</si>
  <si>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</si>
  <si>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</si>
  <si>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</si>
  <si>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</si>
  <si>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</si>
  <si>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</si>
  <si>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</si>
  <si>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</si>
  <si>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</si>
  <si>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</si>
  <si>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</si>
  <si>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</si>
  <si>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</si>
  <si>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</si>
  <si>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</si>
  <si>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</si>
  <si>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</si>
  <si>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</si>
  <si>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</si>
  <si>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</si>
  <si>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</si>
  <si>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</si>
  <si>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</si>
  <si>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</si>
  <si>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</si>
  <si>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</si>
  <si>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</si>
  <si>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</si>
  <si>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</si>
  <si>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</si>
  <si>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</si>
  <si>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</si>
  <si>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</si>
  <si>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</si>
  <si>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</si>
  <si>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</si>
  <si>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</si>
  <si>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</si>
  <si>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</si>
  <si>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</si>
  <si>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</si>
  <si>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</si>
  <si>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</si>
  <si>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</si>
  <si>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</si>
  <si>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</si>
  <si>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</si>
  <si>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</si>
  <si>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</si>
  <si>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</si>
  <si>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</si>
  <si>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</si>
  <si>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</si>
  <si>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</si>
  <si>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</si>
  <si>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</si>
  <si>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</si>
  <si>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</si>
  <si>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</si>
  <si>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</si>
  <si>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</si>
  <si>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</si>
  <si>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</si>
  <si>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</si>
  <si>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</si>
  <si>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</si>
  <si>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</si>
  <si>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</si>
  <si>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</si>
  <si>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</si>
  <si>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</si>
  <si>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</si>
  <si>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</si>
  <si>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</si>
  <si>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</si>
  <si>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</si>
  <si>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</si>
  <si>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</si>
  <si>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</si>
  <si>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</si>
  <si>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</si>
  <si>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</si>
  <si>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</si>
  <si>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</si>
  <si>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</si>
  <si>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</si>
  <si>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</si>
  <si>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</si>
  <si>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</si>
  <si>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</si>
  <si>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</si>
  <si>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</si>
  <si>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</si>
  <si>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</si>
  <si>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</si>
  <si>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</si>
  <si>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</si>
  <si>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</si>
  <si>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</si>
  <si>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</si>
  <si>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</si>
  <si>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</si>
  <si>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</si>
  <si>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</si>
  <si>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</si>
  <si>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</si>
  <si>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</si>
  <si>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</si>
  <si>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</si>
  <si>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</si>
  <si>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</si>
  <si>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</si>
  <si>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</si>
  <si>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</si>
  <si>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</si>
  <si>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</si>
  <si>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</si>
  <si>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</si>
  <si>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</si>
  <si>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</si>
  <si>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</si>
  <si>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</si>
  <si>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</si>
  <si>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</si>
  <si>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</si>
  <si>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</si>
  <si>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</si>
  <si>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</si>
  <si>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</si>
  <si>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</si>
  <si>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</si>
  <si>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</si>
  <si>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</si>
  <si>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</si>
  <si>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</si>
  <si>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</si>
  <si>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</si>
  <si>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</si>
  <si>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</si>
  <si>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</si>
  <si>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</si>
  <si>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</si>
  <si>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</si>
  <si>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</si>
  <si>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</si>
  <si>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</si>
  <si>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</si>
  <si>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</si>
  <si>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</si>
  <si>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</si>
  <si>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</si>
  <si>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</si>
  <si>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</si>
  <si>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</si>
  <si>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</si>
  <si>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</si>
  <si>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</si>
  <si>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</si>
  <si>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</si>
  <si>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</si>
  <si>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</si>
  <si>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</si>
  <si>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</si>
  <si>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</si>
  <si>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</si>
  <si>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</si>
  <si>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</si>
  <si>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</si>
  <si>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</si>
  <si>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</si>
  <si>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</si>
  <si>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</si>
  <si>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</si>
  <si>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</si>
  <si>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</si>
  <si>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</si>
  <si>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</si>
  <si>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</si>
  <si>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</si>
  <si>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</si>
  <si>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</si>
  <si>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</si>
  <si>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</si>
  <si>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</si>
  <si>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</si>
  <si>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</si>
  <si>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</si>
  <si>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</si>
  <si>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</si>
  <si>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</si>
  <si>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</si>
  <si>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</si>
  <si>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</si>
  <si>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</si>
  <si>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</si>
  <si>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</si>
  <si>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</si>
  <si>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</si>
  <si>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</si>
  <si>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</si>
  <si>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</si>
  <si>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</si>
  <si>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</si>
  <si>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</si>
  <si>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</si>
  <si>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</si>
  <si>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</si>
  <si>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</si>
  <si>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</si>
  <si>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</si>
  <si>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</si>
  <si>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</si>
  <si>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</si>
  <si>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</si>
  <si>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</si>
  <si>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</si>
  <si>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</si>
  <si>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</si>
  <si>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</si>
  <si>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</si>
  <si>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</si>
  <si>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</si>
  <si>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</si>
  <si>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</si>
  <si>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</si>
  <si>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</si>
  <si>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</si>
  <si>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</si>
  <si>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</si>
  <si>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</si>
  <si>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</si>
  <si>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</si>
  <si>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</si>
  <si>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</si>
  <si>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</si>
  <si>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</si>
  <si>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</si>
  <si>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</si>
  <si>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</si>
  <si>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</si>
  <si>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</si>
  <si>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</si>
  <si>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</si>
  <si>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</si>
  <si>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</si>
  <si>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</si>
  <si>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</si>
  <si>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</si>
  <si>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</si>
  <si>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</si>
  <si>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</si>
  <si>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</si>
  <si>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</si>
  <si>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</si>
  <si>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</si>
  <si>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</si>
  <si>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</si>
  <si>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</si>
  <si>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</si>
  <si>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</si>
  <si>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</si>
  <si>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</si>
  <si>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</si>
  <si>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</si>
  <si>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</si>
  <si>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</si>
  <si>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</si>
  <si>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</si>
  <si>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</si>
  <si>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</si>
  <si>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</si>
  <si>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</si>
  <si>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</si>
  <si>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</si>
  <si>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</si>
  <si>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</si>
  <si>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</si>
  <si>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</si>
  <si>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</si>
  <si>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</si>
  <si>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</si>
  <si>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</si>
  <si>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</si>
  <si>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</si>
  <si>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</si>
  <si>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</si>
  <si>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</si>
  <si>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</si>
  <si>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</si>
  <si>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</si>
  <si>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</si>
  <si>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</si>
  <si>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</si>
  <si>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</si>
  <si>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</si>
  <si>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</si>
  <si>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</si>
  <si>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</si>
  <si>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</si>
  <si>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</si>
  <si>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</si>
  <si>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</si>
  <si>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</si>
  <si>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</si>
  <si>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</si>
  <si>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</si>
  <si>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</si>
  <si>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</si>
  <si>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</si>
  <si>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</si>
  <si>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</si>
  <si>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</si>
  <si>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</si>
  <si>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</si>
  <si>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</si>
  <si>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</si>
  <si>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</si>
  <si>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</si>
  <si>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</si>
  <si>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</si>
  <si>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</si>
  <si>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</si>
  <si>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</si>
  <si>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</si>
  <si>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</si>
  <si>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</si>
  <si>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</si>
  <si>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</si>
  <si>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</si>
  <si>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</si>
  <si>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</si>
  <si>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</si>
  <si>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</si>
  <si>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</si>
  <si>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</si>
  <si>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</si>
  <si>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</si>
  <si>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</si>
  <si>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</si>
  <si>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</si>
  <si>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</si>
  <si>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</si>
  <si>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</si>
  <si>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</si>
  <si>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</si>
  <si>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</si>
  <si>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</si>
  <si>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</si>
  <si>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</si>
  <si>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</si>
  <si>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</si>
  <si>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</si>
  <si>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</si>
  <si>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</si>
  <si>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</si>
  <si>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</si>
  <si>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</si>
  <si>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</si>
  <si>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</si>
  <si>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</si>
  <si>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</si>
  <si>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</si>
  <si>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</si>
  <si>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</si>
  <si>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</si>
  <si>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</si>
  <si>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</si>
  <si>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</si>
  <si>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</si>
  <si>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</si>
  <si>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</si>
  <si>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</si>
  <si>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</si>
  <si>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</si>
  <si>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</si>
  <si>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</si>
  <si>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</si>
  <si>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</si>
  <si>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</si>
  <si>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</si>
  <si>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</si>
  <si>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</si>
  <si>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</si>
  <si>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</si>
  <si>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</si>
  <si>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</si>
  <si>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</si>
  <si>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</si>
  <si>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</si>
  <si>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</si>
  <si>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</si>
  <si>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</si>
  <si>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</si>
  <si>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</si>
  <si>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</si>
  <si>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</si>
  <si>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</si>
  <si>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</si>
  <si>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</si>
  <si>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</si>
  <si>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</si>
  <si>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</si>
  <si>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</si>
  <si>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</si>
  <si>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</si>
  <si>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</si>
  <si>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</si>
  <si>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</si>
  <si>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</si>
  <si>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</si>
  <si>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</si>
  <si>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</si>
  <si>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</si>
  <si>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</si>
  <si>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</si>
  <si>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</si>
  <si>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</si>
  <si>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</si>
  <si>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</si>
  <si>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</si>
  <si>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</si>
  <si>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</si>
  <si>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</si>
  <si>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</si>
  <si>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</si>
  <si>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</si>
  <si>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</si>
  <si>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</si>
  <si>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</si>
  <si>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</si>
  <si>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</si>
  <si>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</si>
  <si>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</si>
  <si>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</si>
  <si>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</si>
  <si>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</si>
  <si>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</si>
  <si>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</si>
  <si>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</si>
  <si>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</si>
  <si>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</si>
  <si>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</si>
  <si>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</si>
  <si>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</si>
  <si>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</si>
  <si>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</si>
  <si>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</si>
  <si>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</si>
  <si>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</si>
  <si>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</si>
  <si>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</si>
  <si>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</si>
  <si>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</si>
  <si>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</si>
  <si>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</si>
  <si>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</si>
  <si>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</si>
  <si>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</si>
  <si>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</si>
  <si>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</si>
  <si>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</si>
  <si>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</si>
  <si>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</si>
  <si>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</si>
  <si>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</si>
  <si>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</si>
  <si>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</si>
  <si>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</si>
  <si>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</si>
  <si>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</si>
  <si>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</si>
  <si>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</si>
  <si>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</si>
  <si>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</si>
  <si>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</si>
  <si>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</si>
  <si>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</si>
  <si>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</si>
  <si>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</si>
  <si>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</si>
  <si>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</si>
  <si>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</si>
  <si>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</si>
  <si>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</si>
  <si>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</si>
  <si>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</si>
  <si>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</si>
  <si>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</si>
  <si>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</si>
  <si>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</si>
  <si>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</si>
  <si>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</si>
  <si>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</si>
  <si>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</si>
  <si>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</si>
  <si>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</si>
  <si>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</si>
  <si>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</si>
  <si>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</si>
  <si>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</si>
  <si>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</si>
  <si>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</si>
  <si>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</si>
  <si>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</si>
  <si>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</si>
  <si>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</si>
  <si>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</si>
  <si>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</si>
  <si>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</si>
  <si>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</si>
  <si>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</si>
  <si>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</si>
  <si>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</si>
  <si>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</si>
  <si>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</si>
  <si>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</si>
  <si>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</si>
  <si>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</si>
  <si>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</si>
  <si>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</si>
  <si>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</si>
  <si>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</si>
  <si>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</si>
  <si>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</si>
  <si>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</si>
  <si>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</si>
  <si>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</si>
  <si>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</si>
  <si>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</si>
  <si>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</si>
  <si>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</si>
  <si>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</si>
  <si>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</si>
  <si>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</si>
  <si>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</si>
  <si>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</si>
  <si>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</si>
  <si>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</si>
  <si>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</si>
  <si>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</si>
  <si>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</si>
  <si>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</si>
  <si>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</si>
  <si>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</si>
  <si>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</si>
  <si>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</si>
  <si>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</si>
  <si>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</si>
  <si>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</si>
  <si>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</si>
  <si>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</si>
  <si>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</si>
  <si>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</si>
  <si>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</si>
  <si>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</si>
  <si>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</si>
  <si>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</si>
  <si>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</si>
  <si>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</si>
  <si>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</si>
  <si>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</si>
  <si>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</si>
  <si>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</si>
  <si>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</si>
  <si>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</si>
  <si>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</si>
  <si>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</si>
  <si>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</si>
  <si>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</si>
  <si>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</si>
  <si>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</si>
  <si>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</si>
  <si>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</si>
  <si>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</si>
  <si>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</si>
  <si>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</si>
  <si>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</si>
  <si>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</si>
  <si>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</si>
  <si>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</si>
  <si>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</si>
  <si>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</si>
  <si>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</si>
  <si>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</si>
  <si>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</si>
  <si>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</si>
  <si>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</si>
  <si>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</si>
  <si>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</si>
  <si>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</si>
  <si>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</si>
  <si>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</si>
  <si>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</si>
  <si>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</si>
  <si>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</si>
  <si>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</si>
  <si>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</si>
  <si>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</si>
  <si>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</si>
  <si>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</si>
  <si>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</si>
  <si>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</si>
  <si>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</si>
  <si>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</si>
  <si>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</si>
  <si>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</si>
  <si>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</si>
  <si>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</si>
  <si>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</si>
  <si>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</si>
  <si>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</si>
  <si>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</si>
  <si>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</si>
  <si>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</si>
  <si>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</si>
  <si>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</si>
  <si>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</si>
  <si>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</si>
  <si>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</si>
  <si>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</si>
  <si>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</si>
  <si>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</si>
  <si>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</si>
  <si>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</si>
  <si>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</si>
  <si>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</si>
  <si>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</si>
  <si>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</si>
  <si>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</si>
  <si>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</si>
  <si>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</si>
  <si>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</si>
  <si>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</si>
  <si>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</si>
  <si>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</si>
  <si>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</si>
  <si>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</si>
  <si>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</si>
  <si>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</si>
  <si>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</si>
  <si>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</si>
  <si>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</si>
  <si>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</si>
  <si>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</si>
  <si>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</si>
  <si>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</si>
  <si>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</si>
  <si>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</si>
  <si>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</si>
  <si>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</si>
  <si>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</si>
  <si>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</si>
  <si>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</si>
  <si>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</si>
  <si>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</si>
  <si>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</si>
  <si>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</si>
  <si>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</si>
  <si>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</si>
  <si>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</si>
  <si>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</si>
  <si>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</si>
  <si>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</si>
  <si>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</si>
  <si>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</si>
  <si>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</si>
  <si>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</si>
  <si>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</si>
  <si>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</si>
  <si>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</si>
  <si>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</si>
  <si>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</si>
  <si>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</si>
  <si>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</si>
  <si>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</si>
  <si>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</si>
  <si>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</si>
  <si>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</si>
  <si>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</si>
  <si>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</si>
  <si>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</si>
  <si>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</si>
  <si>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</si>
  <si>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</si>
  <si>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</si>
  <si>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</si>
  <si>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</si>
  <si>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</si>
  <si>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</si>
  <si>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</si>
  <si>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</si>
  <si>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</si>
  <si>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</si>
  <si>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</si>
  <si>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</si>
  <si>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</si>
  <si>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</si>
  <si>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</si>
  <si>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</si>
  <si>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</si>
  <si>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</si>
  <si>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</si>
  <si>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</si>
  <si>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</si>
  <si>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</si>
  <si>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</si>
  <si>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</si>
  <si>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</si>
  <si>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</si>
  <si>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</si>
  <si>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</si>
  <si>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</si>
  <si>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</si>
  <si>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</si>
  <si>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</si>
  <si>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</si>
  <si>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</si>
  <si>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</si>
  <si>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</si>
  <si>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</si>
  <si>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</si>
  <si>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</si>
  <si>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</si>
  <si>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</si>
  <si>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</si>
  <si>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</si>
  <si>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</si>
  <si>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</si>
  <si>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</si>
  <si>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</si>
  <si>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</si>
  <si>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</si>
  <si>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</si>
  <si>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</si>
  <si>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</si>
  <si>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</si>
  <si>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</si>
  <si>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</si>
  <si>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</si>
  <si>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</si>
  <si>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</si>
  <si>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</si>
  <si>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</si>
  <si>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</si>
  <si>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</si>
  <si>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</si>
  <si>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</si>
  <si>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</si>
  <si>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</si>
  <si>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</si>
  <si>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</si>
  <si>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</si>
  <si>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</si>
  <si>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</si>
  <si>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</si>
  <si>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</si>
  <si>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</si>
  <si>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</si>
  <si>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</si>
  <si>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</si>
  <si>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</si>
  <si>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</si>
  <si>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</si>
  <si>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</si>
  <si>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</si>
  <si>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</si>
  <si>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</si>
  <si>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</si>
  <si>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</si>
  <si>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</si>
  <si>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</si>
  <si>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</si>
  <si>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</si>
  <si>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</si>
  <si>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</si>
  <si>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</si>
  <si>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</si>
  <si>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</si>
  <si>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</si>
  <si>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</si>
  <si>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</si>
  <si>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</si>
  <si>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</si>
  <si>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</si>
  <si>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</si>
  <si>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</si>
  <si>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</si>
  <si>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</si>
  <si>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</si>
  <si>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</si>
  <si>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</si>
  <si>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</si>
  <si>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</si>
  <si>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</si>
  <si>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</si>
  <si>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</si>
  <si>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</si>
  <si>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</si>
  <si>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</si>
  <si>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</si>
  <si>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</si>
  <si>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</si>
  <si>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</si>
  <si>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</si>
  <si>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</si>
  <si>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</si>
  <si>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</si>
  <si>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</si>
  <si>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</si>
  <si>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</si>
  <si>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</si>
  <si>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</si>
  <si>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</si>
  <si>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</si>
  <si>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</si>
  <si>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</si>
  <si>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</si>
  <si>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</si>
  <si>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</si>
  <si>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</si>
  <si>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</si>
  <si>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</si>
  <si>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</si>
  <si>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</si>
  <si>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</si>
  <si>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</si>
  <si>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</si>
  <si>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</si>
  <si>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</si>
  <si>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</si>
  <si>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</si>
  <si>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</si>
  <si>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</si>
  <si>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</si>
  <si>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</si>
  <si>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</si>
  <si>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</si>
  <si>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</si>
  <si>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</si>
  <si>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</si>
  <si>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</si>
  <si>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</si>
  <si>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</si>
  <si>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</si>
  <si>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</si>
  <si>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</si>
  <si>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</si>
  <si>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</si>
  <si>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</si>
  <si>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</si>
  <si>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</si>
  <si>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</si>
  <si>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</si>
  <si>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</si>
  <si>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</si>
  <si>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</si>
  <si>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</si>
  <si>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</si>
  <si>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</si>
  <si>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</si>
  <si>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</si>
  <si>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</si>
  <si>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</si>
  <si>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</si>
  <si>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</si>
  <si>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</si>
  <si>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</si>
  <si>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</si>
  <si>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</si>
  <si>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</si>
  <si>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</si>
  <si>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</si>
  <si>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</si>
  <si>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</si>
  <si>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</si>
  <si>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</si>
  <si>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</si>
  <si>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</si>
  <si>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</si>
  <si>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</si>
  <si>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</si>
  <si>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</si>
  <si>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</si>
  <si>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</si>
  <si>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</si>
  <si>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</si>
  <si>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</si>
  <si>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</si>
  <si>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</si>
  <si>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</si>
  <si>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</si>
  <si>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</si>
  <si>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</si>
  <si>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</si>
  <si>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</si>
  <si>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</si>
  <si>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</si>
  <si>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</si>
  <si>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</si>
  <si>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</si>
  <si>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</si>
  <si>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</si>
  <si>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</si>
  <si>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</si>
  <si>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</si>
  <si>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</si>
  <si>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</si>
  <si>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</si>
  <si>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</si>
  <si>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</si>
  <si>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</si>
  <si>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</si>
  <si>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</si>
  <si>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</si>
  <si>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</si>
  <si>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</si>
  <si>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</si>
  <si>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</si>
  <si>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</si>
  <si>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</si>
  <si>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</si>
  <si>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</si>
  <si>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</si>
  <si>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</si>
  <si>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</si>
  <si>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</si>
  <si>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</si>
  <si>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</si>
  <si>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</si>
  <si>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</si>
  <si>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</si>
  <si>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</si>
  <si>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</si>
  <si>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</si>
  <si>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</si>
  <si>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</si>
  <si>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</si>
  <si>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</si>
  <si>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</si>
  <si>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</si>
  <si>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</si>
  <si>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</si>
  <si>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</si>
  <si>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</si>
  <si>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</si>
  <si>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</si>
  <si>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</si>
  <si>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</si>
  <si>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</si>
  <si>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</si>
  <si>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</si>
  <si>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</si>
  <si>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</si>
  <si>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</si>
  <si>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</si>
  <si>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</si>
  <si>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</si>
  <si>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</si>
  <si>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</si>
  <si>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</si>
  <si>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</si>
  <si>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</si>
  <si>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</si>
  <si>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</si>
  <si>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</si>
  <si>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</si>
  <si>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</si>
  <si>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</si>
  <si>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</si>
  <si>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</si>
  <si>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</si>
  <si>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</si>
  <si>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</si>
  <si>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</si>
  <si>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</si>
  <si>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</si>
  <si>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</si>
  <si>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</si>
  <si>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</si>
  <si>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</si>
  <si>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</si>
  <si>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</si>
  <si>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</si>
  <si>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</si>
  <si>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</si>
  <si>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</si>
  <si>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</si>
  <si>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</si>
  <si>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</si>
  <si>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</si>
  <si>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</si>
  <si>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</si>
  <si>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</si>
  <si>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</si>
  <si>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</si>
  <si>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</si>
  <si>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</si>
  <si>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</si>
  <si>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</si>
  <si>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</si>
  <si>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</si>
  <si>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</si>
  <si>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</si>
  <si>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</si>
  <si>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</si>
  <si>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</si>
  <si>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</si>
  <si>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</si>
  <si>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</si>
  <si>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</si>
  <si>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</si>
  <si>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</si>
  <si>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</si>
  <si>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</si>
  <si>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</si>
  <si>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</si>
  <si>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</si>
  <si>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</si>
  <si>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</si>
  <si>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</si>
  <si>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</si>
  <si>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</si>
  <si>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</si>
  <si>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</si>
  <si>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</si>
  <si>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</si>
  <si>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</si>
  <si>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</si>
  <si>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</si>
  <si>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</si>
  <si>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</si>
  <si>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</si>
  <si>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</si>
  <si>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</si>
  <si>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</si>
  <si>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</si>
  <si>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</si>
  <si>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</si>
  <si>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</si>
  <si>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</si>
  <si>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</si>
  <si>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</si>
  <si>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</si>
  <si>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</si>
  <si>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</si>
  <si>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</si>
  <si>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</si>
  <si>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</si>
  <si>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</si>
  <si>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</si>
  <si>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</si>
  <si>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</si>
  <si>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</si>
  <si>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</si>
  <si>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</si>
  <si>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</si>
  <si>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</si>
  <si>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</si>
  <si>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</si>
  <si>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</si>
  <si>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</si>
  <si>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</si>
  <si>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</si>
  <si>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</si>
  <si>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</si>
  <si>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</si>
  <si>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</si>
  <si>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</si>
  <si>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</si>
  <si>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</si>
  <si>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</si>
  <si>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</si>
  <si>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</si>
  <si>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</si>
  <si>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</si>
  <si>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</si>
  <si>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</si>
  <si>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</si>
  <si>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</si>
  <si>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</si>
  <si>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</si>
  <si>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</si>
  <si>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</si>
  <si>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</si>
  <si>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</si>
  <si>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</si>
  <si>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</si>
  <si>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</si>
  <si>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</si>
  <si>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</si>
  <si>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</si>
  <si>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</si>
  <si>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</si>
  <si>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</si>
  <si>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</si>
  <si>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</si>
  <si>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</si>
  <si>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</si>
  <si>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</si>
  <si>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</si>
  <si>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</si>
  <si>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</si>
  <si>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</si>
  <si>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</si>
  <si>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</si>
  <si>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</si>
  <si>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</si>
  <si>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</si>
  <si>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</si>
  <si>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</si>
  <si>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</si>
  <si>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</si>
  <si>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</si>
  <si>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</si>
  <si>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</si>
  <si>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</si>
  <si>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</si>
  <si>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</si>
  <si>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</si>
  <si>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</si>
  <si>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</si>
  <si>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</si>
  <si>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</si>
  <si>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</si>
  <si>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</si>
  <si>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</si>
  <si>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</si>
  <si>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</si>
  <si>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</si>
  <si>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</si>
  <si>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</si>
  <si>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</si>
  <si>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</si>
  <si>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</si>
  <si>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</si>
  <si>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</si>
  <si>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</si>
  <si>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</si>
  <si>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</si>
  <si>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</si>
  <si>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</si>
  <si>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</si>
  <si>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</si>
  <si>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</si>
  <si>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</si>
  <si>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</si>
  <si>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</si>
  <si>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</si>
  <si>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</si>
  <si>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</si>
  <si>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</si>
  <si>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</si>
  <si>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</si>
  <si>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</si>
  <si>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</si>
  <si>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</si>
  <si>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</si>
  <si>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</si>
  <si>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</si>
  <si>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</si>
  <si>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</si>
  <si>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</si>
  <si>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</si>
  <si>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</si>
  <si>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</si>
  <si>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</si>
  <si>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</si>
  <si>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</si>
  <si>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</si>
  <si>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</si>
  <si>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</si>
  <si>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</si>
  <si>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</si>
  <si>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</si>
  <si>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</si>
  <si>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</si>
  <si>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</si>
  <si>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</si>
  <si>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</si>
  <si>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</si>
  <si>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</si>
  <si>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</si>
  <si>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</si>
  <si>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</si>
  <si>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</si>
  <si>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</si>
  <si>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</si>
  <si>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</si>
  <si>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</si>
  <si>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</si>
  <si>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</si>
  <si>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</si>
  <si>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</si>
  <si>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</si>
  <si>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</si>
  <si>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</si>
  <si>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</si>
  <si>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</si>
  <si>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</si>
  <si>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</si>
  <si>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</si>
  <si>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</si>
  <si>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</si>
  <si>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</si>
  <si>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</si>
  <si>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</si>
  <si>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</si>
  <si>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</si>
  <si>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</si>
  <si>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</si>
  <si>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</si>
  <si>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</si>
  <si>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</si>
  <si>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</si>
  <si>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</si>
  <si>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</si>
  <si>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</si>
  <si>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</si>
  <si>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</si>
  <si>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</si>
  <si>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</si>
  <si>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</si>
  <si>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</si>
  <si>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</si>
  <si>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</si>
  <si>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</si>
  <si>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</si>
  <si>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</si>
  <si>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</si>
  <si>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</si>
  <si>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</si>
  <si>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</si>
  <si>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</si>
  <si>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</si>
  <si>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</si>
  <si>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</si>
  <si>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</si>
  <si>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</si>
  <si>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</si>
  <si>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</si>
  <si>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</si>
  <si>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</si>
  <si>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</si>
  <si>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</si>
  <si>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</si>
  <si>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</si>
  <si>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</si>
  <si>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</si>
  <si>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</si>
  <si>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</si>
  <si>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1 - 04/08/2026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</si>
</sst>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39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38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97.556899999999999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6.9268999999999963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10.1296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32.788699999999999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18.258200000000002</c:v>
                </c:pt>
                <c:pt idx="1">
                  <c:v>0.14000000000000001</c:v>
                </c:pt>
                <c:pt idx="2">
                  <c:v>3.7</c:v>
                </c:pt>
                <c:pt idx="3">
                  <c:v>2.8919999999999999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64.768200000000007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3.3136999999999999</c:v>
                </c:pt>
                <c:pt idx="3">
                  <c:v>12.738799999999999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73.975300000000004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10.909099999999999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0.28779999999999939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23.074999999999999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39" totalsRowShown="0" headerRowDxfId="127" tableBorderDxfId="126">
  <autoFilter ref="A1:AW839" xr:uid="{00000000-000C-0000-FFFF-FFFF00000000}">
    <filterColumn colId="10">
      <filters>
        <filter val="BASES ROLETES"/>
      </filters>
    </filterColumn>
    <filterColumn colId="11">
      <filters>
        <filter val="P-898"/>
      </filters>
    </filterColumn>
  </autoFilter>
  <tableColumns count="49">
    <tableColumn id="1" xr3:uid="{00000000-0010-0000-0000-000001000000}" name="DESENHO_x000a_MDE" dataDxfId="125"/>
    <tableColumn id="43" xr3:uid="{56981E1B-CD3E-434D-AB02-C5F83A6F3E43}" name="DESENHO_x000a_CLIENTE" dataDxfId="124"/>
    <tableColumn id="2" xr3:uid="{00000000-0010-0000-0000-000002000000}" name="QTE" dataDxfId="123"/>
    <tableColumn id="3" xr3:uid="{00000000-0010-0000-0000-000003000000}" name="DESCRIÇÃO" dataDxfId="122"/>
    <tableColumn id="41" xr3:uid="{00000000-0010-0000-0000-000029000000}" name="COD.MDE" dataDxfId="121"/>
    <tableColumn id="40" xr3:uid="{00000000-0010-0000-0000-000028000000}" name="REMESSA" dataDxfId="120"/>
    <tableColumn id="4" xr3:uid="{00000000-0010-0000-0000-000004000000}" name="PESO UNI" dataDxfId="119"/>
    <tableColumn id="5" xr3:uid="{00000000-0010-0000-0000-000005000000}" name="PESO TOTAL" dataDxfId="118"/>
    <tableColumn id="6" xr3:uid="{00000000-0010-0000-0000-000006000000}" name="Revisão" dataDxfId="117"/>
    <tableColumn id="7" xr3:uid="{00000000-0010-0000-0000-000007000000}" name="TAG" dataDxfId="116"/>
    <tableColumn id="38" xr3:uid="{00000000-0010-0000-0000-000026000000}" name="PRODUTO" dataDxfId="115"/>
    <tableColumn id="8" xr3:uid="{00000000-0010-0000-0000-000008000000}" name="PEDIDO" dataDxfId="114"/>
    <tableColumn id="9" xr3:uid="{00000000-0010-0000-0000-000009000000}" name="Engenharia" dataDxfId="113"/>
    <tableColumn id="10" xr3:uid="{00000000-0010-0000-0000-00000A000000}" name="FORNECEDOR" dataDxfId="112"/>
    <tableColumn id="11" xr3:uid="{00000000-0010-0000-0000-00000B000000}" name="QTDE/ Fabricação" dataDxfId="111"/>
    <tableColumn id="12" xr3:uid="{00000000-0010-0000-0000-00000C000000}" name="DATA/Fabricação" dataDxfId="110"/>
    <tableColumn id="13" xr3:uid="{00000000-0010-0000-0000-00000D000000}" name="SALDO PENDENTE/Fabricação" dataDxfId="109"/>
    <tableColumn id="14" xr3:uid="{00000000-0010-0000-0000-00000E000000}" name="EVOLUÇÃO PRETO / Fabricação_x000a_(kg)" dataDxfId="108"/>
    <tableColumn id="15" xr3:uid="{00000000-0010-0000-0000-00000F000000}" name="PRONTO ACABADO kg" dataDxfId="107">
      <calculatedColumnFormula>IFERROR(H2*AG2,"")</calculatedColumnFormula>
    </tableColumn>
    <tableColumn id="16" xr3:uid="{00000000-0010-0000-0000-000010000000}" name="Pendencia  / Fabricação_x000a_EM KG" dataDxfId="106"/>
    <tableColumn id="17" xr3:uid="{00000000-0010-0000-0000-000011000000}" name="QIANTIDADE EXPEDIDA" dataDxfId="105"/>
    <tableColumn id="18" xr3:uid="{00000000-0010-0000-0000-000012000000}" name="ROMANEIO " dataDxfId="104"/>
    <tableColumn id="19" xr3:uid="{00000000-0010-0000-0000-000013000000}" name="DATA EXPEDIÇÃO" dataDxfId="103"/>
    <tableColumn id="20" xr3:uid="{00000000-0010-0000-0000-000014000000}" name="Peso Expedido" dataDxfId="102"/>
    <tableColumn id="21" xr3:uid="{00000000-0010-0000-0000-000015000000}" name="QUANTIDADE PENDENTE/Expedição" dataDxfId="101"/>
    <tableColumn id="22" xr3:uid="{00000000-0010-0000-0000-000016000000}" name="PESO PENDENTE/Expedição" dataDxfId="100"/>
    <tableColumn id="23" xr3:uid="{00000000-0010-0000-0000-000017000000}" name="MATÉRIA PRIMA" dataDxfId="99"/>
    <tableColumn id="24" xr3:uid="{00000000-0010-0000-0000-000018000000}" name="RELATORIO" dataDxfId="98"/>
    <tableColumn id="25" xr3:uid="{00000000-0010-0000-0000-000019000000}" name="PREPARAÇÃO " dataDxfId="97"/>
    <tableColumn id="26" xr3:uid="{00000000-0010-0000-0000-00001A000000}" name="CALDEIRARIA" dataDxfId="96"/>
    <tableColumn id="27" xr3:uid="{00000000-0010-0000-0000-00001B000000}" name="SOLDA" dataDxfId="95"/>
    <tableColumn id="28" xr3:uid="{00000000-0010-0000-0000-00001C000000}" name="ACABAMENTO" dataDxfId="94"/>
    <tableColumn id="29" xr3:uid="{00000000-0010-0000-0000-00001D000000}" name="PRONTO ACABADO" dataDxfId="93"/>
    <tableColumn id="30" xr3:uid="{00000000-0010-0000-0000-00001E000000}" name="EXPEDIÇÃO " dataDxfId="92"/>
    <tableColumn id="31" xr3:uid="{00000000-0010-0000-0000-00001F000000}" name="FINALIZADO " dataDxfId="91"/>
    <tableColumn id="32" xr3:uid="{00000000-0010-0000-0000-000020000000}" name="Coluna1" dataDxfId="90"/>
    <tableColumn id="33" xr3:uid="{00000000-0010-0000-0000-000021000000}" name="Coluna2" dataDxfId="89"/>
    <tableColumn id="34" xr3:uid="{00000000-0010-0000-0000-000022000000}" name="Coluna3" dataDxfId="88"/>
    <tableColumn id="35" xr3:uid="{00000000-0010-0000-0000-000023000000}" name="Coluna4" dataDxfId="87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86"/>
    <tableColumn id="42" xr3:uid="{44772FB5-94B9-4683-9D51-42A525419432}" name="Colunas7" dataDxfId="85"/>
    <tableColumn id="44" xr3:uid="{7DBCA215-A831-41EC-8668-4217050D7CEF}" name="Coluna5" dataDxfId="84"/>
    <tableColumn id="52" xr3:uid="{0F1E3E30-ACD2-41A7-9FEB-CFC4141C720F}" name="PRONTO NO PRETO" dataDxfId="83"/>
    <tableColumn id="53" xr3:uid="{7B42991E-C57D-449B-9CA4-FF51ED3B7EE1}" name="PRONTO ACABADO3" dataDxfId="82"/>
    <tableColumn id="54" xr3:uid="{B185D57F-2904-41B4-A913-414AD30553DC}" name="PESO EXPEDIDO2" dataDxfId="81"/>
    <tableColumn id="55" xr3:uid="{216FC5C0-1E81-4ACF-B1FE-D38AAA1F26E6}" name="PRONTO ACABADO2" dataDxfId="80"/>
    <tableColumn id="57" xr3:uid="{58807113-78D0-4422-B88A-8E66792B9681}" name="Coluna7" dataDxfId="79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9" totalsRowShown="0" headerRowDxfId="137" headerRowBorderDxfId="136" tableBorderDxfId="135" totalsRowBorderDxfId="134">
  <autoFilter ref="A1:F19" xr:uid="{9E04BDB3-7991-400D-A075-6EF4E207F167}"/>
  <tableColumns count="6">
    <tableColumn id="1" xr3:uid="{0986BF72-EBA9-4CAA-A22C-20021A2F0193}" name="PEDIDO" dataDxfId="133"/>
    <tableColumn id="2" xr3:uid="{1E29E510-3230-4D4A-9101-BF1603DA1959}" name="EQUIPAMENTO" dataDxfId="132"/>
    <tableColumn id="3" xr3:uid="{27EA8246-98FE-4DF0-AB4F-2563340E3A33}" name="DATA PREVISTA " dataDxfId="131"/>
    <tableColumn id="4" xr3:uid="{178705E0-20E1-4EA8-BD6A-04EDA09B960F}" name="DATA REPROGRAMADA" dataDxfId="130"/>
    <tableColumn id="5" xr3:uid="{D69E8AE6-FCF7-4D70-8443-DFF41092DBA5}" name="Observação" dataDxfId="129"/>
    <tableColumn id="6" xr3:uid="{7ED96CF2-6F65-4A02-A0B9-FFDE23E894EB}" name="CLIENTE" dataDxfId="12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78">
  <autoFilter ref="D3:R395" xr:uid="{D635AFD0-01A4-4F4C-B4BB-2C0A84AFA373}"/>
  <tableColumns count="15">
    <tableColumn id="1" xr3:uid="{71019319-E348-41C4-90A8-BD800AFA385A}" name="TAG" dataDxfId="77"/>
    <tableColumn id="2" xr3:uid="{6205B1F5-4B96-401E-A8F0-D0B582A87E91}" name="PEDIDO" dataDxfId="76">
      <calculatedColumnFormula>VLOOKUP(Tabela2[[#This Row],[TAG]],MICRO!J:L,3,0)</calculatedColumnFormula>
    </tableColumn>
    <tableColumn id="3" xr3:uid="{EBC41BBB-459B-4DB5-8152-2C7C2C7ADFAA}" name="FORNECEDOR" dataDxfId="75" dataCellStyle="Normal 2"/>
    <tableColumn id="4" xr3:uid="{EE719B42-3B82-4AC6-AB4D-66A5AF76AAFC}" name="RECEBIDO ENGENHARIA (kg)" dataDxfId="74">
      <calculatedColumnFormula>SUMIF(MICRO!AP:AP,O:O,MICRO!H:H)</calculatedColumnFormula>
    </tableColumn>
    <tableColumn id="5" xr3:uid="{F8EF71F0-2467-40E6-8596-0C50AE8B2E56}" name="EM AVANÇO NO PRETO (kg)" dataDxfId="73">
      <calculatedColumnFormula>SUMIF(MICRO!AP:AP,O:O,MICRO!R:R)</calculatedColumnFormula>
    </tableColumn>
    <tableColumn id="6" xr3:uid="{70FA8036-1726-409E-865E-BBD68DD0CF2B}" name="Pendencia  / Fabricação_x000a_EM KG _x000a_(Kg)" dataDxfId="72">
      <calculatedColumnFormula>SUMIF(MICRO!AP:AP,O:O,MICRO!T:T)</calculatedColumnFormula>
    </tableColumn>
    <tableColumn id="7" xr3:uid="{2EDBF5C8-B6A0-4234-9B37-F4D245CBE335}" name="EVOLUÇÃO %" dataDxfId="71">
      <calculatedColumnFormula>IF(G4 = 0,0,H4/G4)</calculatedColumnFormula>
    </tableColumn>
    <tableColumn id="8" xr3:uid="{981D372E-5C81-43AA-82CF-C526D0CD7BC5}" name="PESO EXPEDIDO" dataDxfId="70">
      <calculatedColumnFormula>SUMIF(MICRO!AP:AP,O:O,MICRO!X:X)</calculatedColumnFormula>
    </tableColumn>
    <tableColumn id="9" xr3:uid="{9581E1B5-4976-4A66-B050-5EDFF64499FF}" name="% EXPEDIDO" dataDxfId="69">
      <calculatedColumnFormula>IF(G4&lt;&gt;0,SUM(K4/G4*1),"0%")</calculatedColumnFormula>
    </tableColumn>
    <tableColumn id="10" xr3:uid="{5A0DEF47-FBD5-46D6-A019-DB5E3CF46E5B}" name="PESO PENDENTE4" dataDxfId="68">
      <calculatedColumnFormula>G4-K4</calculatedColumnFormula>
    </tableColumn>
    <tableColumn id="11" xr3:uid="{AD13F8E0-0652-4176-B922-E74BEC175E7A}" name="Coluna1" dataDxfId="67">
      <calculatedColumnFormula>E4&amp;F4</calculatedColumnFormula>
    </tableColumn>
    <tableColumn id="12" xr3:uid="{9AB5E2D8-1AD6-4B63-A9ED-66372E94A48F}" name="Coluna2" dataDxfId="66">
      <calculatedColumnFormula>D4&amp;E4&amp;F4</calculatedColumnFormula>
    </tableColumn>
    <tableColumn id="13" xr3:uid="{ED15B1A8-5672-4E4D-9246-3BC797332C64}" name="PRONTO NO PRETO" dataDxfId="65">
      <calculatedColumnFormula>SUMIF(MICRO!AP:AP,O4,MICRO!AS:AS)</calculatedColumnFormula>
    </tableColumn>
    <tableColumn id="14" xr3:uid="{986427E9-0E8F-46D1-987F-01DBA908B397}" name="PRONTO ACABADO" dataDxfId="64">
      <calculatedColumnFormula>SUMIF(MICRO!AP:AP,O4,MICRO!AT:AT)</calculatedColumnFormula>
    </tableColumn>
    <tableColumn id="15" xr3:uid="{4361E9F4-014E-4677-9D4A-8DBAE707BA31}" name="PESO EXPEDIDO2" dataDxfId="63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1" t="s">
        <v>326</v>
      </c>
      <c r="B1" s="233" t="s">
        <v>891</v>
      </c>
      <c r="C1" s="234"/>
      <c r="D1" s="234"/>
      <c r="E1" s="234"/>
      <c r="F1" s="234"/>
      <c r="G1" s="235"/>
      <c r="H1" s="228" t="s">
        <v>331</v>
      </c>
      <c r="I1" s="229"/>
      <c r="J1" s="229"/>
      <c r="K1" s="230"/>
    </row>
    <row r="2" spans="1:11" x14ac:dyDescent="0.25">
      <c r="A2" s="232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5"/>
      <c r="B5" s="226"/>
      <c r="C5" s="226"/>
      <c r="D5" s="226"/>
      <c r="E5" s="226"/>
      <c r="F5" s="226"/>
      <c r="G5" s="226"/>
      <c r="H5" s="226"/>
      <c r="I5" s="226"/>
      <c r="J5" s="226"/>
      <c r="K5" s="227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39"/>
  <sheetViews>
    <sheetView showGridLines="0" tabSelected="1" topLeftCell="N1" zoomScale="77" zoomScaleNormal="77" workbookViewId="0">
      <pane ySplit="1" topLeftCell="A454" activePane="bottomLeft" state="frozen"/>
      <selection pane="bottomLeft" activeCell="AG844" sqref="AG844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99</v>
      </c>
      <c r="AU35" s="37">
        <f t="shared" si="5"/>
        <v>0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122.99999999999999</v>
      </c>
      <c r="AU80" s="37">
        <f t="shared" si="12"/>
        <v>0</v>
      </c>
      <c r="AV80" s="37">
        <f t="shared" si="13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112.08499999999999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23.925000000000001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329.07749999999999</v>
      </c>
      <c r="S129" s="18">
        <f t="shared" si="29"/>
        <v>0</v>
      </c>
      <c r="T129" s="19">
        <f t="shared" si="27"/>
        <v>-453.9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453.9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16.095000000000002</v>
      </c>
      <c r="S130" s="18">
        <f t="shared" si="29"/>
        <v>0</v>
      </c>
      <c r="T130" s="19">
        <f t="shared" si="27"/>
        <v>-22.200000000000003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341.185</v>
      </c>
      <c r="S131" s="18">
        <f t="shared" si="29"/>
        <v>0</v>
      </c>
      <c r="T131" s="19">
        <f t="shared" si="27"/>
        <v>-470.6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470.6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174.29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>
        <v>1</v>
      </c>
      <c r="AB151" s="33"/>
      <c r="AC151" s="33">
        <v>1</v>
      </c>
      <c r="AD151" s="33">
        <v>1</v>
      </c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6.96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66.12</v>
      </c>
      <c r="S443" s="18">
        <f t="shared" si="74"/>
        <v>0</v>
      </c>
      <c r="T443" s="19">
        <f t="shared" si="82"/>
        <v>-91.2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91.2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148.76999999999998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27.84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0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/>
      <c r="AB446" s="33"/>
      <c r="AC446" s="33"/>
      <c r="AD446" s="33"/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18.7775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1.885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0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491.94150000000002</v>
      </c>
      <c r="S450" s="18">
        <f t="shared" ref="S450:S458" si="87">IFERROR(H450*AG450,"")</f>
        <v>0</v>
      </c>
      <c r="T450" s="19">
        <f t="shared" ref="T450:T458" si="88">IFERROR(S450-H450,"")</f>
        <v>-748.2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/>
      <c r="X450" s="14">
        <f>IFERROR(Tabela1[[#This Row],[QIANTIDADE EXPEDIDA]]*Tabela1[[#This Row],[PESO UNI]],"")</f>
        <v>0</v>
      </c>
      <c r="Y450" s="14">
        <f t="shared" ref="Y450:Y458" si="89">U450-C450</f>
        <v>-1</v>
      </c>
      <c r="Z450" s="20">
        <f>Tabela1[[#This Row],[PESO TOTAL]]-Tabela1[[#This Row],[Peso Expedido]]</f>
        <v>748.2</v>
      </c>
      <c r="AA450" s="33">
        <v>1</v>
      </c>
      <c r="AB450" s="33"/>
      <c r="AC450" s="33">
        <v>1</v>
      </c>
      <c r="AD450" s="33">
        <v>0.7</v>
      </c>
      <c r="AE450" s="33"/>
      <c r="AF450" s="33"/>
      <c r="AG450" s="33"/>
      <c r="AH450" s="28"/>
      <c r="AI450" s="33" t="str">
        <f t="shared" si="69"/>
        <v/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2400.5324999999998</v>
      </c>
      <c r="S451" s="18">
        <f t="shared" si="87"/>
        <v>0</v>
      </c>
      <c r="T451" s="19">
        <f t="shared" si="88"/>
        <v>-3651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/>
      <c r="X451" s="14">
        <f>IFERROR(Tabela1[[#This Row],[QIANTIDADE EXPEDIDA]]*Tabela1[[#This Row],[PESO UNI]],"")</f>
        <v>0</v>
      </c>
      <c r="Y451" s="14">
        <f t="shared" si="89"/>
        <v>-5</v>
      </c>
      <c r="Z451" s="20">
        <f>Tabela1[[#This Row],[PESO TOTAL]]-Tabela1[[#This Row],[Peso Expedido]]</f>
        <v>3651</v>
      </c>
      <c r="AA451" s="33">
        <v>1</v>
      </c>
      <c r="AB451" s="33"/>
      <c r="AC451" s="33">
        <v>1</v>
      </c>
      <c r="AD451" s="33">
        <v>0.7</v>
      </c>
      <c r="AE451" s="33"/>
      <c r="AF451" s="33"/>
      <c r="AG451" s="33"/>
      <c r="AH451" s="28"/>
      <c r="AI451" s="33" t="str">
        <f t="shared" si="69"/>
        <v/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87"/>
        <v>133.70000000000002</v>
      </c>
      <c r="T454" s="19">
        <f t="shared" si="88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69"/>
        <v/>
      </c>
    </row>
    <row r="455" spans="1:49" ht="15.75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87"/>
        <v>109.19999999999999</v>
      </c>
      <c r="T455" s="19">
        <f t="shared" si="88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69"/>
        <v/>
      </c>
    </row>
    <row r="456" spans="1:49" ht="15.75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87"/>
        <v>48</v>
      </c>
      <c r="T456" s="19">
        <f t="shared" si="88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69"/>
        <v/>
      </c>
    </row>
    <row r="457" spans="1:49" ht="15.75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87"/>
        <v>70</v>
      </c>
      <c r="T457" s="19">
        <f t="shared" si="88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69"/>
        <v/>
      </c>
    </row>
    <row r="458" spans="1:49" ht="15.75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87"/>
        <v>138</v>
      </c>
      <c r="T458" s="19">
        <f t="shared" si="88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0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/>
      <c r="AB604" s="33"/>
      <c r="AC604" s="33"/>
      <c r="AD604" s="33"/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0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/>
      <c r="AB623" s="33"/>
      <c r="AC623" s="33"/>
      <c r="AD623" s="33"/>
      <c r="AE623" s="33"/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0</v>
      </c>
      <c r="S764" s="18">
        <f>IFERROR(H764*AG764,"")</f>
        <v>0</v>
      </c>
      <c r="T764" s="19">
        <f>IFERROR(S764-H764,"")</f>
        <v>-4.78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/>
      <c r="AB764" s="33"/>
      <c r="AC764" s="33"/>
      <c r="AD764" s="33"/>
      <c r="AE764" s="33"/>
      <c r="AF764" s="33"/>
      <c r="AG764" s="33"/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0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/>
      <c r="AB765" s="33"/>
      <c r="AC765" s="33"/>
      <c r="AD765" s="33"/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0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/>
      <c r="AB766" s="33"/>
      <c r="AC766" s="33"/>
      <c r="AD766" s="33"/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0</v>
      </c>
      <c r="S767" s="18">
        <f t="shared" si="130"/>
        <v>0</v>
      </c>
      <c r="T767" s="19">
        <f t="shared" si="131"/>
        <v>-194.4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/>
      <c r="AB767" s="33"/>
      <c r="AC767" s="33"/>
      <c r="AD767" s="33"/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0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/>
      <c r="AB768" s="33"/>
      <c r="AC768" s="33"/>
      <c r="AD768" s="33"/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0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/>
      <c r="AB769" s="33"/>
      <c r="AC769" s="33"/>
      <c r="AD769" s="33"/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0</v>
      </c>
      <c r="S770" s="18">
        <f t="shared" ref="S770:S780" si="134">IFERROR(H770*AG770,"")</f>
        <v>0</v>
      </c>
      <c r="T770" s="19">
        <f t="shared" ref="T770:T780" si="135">IFERROR(S770-H770,"")</f>
        <v>-288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/>
      <c r="AB770" s="33"/>
      <c r="AC770" s="33"/>
      <c r="AD770" s="33"/>
      <c r="AE770" s="33"/>
      <c r="AF770" s="33"/>
      <c r="AG770" s="33"/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1045.3599999999999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0.2</v>
      </c>
      <c r="AD773" s="33">
        <v>0.2</v>
      </c>
      <c r="AE773" s="33">
        <v>0.2</v>
      </c>
      <c r="AF773" s="33">
        <v>0.2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4982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4982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4982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4982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4982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4982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4982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4982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4982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4982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4982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4982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4982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4982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4982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4982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4982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4982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4982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4982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4982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4982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4982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4982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4982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4982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4982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4982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4982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4982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4982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4982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4982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 t="s">
        <v>4982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4982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4982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4982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4982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4982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 t="s">
        <v>4982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4982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4982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4982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4982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4982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1337.3</v>
      </c>
      <c r="H824" s="34">
        <f>Tabela1[[#This Row],[PESO UNI]]*Tabela1[[#This Row],[QTE]]</f>
        <v>1337.3</v>
      </c>
      <c r="I824" s="7">
        <v>0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-1337.3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1337.3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4942</v>
      </c>
      <c r="B825" s="21" t="s">
        <v>4943</v>
      </c>
      <c r="C825" s="1">
        <v>1</v>
      </c>
      <c r="D825" s="1" t="s">
        <v>4944</v>
      </c>
      <c r="E825" s="7">
        <v>4480</v>
      </c>
      <c r="F825" s="7">
        <v>44</v>
      </c>
      <c r="G825" s="1">
        <v>485.6</v>
      </c>
      <c r="H825" s="34">
        <f>Tabela1[[#This Row],[PESO UNI]]*Tabela1[[#This Row],[QTE]]</f>
        <v>485.6</v>
      </c>
      <c r="I825" s="7">
        <v>0</v>
      </c>
      <c r="J825" s="8" t="s">
        <v>3093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-485.6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485.6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4942</v>
      </c>
      <c r="B826" s="21" t="s">
        <v>4943</v>
      </c>
      <c r="C826" s="1">
        <v>2</v>
      </c>
      <c r="D826" s="1" t="s">
        <v>4945</v>
      </c>
      <c r="E826" s="7">
        <v>4481</v>
      </c>
      <c r="F826" s="7">
        <v>44</v>
      </c>
      <c r="G826" s="1">
        <v>90.6</v>
      </c>
      <c r="H826" s="34">
        <f>Tabela1[[#This Row],[PESO UNI]]*Tabela1[[#This Row],[QTE]]</f>
        <v>181.2</v>
      </c>
      <c r="I826" s="7">
        <v>0</v>
      </c>
      <c r="J826" s="8" t="s">
        <v>3093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-2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-181.2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-2</v>
      </c>
      <c r="Z826" s="20">
        <f>Tabela1[[#This Row],[PESO TOTAL]]-Tabela1[[#This Row],[Peso Expedido]]</f>
        <v>181.2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4942</v>
      </c>
      <c r="B827" s="21" t="s">
        <v>4943</v>
      </c>
      <c r="C827" s="1">
        <v>2</v>
      </c>
      <c r="D827" s="1" t="s">
        <v>4946</v>
      </c>
      <c r="E827" s="7">
        <v>4482</v>
      </c>
      <c r="F827" s="7">
        <v>44</v>
      </c>
      <c r="G827" s="1">
        <v>113.8</v>
      </c>
      <c r="H827" s="34">
        <f>Tabela1[[#This Row],[PESO UNI]]*Tabela1[[#This Row],[QTE]]</f>
        <v>227.6</v>
      </c>
      <c r="I827" s="7">
        <v>0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-2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-227.6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-2</v>
      </c>
      <c r="Z827" s="20">
        <f>Tabela1[[#This Row],[PESO TOTAL]]-Tabela1[[#This Row],[Peso Expedido]]</f>
        <v>227.6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4947</v>
      </c>
      <c r="B828" s="21" t="s">
        <v>4948</v>
      </c>
      <c r="C828" s="1">
        <v>2</v>
      </c>
      <c r="D828" s="1" t="s">
        <v>4949</v>
      </c>
      <c r="E828" s="7">
        <v>4483</v>
      </c>
      <c r="F828" s="7">
        <v>44</v>
      </c>
      <c r="G828" s="1">
        <v>19.399999999999999</v>
      </c>
      <c r="H828" s="34">
        <f>Tabela1[[#This Row],[PESO UNI]]*Tabela1[[#This Row],[QTE]]</f>
        <v>38.799999999999997</v>
      </c>
      <c r="I828" s="7">
        <v>0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-38.799999999999997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38.799999999999997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4947</v>
      </c>
      <c r="B829" s="21" t="s">
        <v>4948</v>
      </c>
      <c r="C829" s="1">
        <v>2</v>
      </c>
      <c r="D829" s="1" t="s">
        <v>4950</v>
      </c>
      <c r="E829" s="7">
        <v>4484</v>
      </c>
      <c r="F829" s="7">
        <v>44</v>
      </c>
      <c r="G829" s="1">
        <v>26.2</v>
      </c>
      <c r="H829" s="34">
        <f>Tabela1[[#This Row],[PESO UNI]]*Tabela1[[#This Row],[QTE]]</f>
        <v>52.4</v>
      </c>
      <c r="I829" s="7">
        <v>0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-52.4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52.4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4947</v>
      </c>
      <c r="B830" s="21" t="s">
        <v>4948</v>
      </c>
      <c r="C830" s="1">
        <v>2</v>
      </c>
      <c r="D830" s="1" t="s">
        <v>4951</v>
      </c>
      <c r="E830" s="7">
        <v>4485</v>
      </c>
      <c r="F830" s="7">
        <v>44</v>
      </c>
      <c r="G830" s="1">
        <v>2.2000000000000002</v>
      </c>
      <c r="H830" s="34">
        <f>Tabela1[[#This Row],[PESO UNI]]*Tabela1[[#This Row],[QTE]]</f>
        <v>4.4000000000000004</v>
      </c>
      <c r="I830" s="7">
        <v>0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-4.4000000000000004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4.4000000000000004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4947</v>
      </c>
      <c r="B831" s="21" t="s">
        <v>4948</v>
      </c>
      <c r="C831" s="1">
        <v>2</v>
      </c>
      <c r="D831" s="1" t="s">
        <v>4952</v>
      </c>
      <c r="E831" s="7">
        <v>4486</v>
      </c>
      <c r="F831" s="7">
        <v>44</v>
      </c>
      <c r="G831" s="1">
        <v>6.9</v>
      </c>
      <c r="H831" s="34">
        <f>Tabela1[[#This Row],[PESO UNI]]*Tabela1[[#This Row],[QTE]]</f>
        <v>13.8</v>
      </c>
      <c r="I831" s="7">
        <v>0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-13.8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13.8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733</v>
      </c>
      <c r="B832" s="21"/>
      <c r="C832" s="1">
        <v>2</v>
      </c>
      <c r="D832" s="1" t="s">
        <v>4954</v>
      </c>
      <c r="E832" s="7">
        <v>4487</v>
      </c>
      <c r="F832" s="7">
        <v>71</v>
      </c>
      <c r="G832" s="1">
        <v>7.4</v>
      </c>
      <c r="H832" s="34">
        <f>Tabela1[[#This Row],[PESO UNI]]*Tabela1[[#This Row],[QTE]]</f>
        <v>14.8</v>
      </c>
      <c r="I832" s="7">
        <v>0</v>
      </c>
      <c r="J832" s="8" t="s">
        <v>585</v>
      </c>
      <c r="K832" s="8" t="s">
        <v>23</v>
      </c>
      <c r="L832" s="9" t="s">
        <v>4955</v>
      </c>
      <c r="M832" s="10">
        <v>46234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-14.8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14.8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4956</v>
      </c>
      <c r="B833" s="21"/>
      <c r="C833" s="1">
        <v>1</v>
      </c>
      <c r="D833" s="1" t="s">
        <v>4957</v>
      </c>
      <c r="E833" s="7">
        <v>4488</v>
      </c>
      <c r="F833" s="7">
        <v>45</v>
      </c>
      <c r="G833" s="1">
        <v>3649.4</v>
      </c>
      <c r="H833" s="34">
        <f>Tabela1[[#This Row],[PESO UNI]]*Tabela1[[#This Row],[QTE]]</f>
        <v>3649.4</v>
      </c>
      <c r="I833" s="7">
        <v>0</v>
      </c>
      <c r="J833" s="8" t="s">
        <v>3093</v>
      </c>
      <c r="K833" s="8" t="s">
        <v>22</v>
      </c>
      <c r="L833" s="9" t="s">
        <v>2984</v>
      </c>
      <c r="M833" s="10">
        <v>46237</v>
      </c>
      <c r="N833" s="8" t="s">
        <v>38</v>
      </c>
      <c r="O833" s="12"/>
      <c r="P833" s="13"/>
      <c r="Q833" s="14">
        <f>Tabela1[[#This Row],[QTDE/ Fabricação]]-Tabela1[[#This Row],[QTE]]</f>
        <v>-1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-3649.4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-1</v>
      </c>
      <c r="Z833" s="20">
        <f>Tabela1[[#This Row],[PESO TOTAL]]-Tabela1[[#This Row],[Peso Expedido]]</f>
        <v>3649.4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4959</v>
      </c>
      <c r="B834" s="21"/>
      <c r="C834" s="1">
        <v>1</v>
      </c>
      <c r="D834" s="1" t="s">
        <v>4958</v>
      </c>
      <c r="E834" s="7">
        <v>4489</v>
      </c>
      <c r="F834" s="7">
        <v>45</v>
      </c>
      <c r="G834" s="1">
        <v>2670.7</v>
      </c>
      <c r="H834" s="34">
        <f>Tabela1[[#This Row],[PESO UNI]]*Tabela1[[#This Row],[QTE]]</f>
        <v>2670.7</v>
      </c>
      <c r="I834" s="7">
        <v>0</v>
      </c>
      <c r="J834" s="8" t="s">
        <v>3093</v>
      </c>
      <c r="K834" s="8" t="s">
        <v>22</v>
      </c>
      <c r="L834" s="9" t="s">
        <v>2984</v>
      </c>
      <c r="M834" s="10">
        <v>46237</v>
      </c>
      <c r="N834" s="8" t="s">
        <v>38</v>
      </c>
      <c r="O834" s="12"/>
      <c r="P834" s="13"/>
      <c r="Q834" s="14">
        <f>Tabela1[[#This Row],[QTDE/ Fabricação]]-Tabela1[[#This Row],[QTE]]</f>
        <v>-1</v>
      </c>
      <c r="R834" s="18">
        <f>IFERROR(H834*((AA834*0.25)+(AC834*0.25)+(AD834*0.225)+(AE834*0.225)+(AF834*0.05)),"")</f>
        <v>0</v>
      </c>
      <c r="S834" s="18">
        <f>IFERROR(H834*AG834,"")</f>
        <v>0</v>
      </c>
      <c r="T834" s="19">
        <f>IFERROR(S834-H834,"")</f>
        <v>-2670.7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>U834-C834</f>
        <v>-1</v>
      </c>
      <c r="Z834" s="20">
        <f>Tabela1[[#This Row],[PESO TOTAL]]-Tabela1[[#This Row],[Peso Expedido]]</f>
        <v>2670.7</v>
      </c>
      <c r="AA834" s="17"/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4960</v>
      </c>
      <c r="B835" s="21" t="s">
        <v>4961</v>
      </c>
      <c r="C835" s="1">
        <v>1</v>
      </c>
      <c r="D835" s="1" t="s">
        <v>4962</v>
      </c>
      <c r="E835" s="7">
        <v>4490</v>
      </c>
      <c r="F835" s="7">
        <v>46</v>
      </c>
      <c r="G835" s="1">
        <v>2649.8</v>
      </c>
      <c r="H835" s="34">
        <f>Tabela1[[#This Row],[PESO UNI]]*Tabela1[[#This Row],[QTE]]</f>
        <v>2649.8</v>
      </c>
      <c r="I835" s="7">
        <v>0</v>
      </c>
      <c r="J835" s="8" t="s">
        <v>3093</v>
      </c>
      <c r="K835" s="8" t="s">
        <v>4320</v>
      </c>
      <c r="L835" s="9" t="s">
        <v>2984</v>
      </c>
      <c r="M835" s="10">
        <v>46238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>IFERROR(H835*((AA835*0.25)+(AC835*0.25)+(AD835*0.225)+(AE835*0.225)+(AF835*0.05)),"")</f>
        <v>0</v>
      </c>
      <c r="S835" s="18">
        <f>IFERROR(H835*AG835,"")</f>
        <v>0</v>
      </c>
      <c r="T835" s="19">
        <f>IFERROR(S835-H835,"")</f>
        <v>-2649.8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>U835-C835</f>
        <v>-1</v>
      </c>
      <c r="Z835" s="20">
        <f>Tabela1[[#This Row],[PESO TOTAL]]-Tabela1[[#This Row],[Peso Expedido]]</f>
        <v>2649.8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4963</v>
      </c>
      <c r="B836" s="21" t="s">
        <v>4964</v>
      </c>
      <c r="C836" s="1">
        <v>1</v>
      </c>
      <c r="D836" s="1" t="s">
        <v>4967</v>
      </c>
      <c r="E836" s="7">
        <v>4491</v>
      </c>
      <c r="F836" s="7">
        <v>47</v>
      </c>
      <c r="G836" s="1">
        <v>435.1</v>
      </c>
      <c r="H836" s="34">
        <f>Tabela1[[#This Row],[PESO UNI]]*Tabela1[[#This Row],[QTE]]</f>
        <v>435.1</v>
      </c>
      <c r="I836" s="7">
        <v>0</v>
      </c>
      <c r="J836" s="8" t="s">
        <v>3045</v>
      </c>
      <c r="K836" s="8" t="s">
        <v>4320</v>
      </c>
      <c r="L836" s="9" t="s">
        <v>2984</v>
      </c>
      <c r="M836" s="10">
        <v>46238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-435.1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435.1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4966</v>
      </c>
      <c r="B837" s="21" t="s">
        <v>4965</v>
      </c>
      <c r="C837" s="1">
        <v>1</v>
      </c>
      <c r="D837" s="1" t="s">
        <v>4968</v>
      </c>
      <c r="E837" s="7">
        <v>4492</v>
      </c>
      <c r="F837" s="7">
        <v>47</v>
      </c>
      <c r="G837" s="1">
        <v>670.6</v>
      </c>
      <c r="H837" s="34">
        <f>Tabela1[[#This Row],[PESO UNI]]*Tabela1[[#This Row],[QTE]]</f>
        <v>670.6</v>
      </c>
      <c r="I837" s="7">
        <v>0</v>
      </c>
      <c r="J837" s="8" t="s">
        <v>3045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-670.6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670.6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25" t="s">
        <v>4978</v>
      </c>
      <c r="B838" s="36" t="s">
        <v>4979</v>
      </c>
      <c r="C838" s="25">
        <v>4</v>
      </c>
      <c r="D838" s="26" t="s">
        <v>4980</v>
      </c>
      <c r="E838" s="25">
        <v>4493</v>
      </c>
      <c r="F838" s="25">
        <v>48</v>
      </c>
      <c r="G838" s="1">
        <v>8.9</v>
      </c>
      <c r="H838" s="34">
        <f>Tabela1[[#This Row],[PESO UNI]]*Tabela1[[#This Row],[QTE]]</f>
        <v>35.6</v>
      </c>
      <c r="I838" s="7">
        <v>0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38</v>
      </c>
      <c r="O838" s="12"/>
      <c r="P838" s="13"/>
      <c r="Q838" s="14">
        <f>Tabela1[[#This Row],[QTDE/ Fabricação]]-Tabela1[[#This Row],[QTE]]</f>
        <v>-4</v>
      </c>
      <c r="R838" s="18">
        <f>IFERROR(H838*((AA838*0.25)+(AC838*0.25)+(AD838*0.225)+(AE838*0.225)+(AF838*0.05)),"")</f>
        <v>0</v>
      </c>
      <c r="S838" s="18">
        <f>IFERROR(H838*AG838,"")</f>
        <v>0</v>
      </c>
      <c r="T838" s="19">
        <f>IFERROR(S838-H838,"")</f>
        <v>-35.6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>U838-C838</f>
        <v>-4</v>
      </c>
      <c r="Z838" s="20">
        <f>Tabela1[[#This Row],[PESO TOTAL]]-Tabela1[[#This Row],[Peso Expedido]]</f>
        <v>35.6</v>
      </c>
      <c r="AA838" s="17"/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</row>
    <row r="839" spans="1:49" ht="15.75" hidden="1" customHeight="1" x14ac:dyDescent="0.25">
      <c r="A839" s="25" t="s">
        <v>4978</v>
      </c>
      <c r="B839" s="36" t="s">
        <v>4979</v>
      </c>
      <c r="C839" s="25">
        <v>1</v>
      </c>
      <c r="D839" s="26" t="s">
        <v>4981</v>
      </c>
      <c r="E839" s="25">
        <v>4494</v>
      </c>
      <c r="F839" s="25">
        <v>48</v>
      </c>
      <c r="G839" s="1">
        <v>325</v>
      </c>
      <c r="H839" s="34">
        <f>Tabela1[[#This Row],[PESO UNI]]*Tabela1[[#This Row],[QTE]]</f>
        <v>325</v>
      </c>
      <c r="I839" s="7">
        <v>0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>IFERROR(H839*((AA839*0.25)+(AC839*0.25)+(AD839*0.225)+(AE839*0.225)+(AF839*0.05)),"")</f>
        <v>0</v>
      </c>
      <c r="S839" s="18">
        <f>IFERROR(H839*AG839,"")</f>
        <v>0</v>
      </c>
      <c r="T839" s="19">
        <f>IFERROR(S839-H839,"")</f>
        <v>-325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>U839-C839</f>
        <v>-1</v>
      </c>
      <c r="Z839" s="20">
        <f>Tabela1[[#This Row],[PESO TOTAL]]-Tabela1[[#This Row],[Peso Expedido]]</f>
        <v>325</v>
      </c>
      <c r="AA839" s="17"/>
      <c r="AB839" s="33"/>
      <c r="AC839" s="33"/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</row>
  </sheetData>
  <phoneticPr fontId="6" type="noConversion"/>
  <conditionalFormatting sqref="E2:E458 AA29:AH449 AI29:AI459 AA486:AH604 E556:E604 L605 J605:J839 E606:E837 AA762:AJ762 AC762:AE763 AA763:AI839 AA452:AD453 AA454:AB458 AD454:AD458">
    <cfRule type="expression" dxfId="62" priority="131">
      <formula>$AI2="OK"</formula>
    </cfRule>
  </conditionalFormatting>
  <conditionalFormatting sqref="F564:F838 B606:B839 K764:O839 H606:I839">
    <cfRule type="expression" dxfId="61" priority="15">
      <formula>#REF!="OK"</formula>
    </cfRule>
  </conditionalFormatting>
  <conditionalFormatting sqref="H419">
    <cfRule type="expression" dxfId="60" priority="26924">
      <formula>$AI449="OK"</formula>
    </cfRule>
  </conditionalFormatting>
  <conditionalFormatting sqref="H420:H438">
    <cfRule type="expression" dxfId="59" priority="26914">
      <formula>$AI459="OK"</formula>
    </cfRule>
  </conditionalFormatting>
  <conditionalFormatting sqref="H576">
    <cfRule type="expression" dxfId="58" priority="26891">
      <formula>$AI604="OK"</formula>
    </cfRule>
  </conditionalFormatting>
  <conditionalFormatting sqref="K153:K438 K445:K458 L448:L449 L762:O763">
    <cfRule type="expression" dxfId="57" priority="140">
      <formula>#REF!="OK"</formula>
    </cfRule>
  </conditionalFormatting>
  <conditionalFormatting sqref="K762:K763">
    <cfRule type="expression" dxfId="56" priority="23">
      <formula>$AI859="OK"</formula>
    </cfRule>
  </conditionalFormatting>
  <conditionalFormatting sqref="L2:L27 H415:H417">
    <cfRule type="expression" dxfId="55" priority="26667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4" priority="137">
      <formula>$AI72="OK"</formula>
    </cfRule>
  </conditionalFormatting>
  <conditionalFormatting sqref="L408">
    <cfRule type="expression" dxfId="53" priority="26916">
      <formula>$AI449="OK"</formula>
    </cfRule>
  </conditionalFormatting>
  <conditionalFormatting sqref="L409:L438">
    <cfRule type="expression" dxfId="52" priority="26769">
      <formula>$AI459="OK"</formula>
    </cfRule>
  </conditionalFormatting>
  <conditionalFormatting sqref="N2:N458">
    <cfRule type="expression" dxfId="51" priority="21">
      <formula>#REF!="OK"</formula>
    </cfRule>
  </conditionalFormatting>
  <conditionalFormatting sqref="O450:O458">
    <cfRule type="cellIs" dxfId="50" priority="86" operator="lessThan">
      <formula>0</formula>
    </cfRule>
  </conditionalFormatting>
  <conditionalFormatting sqref="O450:P452 H449 R449 A450:D452 F450:F452 M450:M452 H450:J458 P457:P458">
    <cfRule type="expression" dxfId="49" priority="26725">
      <formula>$AI503="OK"</formula>
    </cfRule>
  </conditionalFormatting>
  <conditionalFormatting sqref="O453:P453">
    <cfRule type="expression" dxfId="48" priority="97">
      <formula>#REF!="OK"</formula>
    </cfRule>
  </conditionalFormatting>
  <conditionalFormatting sqref="O2:Z27 A2:D27 F2:F27 H2:K27 M2:M27 H153:H413 H459:H571">
    <cfRule type="expression" dxfId="47" priority="26700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46" priority="26398">
      <formula>$AI73="OK"</formula>
    </cfRule>
  </conditionalFormatting>
  <conditionalFormatting sqref="O108:Z108 A108:D108 F108 H108:K108 M108 L109">
    <cfRule type="expression" dxfId="45" priority="27033">
      <formula>#REF!="OK"</formula>
    </cfRule>
  </conditionalFormatting>
  <conditionalFormatting sqref="O402:Z402 O406:Z406 A402:D402 F402 I402:J402 M402 L403 A406:D406 F406 I406:J406 M406 L407 H414 H418">
    <cfRule type="expression" dxfId="44" priority="26917">
      <formula>#REF!="OK"</formula>
    </cfRule>
  </conditionalFormatting>
  <conditionalFormatting sqref="O403:Z405 L110:L152 L214:L256 L396:L402 A403:D405 F403:F405 I403:J405 M403:M405">
    <cfRule type="expression" dxfId="43" priority="26604">
      <formula>$AI153="OK"</formula>
    </cfRule>
  </conditionalFormatting>
  <conditionalFormatting sqref="O407:Z407 L404:L406 A407:D407 F407 I407:J407 M407">
    <cfRule type="expression" dxfId="42" priority="26926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41" priority="26739">
      <formula>$AI499="OK"</formula>
    </cfRule>
  </conditionalFormatting>
  <conditionalFormatting sqref="O559:Z562 Z560:Z563 B559:B562 F559:F562 I559:I562 M559:M562 H572:H575">
    <cfRule type="expression" dxfId="40" priority="26854">
      <formula>#REF!="OK"</formula>
    </cfRule>
  </conditionalFormatting>
  <conditionalFormatting sqref="O563:Z563 B563 F563 I563 M563">
    <cfRule type="expression" dxfId="39" priority="26768">
      <formula>$AI604="OK"</formula>
    </cfRule>
  </conditionalFormatting>
  <conditionalFormatting sqref="P762:Z839">
    <cfRule type="expression" dxfId="38" priority="27034">
      <formula>$AI869="OK"</formula>
    </cfRule>
  </conditionalFormatting>
  <conditionalFormatting sqref="P835:Z839">
    <cfRule type="expression" dxfId="37" priority="6">
      <formula>$AI941="OK"</formula>
    </cfRule>
  </conditionalFormatting>
  <conditionalFormatting sqref="Q2:Q456 Q459:Q839">
    <cfRule type="cellIs" dxfId="36" priority="26366" operator="lessThan">
      <formula>0</formula>
    </cfRule>
    <cfRule type="cellIs" dxfId="35" priority="26367" operator="greaterThanOrEqual">
      <formula>0</formula>
    </cfRule>
  </conditionalFormatting>
  <conditionalFormatting sqref="S211">
    <cfRule type="expression" dxfId="34" priority="138">
      <formula>#REF!="OK"</formula>
    </cfRule>
  </conditionalFormatting>
  <conditionalFormatting sqref="S393">
    <cfRule type="expression" dxfId="33" priority="139">
      <formula>#REF!="OK"</formula>
    </cfRule>
  </conditionalFormatting>
  <conditionalFormatting sqref="S447:Z447 O447:Q447 A447:D447 F447 J447 M447 A453:D453 F453 M453 L454:L458">
    <cfRule type="expression" dxfId="32" priority="26724">
      <formula>#REF!="OK"</formula>
    </cfRule>
  </conditionalFormatting>
  <conditionalFormatting sqref="T2:T839 Y2:Z839 O450:O458">
    <cfRule type="cellIs" dxfId="31" priority="87" operator="greaterThanOrEqual">
      <formula>0</formula>
    </cfRule>
  </conditionalFormatting>
  <conditionalFormatting sqref="T2:T839 Y2:Z839">
    <cfRule type="cellIs" dxfId="30" priority="26368" operator="lessThan">
      <formula>0</formula>
    </cfRule>
  </conditionalFormatting>
  <conditionalFormatting sqref="T212:Z212 O212:R212 A212:D212 F212 I212:J212 M212">
    <cfRule type="expression" dxfId="29" priority="26578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8" priority="26466">
      <formula>$AI257="OK"</formula>
    </cfRule>
  </conditionalFormatting>
  <conditionalFormatting sqref="T394:Z394 O394:R394 A394:D394 F394 I394:J394 M394 L395">
    <cfRule type="expression" dxfId="27" priority="26629">
      <formula>#REF!="OK"</formula>
    </cfRule>
  </conditionalFormatting>
  <conditionalFormatting sqref="T408:Z438 O408:R438 S408:S437 A408:D438 F408:F438 I408:J438 M408:M438 L439:L445">
    <cfRule type="expression" dxfId="26" priority="27010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5" priority="26919">
      <formula>$AI490="OK"</formula>
    </cfRule>
  </conditionalFormatting>
  <conditionalFormatting sqref="T605:Z605 Q605:R605 H605">
    <cfRule type="expression" dxfId="24" priority="26906">
      <formula>$AI669="OK"</formula>
    </cfRule>
  </conditionalFormatting>
  <conditionalFormatting sqref="V450:Y451 R450:T458 V452:Z458">
    <cfRule type="expression" dxfId="23" priority="26824">
      <formula>$AI487="OK"</formula>
    </cfRule>
  </conditionalFormatting>
  <conditionalFormatting sqref="Z450:Z451 O564:Z622 K623:Z761 K556:K622 B564:B603 I564:I603 M564:M603 H577:H603 A604:D605 H604:J605 L604:N622">
    <cfRule type="expression" dxfId="22" priority="26893">
      <formula>#REF!="OK"</formula>
    </cfRule>
  </conditionalFormatting>
  <conditionalFormatting sqref="Z450:Z451">
    <cfRule type="expression" dxfId="21" priority="70">
      <formula>$AI494="OK"</formula>
    </cfRule>
  </conditionalFormatting>
  <conditionalFormatting sqref="Z564">
    <cfRule type="expression" dxfId="20" priority="26884">
      <formula>$AI604="OK"</formula>
    </cfRule>
  </conditionalFormatting>
  <conditionalFormatting sqref="Z605">
    <cfRule type="expression" dxfId="19" priority="26909">
      <formula>$AI668="OK"</formula>
    </cfRule>
  </conditionalFormatting>
  <conditionalFormatting sqref="AA606:AH761">
    <cfRule type="cellIs" dxfId="18" priority="54" operator="greaterThanOrEqual">
      <formula>1</formula>
    </cfRule>
    <cfRule type="expression" dxfId="17" priority="55">
      <formula>$AI606="OK"</formula>
    </cfRule>
  </conditionalFormatting>
  <conditionalFormatting sqref="AA2:AI28 AA450:AG451 AE452:AG452 AF453:AG458 AA459:AH459 A459:G555 I459:N555 AA460:AI603 J556:J603 L556:L603">
    <cfRule type="expression" dxfId="16" priority="26364">
      <formula>$AI2="OK"</formula>
    </cfRule>
  </conditionalFormatting>
  <conditionalFormatting sqref="AA2:AI28 AA29:AH449 AI29:AI459 AJ153:AW153 AA450:AG451 AE452:AG452 AE453 AF453:AG458 AA459:AH459 AI606:AI761 AA762:AJ839 AA452:AD453 AA454:AB458 AD454:AG458">
    <cfRule type="cellIs" dxfId="15" priority="26365" operator="greaterThanOrEqual">
      <formula>1</formula>
    </cfRule>
  </conditionalFormatting>
  <conditionalFormatting sqref="AA460:AI605">
    <cfRule type="cellIs" dxfId="14" priority="64" operator="greaterThanOrEqual">
      <formula>1</formula>
    </cfRule>
  </conditionalFormatting>
  <conditionalFormatting sqref="AA605:AI605">
    <cfRule type="expression" dxfId="13" priority="65">
      <formula>$AI605="OK"</formula>
    </cfRule>
  </conditionalFormatting>
  <conditionalFormatting sqref="AE453">
    <cfRule type="expression" dxfId="12" priority="26910">
      <formula>$AI453="OK"</formula>
    </cfRule>
  </conditionalFormatting>
  <conditionalFormatting sqref="AI486:AI761 N556:N603">
    <cfRule type="expression" dxfId="11" priority="71">
      <formula>$AI486="OK"</formula>
    </cfRule>
  </conditionalFormatting>
  <conditionalFormatting sqref="AJ153:AW153">
    <cfRule type="expression" dxfId="10" priority="142">
      <formula>$AI153="OK"</formula>
    </cfRule>
  </conditionalFormatting>
  <conditionalFormatting sqref="AC454:AC458">
    <cfRule type="expression" dxfId="4" priority="4">
      <formula>$AI454="OK"</formula>
    </cfRule>
  </conditionalFormatting>
  <conditionalFormatting sqref="AC454:AC458">
    <cfRule type="cellIs" dxfId="3" priority="5" operator="greaterThanOrEqual">
      <formula>1</formula>
    </cfRule>
  </conditionalFormatting>
  <conditionalFormatting sqref="AE454:AE458">
    <cfRule type="expression" dxfId="2" priority="3">
      <formula>$AI454="OK"</formula>
    </cfRule>
  </conditionalFormatting>
  <conditionalFormatting sqref="AF454:AF458">
    <cfRule type="expression" dxfId="1" priority="2">
      <formula>$AI454="OK"</formula>
    </cfRule>
  </conditionalFormatting>
  <conditionalFormatting sqref="AG454:AG458">
    <cfRule type="expression" dxfId="0" priority="1">
      <formula>$AI454="OK"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9"/>
  <sheetViews>
    <sheetView topLeftCell="A7" workbookViewId="0">
      <selection activeCell="E14" sqref="E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3164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9" t="e" vm="1">
        <v>#VALUE!</v>
      </c>
      <c r="D2" s="280"/>
      <c r="E2" s="283" t="s">
        <v>320</v>
      </c>
      <c r="F2" s="283"/>
      <c r="G2" s="283"/>
      <c r="H2" s="283"/>
      <c r="I2" s="283"/>
      <c r="J2" s="283"/>
      <c r="K2" s="283"/>
      <c r="L2" s="283"/>
      <c r="M2" s="283"/>
      <c r="N2" s="283"/>
      <c r="O2" s="283"/>
      <c r="P2" s="283"/>
      <c r="Q2" s="283"/>
      <c r="R2" s="283"/>
      <c r="S2" s="283"/>
      <c r="T2" s="284"/>
      <c r="U2" s="287" t="s">
        <v>246</v>
      </c>
      <c r="V2" s="277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1"/>
      <c r="D3" s="282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6"/>
      <c r="U3" s="288"/>
      <c r="V3" s="278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2" t="s">
        <v>2070</v>
      </c>
      <c r="D6" s="245" t="s">
        <v>2069</v>
      </c>
      <c r="E6" s="248" t="s">
        <v>2071</v>
      </c>
      <c r="F6" s="251">
        <v>46183</v>
      </c>
      <c r="G6" s="289">
        <v>46220</v>
      </c>
      <c r="H6" s="268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36">
        <f>T9/T6</f>
        <v>0.88949747289203585</v>
      </c>
      <c r="V6" s="239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3"/>
      <c r="D7" s="246"/>
      <c r="E7" s="249"/>
      <c r="F7" s="252"/>
      <c r="G7" s="290"/>
      <c r="H7" s="269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37"/>
      <c r="V7" s="240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3"/>
      <c r="D8" s="246"/>
      <c r="E8" s="249"/>
      <c r="F8" s="252"/>
      <c r="G8" s="290"/>
      <c r="H8" s="269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37"/>
      <c r="V8" s="240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3"/>
      <c r="D9" s="246"/>
      <c r="E9" s="249"/>
      <c r="F9" s="252"/>
      <c r="G9" s="290"/>
      <c r="H9" s="269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37"/>
      <c r="V9" s="240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4"/>
      <c r="D10" s="247"/>
      <c r="E10" s="250"/>
      <c r="F10" s="253"/>
      <c r="G10" s="291"/>
      <c r="H10" s="270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38"/>
      <c r="V10" s="241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2" t="s">
        <v>2987</v>
      </c>
      <c r="D12" s="245" t="s">
        <v>2551</v>
      </c>
      <c r="E12" s="248" t="s">
        <v>2986</v>
      </c>
      <c r="F12" s="251">
        <v>46205</v>
      </c>
      <c r="G12" s="289"/>
      <c r="H12" s="274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36">
        <f>T15/T12</f>
        <v>0.76586952907929418</v>
      </c>
      <c r="V12" s="239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3"/>
      <c r="D13" s="246"/>
      <c r="E13" s="249"/>
      <c r="F13" s="252"/>
      <c r="G13" s="290"/>
      <c r="H13" s="275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37"/>
      <c r="V13" s="240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3"/>
      <c r="D14" s="246"/>
      <c r="E14" s="249"/>
      <c r="F14" s="252"/>
      <c r="G14" s="290"/>
      <c r="H14" s="275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37"/>
      <c r="V14" s="240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3"/>
      <c r="D15" s="246"/>
      <c r="E15" s="249"/>
      <c r="F15" s="252"/>
      <c r="G15" s="290"/>
      <c r="H15" s="275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37"/>
      <c r="V15" s="240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4"/>
      <c r="D16" s="247"/>
      <c r="E16" s="250"/>
      <c r="F16" s="253"/>
      <c r="G16" s="291"/>
      <c r="H16" s="276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38"/>
      <c r="V16" s="241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2" t="s">
        <v>2983</v>
      </c>
      <c r="D18" s="245" t="s">
        <v>2984</v>
      </c>
      <c r="E18" s="248" t="s">
        <v>2985</v>
      </c>
      <c r="F18" s="251">
        <v>46289</v>
      </c>
      <c r="G18" s="289"/>
      <c r="H18" s="257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33.438199999999995</v>
      </c>
      <c r="U18" s="236">
        <f>T21/T18</f>
        <v>0.57067665125515132</v>
      </c>
      <c r="V18" s="239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3"/>
      <c r="D19" s="246"/>
      <c r="E19" s="249"/>
      <c r="F19" s="252"/>
      <c r="G19" s="290"/>
      <c r="H19" s="258"/>
      <c r="I19" s="129" t="s">
        <v>3028</v>
      </c>
      <c r="J19" s="130">
        <f t="shared" ref="J19" si="17">J18-J20</f>
        <v>5.9508999999999972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30.609199999999994</v>
      </c>
      <c r="U19" s="237"/>
      <c r="V19" s="240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3"/>
      <c r="D20" s="246"/>
      <c r="E20" s="249"/>
      <c r="F20" s="252"/>
      <c r="G20" s="290"/>
      <c r="H20" s="258"/>
      <c r="I20" s="129" t="s">
        <v>3030</v>
      </c>
      <c r="J20" s="131">
        <f>SUMIF(PERFORMANCE!$N:$N,W18,PERFORMANCE!$Q:$Q)/1000</f>
        <v>2.1582000000000003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2.8290000000000002</v>
      </c>
      <c r="U20" s="237"/>
      <c r="V20" s="240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3"/>
      <c r="D21" s="246"/>
      <c r="E21" s="249"/>
      <c r="F21" s="252"/>
      <c r="G21" s="290"/>
      <c r="H21" s="258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37"/>
      <c r="V21" s="240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4"/>
      <c r="D22" s="247"/>
      <c r="E22" s="250"/>
      <c r="F22" s="253"/>
      <c r="G22" s="291"/>
      <c r="H22" s="259"/>
      <c r="I22" s="133" t="s">
        <v>3029</v>
      </c>
      <c r="J22" s="134">
        <f t="shared" ref="J22:R22" si="28">J18-J21</f>
        <v>8.109099999999998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14.355799999999995</v>
      </c>
      <c r="U22" s="238"/>
      <c r="V22" s="241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2" t="s">
        <v>3292</v>
      </c>
      <c r="D24" s="245" t="s">
        <v>3291</v>
      </c>
      <c r="E24" s="248" t="s">
        <v>3293</v>
      </c>
      <c r="F24" s="251">
        <v>46336</v>
      </c>
      <c r="G24" s="254"/>
      <c r="H24" s="257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36">
        <v>0</v>
      </c>
      <c r="V24" s="239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3"/>
      <c r="D25" s="246"/>
      <c r="E25" s="249"/>
      <c r="F25" s="252"/>
      <c r="G25" s="255"/>
      <c r="H25" s="258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37"/>
      <c r="V25" s="240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3"/>
      <c r="D26" s="246"/>
      <c r="E26" s="249"/>
      <c r="F26" s="252"/>
      <c r="G26" s="255"/>
      <c r="H26" s="258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37"/>
      <c r="V26" s="240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3"/>
      <c r="D27" s="246"/>
      <c r="E27" s="249"/>
      <c r="F27" s="252"/>
      <c r="G27" s="255"/>
      <c r="H27" s="258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37"/>
      <c r="V27" s="240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4"/>
      <c r="D28" s="247"/>
      <c r="E28" s="250"/>
      <c r="F28" s="253"/>
      <c r="G28" s="256"/>
      <c r="H28" s="259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38"/>
      <c r="V28" s="241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2" t="s">
        <v>2993</v>
      </c>
      <c r="D30" s="245" t="s">
        <v>2989</v>
      </c>
      <c r="E30" s="248" t="s">
        <v>2994</v>
      </c>
      <c r="F30" s="251">
        <v>46219</v>
      </c>
      <c r="G30" s="254"/>
      <c r="H30" s="268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36">
        <v>0</v>
      </c>
      <c r="V30" s="239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3"/>
      <c r="D31" s="246"/>
      <c r="E31" s="249"/>
      <c r="F31" s="252"/>
      <c r="G31" s="255"/>
      <c r="H31" s="269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37"/>
      <c r="V31" s="240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3"/>
      <c r="D32" s="246"/>
      <c r="E32" s="249"/>
      <c r="F32" s="252"/>
      <c r="G32" s="255"/>
      <c r="H32" s="269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37"/>
      <c r="V32" s="240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3"/>
      <c r="D33" s="246"/>
      <c r="E33" s="249"/>
      <c r="F33" s="252"/>
      <c r="G33" s="255"/>
      <c r="H33" s="269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37"/>
      <c r="V33" s="240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4"/>
      <c r="D34" s="247"/>
      <c r="E34" s="250"/>
      <c r="F34" s="253"/>
      <c r="G34" s="256"/>
      <c r="H34" s="270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38"/>
      <c r="V34" s="241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2" t="s">
        <v>2995</v>
      </c>
      <c r="D36" s="245" t="s">
        <v>2990</v>
      </c>
      <c r="E36" s="248" t="s">
        <v>2992</v>
      </c>
      <c r="F36" s="251">
        <v>46198</v>
      </c>
      <c r="G36" s="271"/>
      <c r="H36" s="274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36">
        <v>0</v>
      </c>
      <c r="V36" s="239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3"/>
      <c r="D37" s="246"/>
      <c r="E37" s="249"/>
      <c r="F37" s="252"/>
      <c r="G37" s="272"/>
      <c r="H37" s="275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37"/>
      <c r="V37" s="240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3"/>
      <c r="D38" s="246"/>
      <c r="E38" s="249"/>
      <c r="F38" s="252"/>
      <c r="G38" s="272"/>
      <c r="H38" s="275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37"/>
      <c r="V38" s="240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3"/>
      <c r="D39" s="246"/>
      <c r="E39" s="249"/>
      <c r="F39" s="252"/>
      <c r="G39" s="272"/>
      <c r="H39" s="275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37"/>
      <c r="V39" s="240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4"/>
      <c r="D40" s="247"/>
      <c r="E40" s="250"/>
      <c r="F40" s="253"/>
      <c r="G40" s="273"/>
      <c r="H40" s="276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38"/>
      <c r="V40" s="241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2" t="s">
        <v>3006</v>
      </c>
      <c r="D42" s="245" t="s">
        <v>3004</v>
      </c>
      <c r="E42" s="248" t="s">
        <v>3007</v>
      </c>
      <c r="F42" s="251">
        <v>46188</v>
      </c>
      <c r="G42" s="271">
        <v>46220</v>
      </c>
      <c r="H42" s="268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36">
        <v>0</v>
      </c>
      <c r="V42" s="239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3"/>
      <c r="D43" s="246"/>
      <c r="E43" s="249"/>
      <c r="F43" s="252"/>
      <c r="G43" s="272"/>
      <c r="H43" s="269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37"/>
      <c r="V43" s="240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3"/>
      <c r="D44" s="246"/>
      <c r="E44" s="249"/>
      <c r="F44" s="252"/>
      <c r="G44" s="272"/>
      <c r="H44" s="269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37"/>
      <c r="V44" s="240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3"/>
      <c r="D45" s="246"/>
      <c r="E45" s="249"/>
      <c r="F45" s="252"/>
      <c r="G45" s="272"/>
      <c r="H45" s="269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37"/>
      <c r="V45" s="240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4"/>
      <c r="D46" s="247"/>
      <c r="E46" s="250"/>
      <c r="F46" s="253"/>
      <c r="G46" s="273"/>
      <c r="H46" s="270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38"/>
      <c r="V46" s="241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2" t="s">
        <v>3009</v>
      </c>
      <c r="D48" s="245" t="s">
        <v>3005</v>
      </c>
      <c r="E48" s="248" t="s">
        <v>3008</v>
      </c>
      <c r="F48" s="251">
        <v>46202</v>
      </c>
      <c r="G48" s="271">
        <v>46233</v>
      </c>
      <c r="H48" s="268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36">
        <v>0</v>
      </c>
      <c r="V48" s="239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3"/>
      <c r="D49" s="246"/>
      <c r="E49" s="249"/>
      <c r="F49" s="252"/>
      <c r="G49" s="272"/>
      <c r="H49" s="269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0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0</v>
      </c>
      <c r="U49" s="237"/>
      <c r="V49" s="240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3"/>
      <c r="D50" s="246"/>
      <c r="E50" s="249"/>
      <c r="F50" s="252"/>
      <c r="G50" s="272"/>
      <c r="H50" s="269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9.9000000000000005E-2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9.9000000000000005E-2</v>
      </c>
      <c r="U50" s="237"/>
      <c r="V50" s="240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3"/>
      <c r="D51" s="246"/>
      <c r="E51" s="249"/>
      <c r="F51" s="252"/>
      <c r="G51" s="272"/>
      <c r="H51" s="269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37"/>
      <c r="V51" s="240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4"/>
      <c r="D52" s="247"/>
      <c r="E52" s="250"/>
      <c r="F52" s="253"/>
      <c r="G52" s="273"/>
      <c r="H52" s="270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38"/>
      <c r="V52" s="241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2" t="s">
        <v>3009</v>
      </c>
      <c r="D54" s="245" t="s">
        <v>3111</v>
      </c>
      <c r="E54" s="248" t="s">
        <v>3164</v>
      </c>
      <c r="F54" s="251">
        <v>46226</v>
      </c>
      <c r="G54" s="254"/>
      <c r="H54" s="268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36">
        <v>0</v>
      </c>
      <c r="V54" s="239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3"/>
      <c r="D55" s="246"/>
      <c r="E55" s="249"/>
      <c r="F55" s="252"/>
      <c r="G55" s="255"/>
      <c r="H55" s="269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</v>
      </c>
      <c r="U55" s="237"/>
      <c r="V55" s="240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3"/>
      <c r="D56" s="246"/>
      <c r="E56" s="249"/>
      <c r="F56" s="252"/>
      <c r="G56" s="255"/>
      <c r="H56" s="269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0.12299999999999998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0.12299999999999998</v>
      </c>
      <c r="U56" s="237"/>
      <c r="V56" s="240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3"/>
      <c r="D57" s="246"/>
      <c r="E57" s="249"/>
      <c r="F57" s="252"/>
      <c r="G57" s="255"/>
      <c r="H57" s="269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37"/>
      <c r="V57" s="240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4"/>
      <c r="D58" s="247"/>
      <c r="E58" s="250"/>
      <c r="F58" s="253"/>
      <c r="G58" s="256"/>
      <c r="H58" s="270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38"/>
      <c r="V58" s="241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2" t="s">
        <v>3165</v>
      </c>
      <c r="D60" s="245" t="s">
        <v>3163</v>
      </c>
      <c r="E60" s="248" t="s">
        <v>3166</v>
      </c>
      <c r="F60" s="251">
        <v>46235</v>
      </c>
      <c r="G60" s="254"/>
      <c r="H60" s="257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36">
        <v>0</v>
      </c>
      <c r="V60" s="239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3"/>
      <c r="D61" s="246"/>
      <c r="E61" s="249"/>
      <c r="F61" s="252"/>
      <c r="G61" s="255"/>
      <c r="H61" s="258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37"/>
      <c r="V61" s="240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3"/>
      <c r="D62" s="246"/>
      <c r="E62" s="249"/>
      <c r="F62" s="252"/>
      <c r="G62" s="255"/>
      <c r="H62" s="258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37"/>
      <c r="V62" s="240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3"/>
      <c r="D63" s="246"/>
      <c r="E63" s="249"/>
      <c r="F63" s="252"/>
      <c r="G63" s="255"/>
      <c r="H63" s="258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37"/>
      <c r="V63" s="240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4"/>
      <c r="D64" s="247"/>
      <c r="E64" s="250"/>
      <c r="F64" s="253"/>
      <c r="G64" s="256"/>
      <c r="H64" s="259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38"/>
      <c r="V64" s="241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2" t="s">
        <v>4307</v>
      </c>
      <c r="D66" s="245" t="s">
        <v>4299</v>
      </c>
      <c r="E66" s="248" t="s">
        <v>4308</v>
      </c>
      <c r="F66" s="251">
        <v>46233</v>
      </c>
      <c r="G66" s="254"/>
      <c r="H66" s="257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36">
        <v>0</v>
      </c>
      <c r="V66" s="239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3"/>
      <c r="D67" s="246"/>
      <c r="E67" s="249"/>
      <c r="F67" s="252"/>
      <c r="G67" s="255"/>
      <c r="H67" s="258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37"/>
      <c r="V67" s="240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3"/>
      <c r="D68" s="246"/>
      <c r="E68" s="249"/>
      <c r="F68" s="252"/>
      <c r="G68" s="255"/>
      <c r="H68" s="258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37"/>
      <c r="V68" s="240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3"/>
      <c r="D69" s="246"/>
      <c r="E69" s="249"/>
      <c r="F69" s="252"/>
      <c r="G69" s="255"/>
      <c r="H69" s="258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37"/>
      <c r="V69" s="240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4"/>
      <c r="D70" s="247"/>
      <c r="E70" s="250"/>
      <c r="F70" s="253"/>
      <c r="G70" s="256"/>
      <c r="H70" s="259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38"/>
      <c r="V70" s="241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2" t="s">
        <v>3165</v>
      </c>
      <c r="D72" s="245" t="s">
        <v>4306</v>
      </c>
      <c r="E72" s="248" t="s">
        <v>4309</v>
      </c>
      <c r="F72" s="251">
        <v>46280</v>
      </c>
      <c r="G72" s="254"/>
      <c r="H72" s="257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36">
        <v>0</v>
      </c>
      <c r="V72" s="239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3"/>
      <c r="D73" s="246"/>
      <c r="E73" s="249"/>
      <c r="F73" s="252"/>
      <c r="G73" s="255"/>
      <c r="H73" s="258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37"/>
      <c r="V73" s="240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3"/>
      <c r="D74" s="246"/>
      <c r="E74" s="249"/>
      <c r="F74" s="252"/>
      <c r="G74" s="255"/>
      <c r="H74" s="258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37"/>
      <c r="V74" s="240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3"/>
      <c r="D75" s="246"/>
      <c r="E75" s="249"/>
      <c r="F75" s="252"/>
      <c r="G75" s="255"/>
      <c r="H75" s="258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37"/>
      <c r="V75" s="240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4"/>
      <c r="D76" s="247"/>
      <c r="E76" s="250"/>
      <c r="F76" s="253"/>
      <c r="G76" s="256"/>
      <c r="H76" s="259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38"/>
      <c r="V76" s="241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60" t="s">
        <v>326</v>
      </c>
      <c r="E79" s="262" t="s">
        <v>891</v>
      </c>
      <c r="F79" s="263"/>
      <c r="G79" s="263"/>
      <c r="H79" s="263"/>
      <c r="I79" s="263"/>
      <c r="J79" s="264"/>
      <c r="K79" s="265" t="s">
        <v>331</v>
      </c>
      <c r="L79" s="266"/>
      <c r="M79" s="266"/>
      <c r="N79" s="267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61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97.556899999999999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6.9268999999999963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10.1296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32.788699999999999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18.258200000000002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2.8919999999999999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64.768200000000007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3.3136999999999999</v>
      </c>
      <c r="H86" s="98">
        <f t="shared" si="235"/>
        <v>12.738799999999999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73.975300000000004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10.909099999999999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0.28779999999999939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23.074999999999999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20"/>
  <sheetViews>
    <sheetView topLeftCell="C1" zoomScaleNormal="100" workbookViewId="0">
      <pane ySplit="1" topLeftCell="A5113" activePane="bottomLeft" state="frozen"/>
      <selection pane="bottomLeft" activeCell="D5119" sqref="D5119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</sheetData>
  <autoFilter ref="A1:O5114" xr:uid="{E826462E-1715-45FB-827E-B16DF1FB20B2}"/>
  <phoneticPr fontId="6" type="noConversion"/>
  <conditionalFormatting sqref="B764:B4406">
    <cfRule type="expression" dxfId="9" priority="5">
      <formula>$AH764="OK"</formula>
    </cfRule>
  </conditionalFormatting>
  <conditionalFormatting sqref="B4407:B4408 B4749:B5120">
    <cfRule type="expression" dxfId="8" priority="4">
      <formula>$AI4407="OK"</formula>
    </cfRule>
  </conditionalFormatting>
  <conditionalFormatting sqref="B4409:B4748">
    <cfRule type="expression" dxfId="7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99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4253.2195000000002</v>
      </c>
      <c r="I357" s="113">
        <f>SUMIF(MICRO!AP:AP,O:O,MICRO!T:T)</f>
        <v>-4270.2</v>
      </c>
      <c r="J357" s="114">
        <f t="shared" si="130"/>
        <v>0.66162956567730713</v>
      </c>
      <c r="K357" s="113">
        <f>SUMIF(MICRO!AP:AP,O:O,MICRO!X:X)</f>
        <v>0</v>
      </c>
      <c r="L357" s="114">
        <f t="shared" si="131"/>
        <v>0</v>
      </c>
      <c r="M357" s="113">
        <f t="shared" si="132"/>
        <v>6428.3999999999987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2158.2000000000003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445.73</v>
      </c>
      <c r="I359" s="113">
        <f>SUMIF(MICRO!AP:AP,O:O,MICRO!T:T)</f>
        <v>-1680.7</v>
      </c>
      <c r="J359" s="114">
        <f t="shared" si="130"/>
        <v>0.26520497411792704</v>
      </c>
      <c r="K359" s="113">
        <f>SUMIF(MICRO!AP:AP,O:O,MICRO!X:X)</f>
        <v>0</v>
      </c>
      <c r="L359" s="114">
        <f t="shared" si="131"/>
        <v>0</v>
      </c>
      <c r="M359" s="113">
        <f t="shared" si="132"/>
        <v>1680.7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122.99999999999999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6" priority="1">
      <formula>$AI366="OK"</formula>
    </cfRule>
  </conditionalFormatting>
  <conditionalFormatting sqref="F192">
    <cfRule type="expression" dxfId="5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2026-08-04T14:53:00Z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