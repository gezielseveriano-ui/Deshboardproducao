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611" documentId="8_{FDD42E6F-94E1-48F3-8613-54A91AB43A68}" xr6:coauthVersionLast="47" xr6:coauthVersionMax="47" xr10:uidLastSave="{18FD6723-3A2F-4391-9F89-B90A99ED2A17}"/>
  <bookViews>
    <workbookView xWindow="-108" yWindow="-108" windowWidth="17496" windowHeight="10296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57" i="1" l="1"/>
  <c r="V857" i="1"/>
  <c r="U857" i="1"/>
  <c r="Y857" i="1" s="1"/>
  <c r="Q857" i="1"/>
  <c r="H857" i="1"/>
  <c r="S857" i="1" s="1"/>
  <c r="T857" i="1" s="1"/>
  <c r="W856" i="1"/>
  <c r="V856" i="1"/>
  <c r="U856" i="1"/>
  <c r="X856" i="1" s="1"/>
  <c r="Q856" i="1"/>
  <c r="H856" i="1"/>
  <c r="S856" i="1" s="1"/>
  <c r="T856" i="1" s="1"/>
  <c r="W855" i="1"/>
  <c r="V855" i="1"/>
  <c r="U855" i="1"/>
  <c r="Y855" i="1" s="1"/>
  <c r="Q855" i="1"/>
  <c r="H855" i="1"/>
  <c r="S855" i="1" s="1"/>
  <c r="T855" i="1" s="1"/>
  <c r="W854" i="1"/>
  <c r="V854" i="1"/>
  <c r="U854" i="1"/>
  <c r="Y854" i="1" s="1"/>
  <c r="Q854" i="1"/>
  <c r="H854" i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X851" i="1" s="1"/>
  <c r="Q851" i="1"/>
  <c r="H851" i="1"/>
  <c r="R851" i="1" s="1"/>
  <c r="W850" i="1"/>
  <c r="V850" i="1"/>
  <c r="U850" i="1"/>
  <c r="Y850" i="1" s="1"/>
  <c r="Q850" i="1"/>
  <c r="H850" i="1"/>
  <c r="R850" i="1" s="1"/>
  <c r="W849" i="1"/>
  <c r="V849" i="1"/>
  <c r="U849" i="1"/>
  <c r="Y849" i="1" s="1"/>
  <c r="Q849" i="1"/>
  <c r="H849" i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R847" i="1" s="1"/>
  <c r="W846" i="1"/>
  <c r="V846" i="1"/>
  <c r="U846" i="1"/>
  <c r="Y846" i="1" s="1"/>
  <c r="Q846" i="1"/>
  <c r="H846" i="1"/>
  <c r="W845" i="1"/>
  <c r="V845" i="1"/>
  <c r="U845" i="1"/>
  <c r="Y845" i="1" s="1"/>
  <c r="Q845" i="1"/>
  <c r="H845" i="1"/>
  <c r="S845" i="1" s="1"/>
  <c r="T845" i="1" s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W840" i="1"/>
  <c r="V840" i="1"/>
  <c r="U840" i="1"/>
  <c r="Y840" i="1" s="1"/>
  <c r="Q840" i="1"/>
  <c r="H840" i="1"/>
  <c r="S840" i="1" s="1"/>
  <c r="T840" i="1" s="1"/>
  <c r="W839" i="1"/>
  <c r="V839" i="1"/>
  <c r="U839" i="1"/>
  <c r="Y839" i="1" s="1"/>
  <c r="Q839" i="1"/>
  <c r="H839" i="1"/>
  <c r="S839" i="1" s="1"/>
  <c r="T839" i="1" s="1"/>
  <c r="W838" i="1"/>
  <c r="V838" i="1"/>
  <c r="U838" i="1"/>
  <c r="Y838" i="1" s="1"/>
  <c r="Q838" i="1"/>
  <c r="H838" i="1"/>
  <c r="S838" i="1" s="1"/>
  <c r="T838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Z856" i="1" l="1"/>
  <c r="R857" i="1"/>
  <c r="Y856" i="1"/>
  <c r="R856" i="1"/>
  <c r="X857" i="1"/>
  <c r="Z857" i="1" s="1"/>
  <c r="R855" i="1"/>
  <c r="X855" i="1"/>
  <c r="Z855" i="1" s="1"/>
  <c r="S851" i="1"/>
  <c r="T851" i="1" s="1"/>
  <c r="R854" i="1"/>
  <c r="S854" i="1"/>
  <c r="T854" i="1" s="1"/>
  <c r="X854" i="1"/>
  <c r="Z854" i="1" s="1"/>
  <c r="Y851" i="1"/>
  <c r="Z851" i="1"/>
  <c r="R853" i="1"/>
  <c r="R852" i="1"/>
  <c r="S853" i="1"/>
  <c r="T853" i="1" s="1"/>
  <c r="X853" i="1"/>
  <c r="Z853" i="1" s="1"/>
  <c r="X852" i="1"/>
  <c r="Z852" i="1" s="1"/>
  <c r="R845" i="1"/>
  <c r="S850" i="1"/>
  <c r="T850" i="1" s="1"/>
  <c r="X850" i="1"/>
  <c r="Z850" i="1" s="1"/>
  <c r="R849" i="1"/>
  <c r="S849" i="1"/>
  <c r="T849" i="1" s="1"/>
  <c r="X849" i="1"/>
  <c r="Z849" i="1" s="1"/>
  <c r="R848" i="1"/>
  <c r="X848" i="1"/>
  <c r="Z848" i="1" s="1"/>
  <c r="S847" i="1"/>
  <c r="T847" i="1" s="1"/>
  <c r="X847" i="1"/>
  <c r="Z847" i="1" s="1"/>
  <c r="R846" i="1"/>
  <c r="S846" i="1"/>
  <c r="T846" i="1" s="1"/>
  <c r="X846" i="1"/>
  <c r="Z846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1" i="1"/>
  <c r="S841" i="1"/>
  <c r="T841" i="1" s="1"/>
  <c r="X841" i="1"/>
  <c r="Z841" i="1" s="1"/>
  <c r="R840" i="1"/>
  <c r="X840" i="1"/>
  <c r="Z840" i="1" s="1"/>
  <c r="R838" i="1"/>
  <c r="R839" i="1"/>
  <c r="X839" i="1"/>
  <c r="Z839" i="1" s="1"/>
  <c r="X838" i="1"/>
  <c r="Z838" i="1" s="1"/>
  <c r="W837" i="1" l="1"/>
  <c r="V837" i="1"/>
  <c r="U837" i="1"/>
  <c r="Y837" i="1" s="1"/>
  <c r="Q837" i="1"/>
  <c r="H837" i="1"/>
  <c r="W836" i="1"/>
  <c r="V836" i="1"/>
  <c r="U836" i="1"/>
  <c r="Y836" i="1" s="1"/>
  <c r="Q836" i="1"/>
  <c r="H836" i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R834" i="1" s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Y831" i="1" s="1"/>
  <c r="Q831" i="1"/>
  <c r="H831" i="1"/>
  <c r="S831" i="1" s="1"/>
  <c r="T831" i="1" s="1"/>
  <c r="W830" i="1"/>
  <c r="V830" i="1"/>
  <c r="U830" i="1"/>
  <c r="Y830" i="1" s="1"/>
  <c r="Q830" i="1"/>
  <c r="H830" i="1"/>
  <c r="W829" i="1"/>
  <c r="V829" i="1"/>
  <c r="U829" i="1"/>
  <c r="X829" i="1" s="1"/>
  <c r="Q829" i="1"/>
  <c r="H829" i="1"/>
  <c r="R829" i="1" s="1"/>
  <c r="H828" i="1"/>
  <c r="W828" i="1"/>
  <c r="V828" i="1"/>
  <c r="U828" i="1"/>
  <c r="X828" i="1" s="1"/>
  <c r="Q828" i="1"/>
  <c r="W827" i="1"/>
  <c r="V827" i="1"/>
  <c r="U827" i="1"/>
  <c r="Y827" i="1" s="1"/>
  <c r="Q827" i="1"/>
  <c r="H827" i="1"/>
  <c r="W826" i="1"/>
  <c r="V826" i="1"/>
  <c r="U826" i="1"/>
  <c r="Y826" i="1" s="1"/>
  <c r="Q826" i="1"/>
  <c r="H826" i="1"/>
  <c r="W825" i="1"/>
  <c r="V825" i="1"/>
  <c r="U825" i="1"/>
  <c r="Y825" i="1" s="1"/>
  <c r="Q825" i="1"/>
  <c r="H825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7" i="1" l="1"/>
  <c r="S837" i="1"/>
  <c r="T837" i="1" s="1"/>
  <c r="X837" i="1"/>
  <c r="Z837" i="1" s="1"/>
  <c r="R836" i="1"/>
  <c r="S836" i="1"/>
  <c r="T836" i="1" s="1"/>
  <c r="X836" i="1"/>
  <c r="Z836" i="1" s="1"/>
  <c r="R835" i="1"/>
  <c r="X835" i="1"/>
  <c r="Z835" i="1" s="1"/>
  <c r="S834" i="1"/>
  <c r="T834" i="1" s="1"/>
  <c r="R833" i="1"/>
  <c r="X834" i="1"/>
  <c r="Z834" i="1" s="1"/>
  <c r="X833" i="1"/>
  <c r="Z833" i="1" s="1"/>
  <c r="S829" i="1"/>
  <c r="T829" i="1" s="1"/>
  <c r="Z829" i="1"/>
  <c r="R832" i="1"/>
  <c r="S832" i="1"/>
  <c r="T832" i="1" s="1"/>
  <c r="X832" i="1"/>
  <c r="Z832" i="1" s="1"/>
  <c r="Z828" i="1"/>
  <c r="X831" i="1"/>
  <c r="Z831" i="1" s="1"/>
  <c r="R831" i="1"/>
  <c r="R830" i="1"/>
  <c r="S830" i="1"/>
  <c r="T830" i="1" s="1"/>
  <c r="X830" i="1"/>
  <c r="Z830" i="1" s="1"/>
  <c r="Y829" i="1"/>
  <c r="R828" i="1"/>
  <c r="S828" i="1"/>
  <c r="T828" i="1" s="1"/>
  <c r="Y828" i="1"/>
  <c r="R827" i="1"/>
  <c r="S827" i="1"/>
  <c r="T827" i="1" s="1"/>
  <c r="X827" i="1"/>
  <c r="Z827" i="1" s="1"/>
  <c r="R826" i="1"/>
  <c r="S826" i="1"/>
  <c r="T826" i="1" s="1"/>
  <c r="X826" i="1"/>
  <c r="Z826" i="1" s="1"/>
  <c r="R825" i="1"/>
  <c r="S825" i="1"/>
  <c r="T825" i="1" s="1"/>
  <c r="X825" i="1"/>
  <c r="Z825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<sst xmlns="http://schemas.openxmlformats.org/spreadsheetml/2006/main" count="29824" uniqueCount="5017">
  <si>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</si>
  <si>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</si>
  <si>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</si>
  <si>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</si>
  <si>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</si>
  <si>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</si>
  <si>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</si>
  <si>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</si>
  <si>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</si>
  <si>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</si>
  <si>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</si>
  <si>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</si>
  <si>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</si>
  <si>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</si>
  <si>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</si>
  <si>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</si>
  <si>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</si>
  <si>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</si>
  <si>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</si>
  <si>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</si>
  <si>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</si>
  <si>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</si>
  <si>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</si>
  <si>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</si>
  <si>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</si>
  <si>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</si>
  <si>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</si>
  <si>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</si>
  <si>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</si>
  <si>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</si>
  <si>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</si>
  <si>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</si>
  <si>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</si>
  <si>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</si>
  <si>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</si>
  <si>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</si>
  <si>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</si>
  <si>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</si>
  <si>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</si>
  <si>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</si>
  <si>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</si>
  <si>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</si>
  <si>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</si>
  <si>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</si>
  <si>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</si>
  <si>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</si>
  <si>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</si>
  <si>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</si>
  <si>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</si>
  <si>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</si>
  <si>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</si>
  <si>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</si>
  <si>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</si>
  <si>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</si>
  <si>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</si>
  <si>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</si>
  <si>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</si>
  <si>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</si>
  <si>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</si>
  <si>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</si>
  <si>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</si>
  <si>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</si>
  <si>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</si>
  <si>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</si>
  <si>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</si>
  <si>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</si>
  <si>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</si>
  <si>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</si>
  <si>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</si>
  <si>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</si>
  <si>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</si>
  <si>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</si>
  <si>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</si>
  <si>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</si>
  <si>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</si>
  <si>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</si>
  <si>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</si>
  <si>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</si>
  <si>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</si>
  <si>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</si>
  <si>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</si>
  <si>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</si>
  <si>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</si>
  <si>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</si>
  <si>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</si>
  <si>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</si>
  <si>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</si>
  <si>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</si>
  <si>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</si>
  <si>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</si>
  <si>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</si>
  <si>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</si>
  <si>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</si>
  <si>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</si>
  <si>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</si>
  <si>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</si>
  <si>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</si>
  <si>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</si>
  <si>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</si>
  <si>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</si>
  <si>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</si>
  <si>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</si>
  <si>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</si>
  <si>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</si>
  <si>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</si>
  <si>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</si>
  <si>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</si>
  <si>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</si>
  <si>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</si>
  <si>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</si>
  <si>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</si>
  <si>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</si>
  <si>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</si>
  <si>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</si>
  <si>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</si>
  <si>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</si>
  <si>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</si>
  <si>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</si>
  <si>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</si>
  <si>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</si>
  <si>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</si>
  <si>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</si>
  <si>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</si>
  <si>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</si>
  <si>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</si>
  <si>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</si>
  <si>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</si>
  <si>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</si>
  <si>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</si>
  <si>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</si>
  <si>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</si>
  <si>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</si>
  <si>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</si>
  <si>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</si>
  <si>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</si>
  <si>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</si>
  <si>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</si>
  <si>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</si>
  <si>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</si>
  <si>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</si>
  <si>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</si>
  <si>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</si>
  <si>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</si>
  <si>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</si>
  <si>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</si>
  <si>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</si>
  <si>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</si>
  <si>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</si>
  <si>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</si>
  <si>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</si>
  <si>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</si>
  <si>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</si>
  <si>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</si>
  <si>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</si>
  <si>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</si>
  <si>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</si>
  <si>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</si>
  <si>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</si>
  <si>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</si>
  <si>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</si>
  <si>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</si>
  <si>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</si>
  <si>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</si>
  <si>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</si>
  <si>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</si>
  <si>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</si>
  <si>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</si>
  <si>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</si>
  <si>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</si>
  <si>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</si>
  <si>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</si>
  <si>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</si>
  <si>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</si>
  <si>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</si>
  <si>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</si>
  <si>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</si>
  <si>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</si>
  <si>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</si>
  <si>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</si>
  <si>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</si>
  <si>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</si>
  <si>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</si>
  <si>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</si>
  <si>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</si>
  <si>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</si>
  <si>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</si>
  <si>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</si>
  <si>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</si>
  <si>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</si>
  <si>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</si>
  <si>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</si>
  <si>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</si>
  <si>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</si>
  <si>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</si>
  <si>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</si>
  <si>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</si>
  <si>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</si>
  <si>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</si>
  <si>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</si>
  <si>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</si>
  <si>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</si>
  <si>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</si>
  <si>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</si>
  <si>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</si>
  <si>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</si>
  <si>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</si>
  <si>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</si>
  <si>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</si>
  <si>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</si>
  <si>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</si>
  <si>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</si>
  <si>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</si>
  <si>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</si>
  <si>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</si>
  <si>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</si>
  <si>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</si>
  <si>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</si>
  <si>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</si>
  <si>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</si>
  <si>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</si>
  <si>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</si>
  <si>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</si>
  <si>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</si>
  <si>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</si>
  <si>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</si>
  <si>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</si>
  <si>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</si>
  <si>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</si>
  <si>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</si>
  <si>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</si>
  <si>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</si>
  <si>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</si>
  <si>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</si>
  <si>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</si>
  <si>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</si>
  <si>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</si>
  <si>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</si>
  <si>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</si>
  <si>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</si>
  <si>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</si>
  <si>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</si>
  <si>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</si>
  <si>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</si>
  <si>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</si>
  <si>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</si>
  <si>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</si>
  <si>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</si>
  <si>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</si>
  <si>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</si>
  <si>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</si>
  <si>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</si>
  <si>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</si>
  <si>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</si>
  <si>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</si>
  <si>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</si>
  <si>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</si>
  <si>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</si>
  <si>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</si>
  <si>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</si>
  <si>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</si>
  <si>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</si>
  <si>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</si>
  <si>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</si>
  <si>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</si>
  <si>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</si>
  <si>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</si>
  <si>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</si>
  <si>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</si>
  <si>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</si>
  <si>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</si>
  <si>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</si>
  <si>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</si>
  <si>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</si>
  <si>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</si>
  <si>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</si>
  <si>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</si>
  <si>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</si>
  <si>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</si>
  <si>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</si>
  <si>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</si>
  <si>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</si>
  <si>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</si>
  <si>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</si>
  <si>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</si>
  <si>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</si>
  <si>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</si>
  <si>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</si>
  <si>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</si>
  <si>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</si>
  <si>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</si>
  <si>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</si>
  <si>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</si>
  <si>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</si>
  <si>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</si>
  <si>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</si>
  <si>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</si>
  <si>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</si>
  <si>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</si>
  <si>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</si>
  <si>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</si>
  <si>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</si>
  <si>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</si>
  <si>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</si>
  <si>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</si>
  <si>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</si>
  <si>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</si>
  <si>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</si>
  <si>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</si>
  <si>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</si>
  <si>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</si>
  <si>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</si>
  <si>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</si>
  <si>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</si>
  <si>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</si>
  <si>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</si>
  <si>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</si>
  <si>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</si>
  <si>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</si>
  <si>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</si>
  <si>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</si>
  <si>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</si>
  <si>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</si>
  <si>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</si>
  <si>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</si>
  <si>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</si>
  <si>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</si>
  <si>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</si>
  <si>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</si>
  <si>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</si>
  <si>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</si>
  <si>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</si>
  <si>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</si>
  <si>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</si>
  <si>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</si>
  <si>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</si>
  <si>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</si>
  <si>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</si>
  <si>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</si>
  <si>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</si>
  <si>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</si>
  <si>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</si>
  <si>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</si>
  <si>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</si>
  <si>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</si>
  <si>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</si>
  <si>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</si>
  <si>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</si>
  <si>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</si>
  <si>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</si>
  <si>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</si>
  <si>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</si>
  <si>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</si>
  <si>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</si>
  <si>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</si>
  <si>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</si>
  <si>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</si>
  <si>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</si>
  <si>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</si>
  <si>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</si>
  <si>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</si>
  <si>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</si>
  <si>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</si>
  <si>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</si>
  <si>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</si>
  <si>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</si>
  <si>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</si>
  <si>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</si>
  <si>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</si>
  <si>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</si>
  <si>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</si>
  <si>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</si>
  <si>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</si>
  <si>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</si>
  <si>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</si>
  <si>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</si>
  <si>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</si>
  <si>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</si>
  <si>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</si>
  <si>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</si>
  <si>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</si>
  <si>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</si>
  <si>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</si>
  <si>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</si>
  <si>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</si>
  <si>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</si>
  <si>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</si>
  <si>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</si>
  <si>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</si>
  <si>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</si>
  <si>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</si>
  <si>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</si>
  <si>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</si>
  <si>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</si>
  <si>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</si>
  <si>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</si>
  <si>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</si>
  <si>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</si>
  <si>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</si>
  <si>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</si>
  <si>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</si>
  <si>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</si>
  <si>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</si>
  <si>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</si>
  <si>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</si>
  <si>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</si>
  <si>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</si>
  <si>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</si>
  <si>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</si>
  <si>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</si>
  <si>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</si>
  <si>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</si>
  <si>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</si>
  <si>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</si>
  <si>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</si>
  <si>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</si>
  <si>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</si>
  <si>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</si>
  <si>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</si>
  <si>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</si>
  <si>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</si>
  <si>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</si>
  <si>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</si>
  <si>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</si>
  <si>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</si>
  <si>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</si>
  <si>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</si>
  <si>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</si>
  <si>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</si>
  <si>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</si>
  <si>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</si>
  <si>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</si>
  <si>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</si>
  <si>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</si>
  <si>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</si>
  <si>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</si>
  <si>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</si>
  <si>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</si>
  <si>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</si>
  <si>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</si>
  <si>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</si>
  <si>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</si>
  <si>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</si>
  <si>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</si>
  <si>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</si>
  <si>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</si>
  <si>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</si>
  <si>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</si>
  <si>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</si>
  <si>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</si>
  <si>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</si>
  <si>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</si>
  <si>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</si>
  <si>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</si>
  <si>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</si>
  <si>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</si>
  <si>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</si>
  <si>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</si>
  <si>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</si>
  <si>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</si>
  <si>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</si>
  <si>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</si>
  <si>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</si>
  <si>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</si>
  <si>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</si>
  <si>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</si>
  <si>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</si>
  <si>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</si>
  <si>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</si>
  <si>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</si>
  <si>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</si>
  <si>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</si>
  <si>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</si>
  <si>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</si>
  <si>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</si>
  <si>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</si>
  <si>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</si>
  <si>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</si>
  <si>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</si>
  <si>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</si>
  <si>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</si>
  <si>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</si>
  <si>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</si>
  <si>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</si>
  <si>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</si>
  <si>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</si>
  <si>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</si>
  <si>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</si>
  <si>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</si>
  <si>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</si>
  <si>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</si>
  <si>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</si>
  <si>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</si>
  <si>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</si>
  <si>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</si>
  <si>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</si>
  <si>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</si>
  <si>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</si>
  <si>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</si>
  <si>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</si>
  <si>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</si>
  <si>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</si>
  <si>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</si>
  <si>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</si>
  <si>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</si>
  <si>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</si>
  <si>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</si>
  <si>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</si>
  <si>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</si>
  <si>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</si>
  <si>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</si>
  <si>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</si>
  <si>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</si>
  <si>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</si>
  <si>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</si>
  <si>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</si>
  <si>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</si>
  <si>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</si>
  <si>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</si>
  <si>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</si>
  <si>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</si>
  <si>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</si>
  <si>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</si>
  <si>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</si>
  <si>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</si>
  <si>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</si>
  <si>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</si>
  <si>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</si>
  <si>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</si>
  <si>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</si>
  <si>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</si>
  <si>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</si>
  <si>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</si>
  <si>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</si>
  <si>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</si>
  <si>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</si>
  <si>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</si>
  <si>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</si>
  <si>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</si>
  <si>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</si>
  <si>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</si>
  <si>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</si>
  <si>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</si>
  <si>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</si>
  <si>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</si>
  <si>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</si>
  <si>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</si>
  <si>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</si>
  <si>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</si>
  <si>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</si>
  <si>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</si>
  <si>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</si>
  <si>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</si>
  <si>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</si>
  <si>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</si>
  <si>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</si>
  <si>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</si>
  <si>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</si>
  <si>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</si>
  <si>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</si>
  <si>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</si>
  <si>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</si>
  <si>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</si>
  <si>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</si>
  <si>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</si>
  <si>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</si>
  <si>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</si>
  <si>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</si>
  <si>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</si>
  <si>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</si>
  <si>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</si>
  <si>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</si>
  <si>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</si>
  <si>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</si>
  <si>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</si>
  <si>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</si>
  <si>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</si>
  <si>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</si>
  <si>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</si>
  <si>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</si>
  <si>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</si>
  <si>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</si>
  <si>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</si>
  <si>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</si>
  <si>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</si>
  <si>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</si>
  <si>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</si>
  <si>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</si>
  <si>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</si>
  <si>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</si>
  <si>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</si>
  <si>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</si>
  <si>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</si>
  <si>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</si>
  <si>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</si>
  <si>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</si>
  <si>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</si>
  <si>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</si>
  <si>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</si>
  <si>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</si>
  <si>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</si>
  <si>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</si>
  <si>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</si>
  <si>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</si>
  <si>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</si>
  <si>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</si>
  <si>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</si>
  <si>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</si>
  <si>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</si>
  <si>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</si>
  <si>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</si>
  <si>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</si>
  <si>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</si>
  <si>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</si>
  <si>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</si>
  <si>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</si>
  <si>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</si>
  <si>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</si>
  <si>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</si>
  <si>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</si>
  <si>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</si>
  <si>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</si>
  <si>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</si>
  <si>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</si>
  <si>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</si>
  <si>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</si>
  <si>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</si>
  <si>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</si>
  <si>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</si>
  <si>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</si>
  <si>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</si>
  <si>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</si>
  <si>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</si>
  <si>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</si>
  <si>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</si>
  <si>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</si>
  <si>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</si>
  <si>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</si>
  <si>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</si>
  <si>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</si>
  <si>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</si>
  <si>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</si>
  <si>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</si>
  <si>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</si>
  <si>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</si>
  <si>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</si>
  <si>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</si>
  <si>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</si>
  <si>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</si>
  <si>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</si>
  <si>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</si>
  <si>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</si>
  <si>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</si>
  <si>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</si>
  <si>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</si>
  <si>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</si>
  <si>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</si>
  <si>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</si>
  <si>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</si>
  <si>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</si>
  <si>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</si>
  <si>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</si>
  <si>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</si>
  <si>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</si>
  <si>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</si>
  <si>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</si>
  <si>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</si>
  <si>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</si>
  <si>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</si>
  <si>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</si>
  <si>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</si>
  <si>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</si>
  <si>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</si>
  <si>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</si>
  <si>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</si>
  <si>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</si>
  <si>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</si>
  <si>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</si>
  <si>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</si>
  <si>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</si>
  <si>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</si>
  <si>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</si>
  <si>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</si>
  <si>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</si>
  <si>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</si>
  <si>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</si>
  <si>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</si>
  <si>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</si>
  <si>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</si>
  <si>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</si>
  <si>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</si>
  <si>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</si>
  <si>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</si>
  <si>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</si>
  <si>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</si>
  <si>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</si>
  <si>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</si>
  <si>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</si>
  <si>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</si>
  <si>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</si>
  <si>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</si>
  <si>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</si>
  <si>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</si>
  <si>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</si>
  <si>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</si>
  <si>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</si>
  <si>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</si>
  <si>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</si>
  <si>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</si>
  <si>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</si>
  <si>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</si>
  <si>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</si>
  <si>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</si>
  <si>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</si>
  <si>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</si>
  <si>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</si>
  <si>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</si>
  <si>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</si>
  <si>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</si>
  <si>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</si>
  <si>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</si>
  <si>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</si>
  <si>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</si>
  <si>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</si>
  <si>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</si>
  <si>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</si>
  <si>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</si>
  <si>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</si>
  <si>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</si>
  <si>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</si>
  <si>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</si>
  <si>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</si>
  <si>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</si>
  <si>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</si>
  <si>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</si>
  <si>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</si>
  <si>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</si>
  <si>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</si>
  <si>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</si>
  <si>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</si>
  <si>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</si>
  <si>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</si>
  <si>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</si>
  <si>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</si>
  <si>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</si>
  <si>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</si>
  <si>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</si>
  <si>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</si>
  <si>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</si>
  <si>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</si>
  <si>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</si>
  <si>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</si>
  <si>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</si>
  <si>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</si>
  <si>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</si>
  <si>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</si>
  <si>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</si>
  <si>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</si>
  <si>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</si>
  <si>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</si>
  <si>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</si>
  <si>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</si>
  <si>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</si>
  <si>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</si>
  <si>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</si>
  <si>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</si>
  <si>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</si>
  <si>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</si>
  <si>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</si>
  <si>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</si>
  <si>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</si>
  <si>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</si>
  <si>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</si>
  <si>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</si>
  <si>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</si>
  <si>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</si>
  <si>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</si>
  <si>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</si>
  <si>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</si>
  <si>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</si>
  <si>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</si>
  <si>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</si>
  <si>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</si>
  <si>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</si>
  <si>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</si>
  <si>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</si>
  <si>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</si>
  <si>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</si>
  <si>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</si>
  <si>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</si>
  <si>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</si>
  <si>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</si>
  <si>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</si>
  <si>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</si>
  <si>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</si>
  <si>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</si>
  <si>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</si>
  <si>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</si>
  <si>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</si>
  <si>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</si>
  <si>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</si>
  <si>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</si>
  <si>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</si>
  <si>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</si>
  <si>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</si>
  <si>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</si>
  <si>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</si>
  <si>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</si>
  <si>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</si>
  <si>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</si>
  <si>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</si>
  <si>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</si>
  <si>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</si>
  <si>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</si>
  <si>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</si>
  <si>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</si>
  <si>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</si>
  <si>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</si>
  <si>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</si>
  <si>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</si>
  <si>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</si>
  <si>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</si>
  <si>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</si>
  <si>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</si>
  <si>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</si>
  <si>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</si>
  <si>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</si>
  <si>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</si>
  <si>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</si>
  <si>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</si>
  <si>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</si>
  <si>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</si>
  <si>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</si>
  <si>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</si>
  <si>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</si>
  <si>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</si>
  <si>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</si>
  <si>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</si>
  <si>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</si>
  <si>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</si>
  <si>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</si>
  <si>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</si>
  <si>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</si>
  <si>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</si>
  <si>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</si>
  <si>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</si>
  <si>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</si>
  <si>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</si>
  <si>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</si>
  <si>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</si>
  <si>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</si>
  <si>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</si>
  <si>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</si>
  <si>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</si>
  <si>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</si>
  <si>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</si>
  <si>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</si>
  <si>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</si>
  <si>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</si>
  <si>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</si>
  <si>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</si>
  <si>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</si>
  <si>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</si>
  <si>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</si>
  <si>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</si>
  <si>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</si>
  <si>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</si>
  <si>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</si>
  <si>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</si>
  <si>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</si>
  <si>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</si>
  <si>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</si>
  <si>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</si>
  <si>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</si>
  <si>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</si>
  <si>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</si>
  <si>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</si>
  <si>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</si>
  <si>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</si>
  <si>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</si>
  <si>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</si>
  <si>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</si>
  <si>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</si>
  <si>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</si>
  <si>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</si>
  <si>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</si>
  <si>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</si>
  <si>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</si>
  <si>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</si>
  <si>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</si>
  <si>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</si>
  <si>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</si>
  <si>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</si>
  <si>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</si>
  <si>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</si>
  <si>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</si>
  <si>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</si>
  <si>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</si>
  <si>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</si>
  <si>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</si>
  <si>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</si>
  <si>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</si>
  <si>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</si>
  <si>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</si>
  <si>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</si>
  <si>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</si>
  <si>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</si>
  <si>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</si>
  <si>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</si>
  <si>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</si>
  <si>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</si>
  <si>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</si>
  <si>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</si>
  <si>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</si>
  <si>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</si>
  <si>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</si>
  <si>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</si>
  <si>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</si>
  <si>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</si>
  <si>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</si>
  <si>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</si>
  <si>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</si>
  <si>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</si>
  <si>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</si>
  <si>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</si>
  <si>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</si>
  <si>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</si>
  <si>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</si>
  <si>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</si>
  <si>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</si>
  <si>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</si>
  <si>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</si>
  <si>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</si>
  <si>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</si>
  <si>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</si>
  <si>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</si>
  <si>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</si>
  <si>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</si>
  <si>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</si>
  <si>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</si>
  <si>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</si>
  <si>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</si>
  <si>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</si>
  <si>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</si>
  <si>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</si>
  <si>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</si>
  <si>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</si>
  <si>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</si>
  <si>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</si>
  <si>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</si>
  <si>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</si>
  <si>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</si>
  <si>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</si>
  <si>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</si>
  <si>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</si>
  <si>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</si>
  <si>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</si>
  <si>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</si>
  <si>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</si>
  <si>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</si>
  <si>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</si>
  <si>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</si>
  <si>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</si>
  <si>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</si>
  <si>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</si>
  <si>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</si>
  <si>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</si>
  <si>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</si>
  <si>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</si>
  <si>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</si>
  <si>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</si>
  <si>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</si>
  <si>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</si>
  <si>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</si>
  <si>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</si>
  <si>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</si>
  <si>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</si>
  <si>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</si>
  <si>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</si>
  <si>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</si>
  <si>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</si>
  <si>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</si>
  <si>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</si>
  <si>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</si>
  <si>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</si>
  <si>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</si>
  <si>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</si>
  <si>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</si>
  <si>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</si>
  <si>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</si>
  <si>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</si>
  <si>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</si>
  <si>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</si>
  <si>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</si>
  <si>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</si>
  <si>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</si>
  <si>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</si>
  <si>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</si>
  <si>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</si>
  <si>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</si>
  <si>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</si>
  <si>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</si>
  <si>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</si>
  <si>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</si>
  <si>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</si>
  <si>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</si>
  <si>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</si>
  <si>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</si>
  <si>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</si>
  <si>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</si>
  <si>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</si>
  <si>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</si>
  <si>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</si>
  <si>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</si>
  <si>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</si>
  <si>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</si>
  <si>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</si>
  <si>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</si>
  <si>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</si>
  <si>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</si>
  <si>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</si>
  <si>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</si>
  <si>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</si>
  <si>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</si>
  <si>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</si>
  <si>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</si>
  <si>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</si>
  <si>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</si>
  <si>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</si>
  <si>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</si>
  <si>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</si>
  <si>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</si>
  <si>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</si>
  <si>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</si>
  <si>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</si>
  <si>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</si>
  <si>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</si>
  <si>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</si>
  <si>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</si>
  <si>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</si>
  <si>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</si>
  <si>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</si>
  <si>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</si>
  <si>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</si>
  <si>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</si>
  <si>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</si>
  <si>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</si>
  <si>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</si>
  <si>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</si>
  <si>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</si>
  <si>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</si>
  <si>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</si>
  <si>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</si>
  <si>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</si>
  <si>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</si>
  <si>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</si>
  <si>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</si>
  <si>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</si>
  <si>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</si>
  <si>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</si>
  <si>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</si>
  <si>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</si>
  <si>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</si>
  <si>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</si>
  <si>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</si>
  <si>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</si>
  <si>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</si>
  <si>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</si>
  <si>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</si>
  <si>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</si>
  <si>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</si>
  <si>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</si>
  <si>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</si>
  <si>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</si>
  <si>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</si>
  <si>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</si>
  <si>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</si>
  <si>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</si>
  <si>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</si>
  <si>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</si>
  <si>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</si>
  <si>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</si>
  <si>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</si>
  <si>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</si>
  <si>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</si>
  <si>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</si>
  <si>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</si>
  <si>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</si>
  <si>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</si>
  <si>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</si>
  <si>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</si>
  <si>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</si>
  <si>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</si>
  <si>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</si>
  <si>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</si>
  <si>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</si>
  <si>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</si>
  <si>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</si>
  <si>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</si>
  <si>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</si>
  <si>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</si>
  <si>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</si>
  <si>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</si>
  <si>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</si>
  <si>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</si>
  <si>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</si>
  <si>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</si>
  <si>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</si>
  <si>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</si>
  <si>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</si>
  <si>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</si>
  <si>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</si>
  <si>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</si>
  <si>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</si>
  <si>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</si>
  <si>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</si>
  <si>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</si>
  <si>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</si>
  <si>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</si>
  <si>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</si>
  <si>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</si>
  <si>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</si>
  <si>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</si>
  <si>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</si>
  <si>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</si>
  <si>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</si>
  <si>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</si>
  <si>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</si>
  <si>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</si>
  <si>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</si>
  <si>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</si>
  <si>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</si>
  <si>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</si>
  <si>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</si>
  <si>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</si>
  <si>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</si>
  <si>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</si>
  <si>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</si>
  <si>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</si>
  <si>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</si>
  <si>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</si>
  <si>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</si>
  <si>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</si>
  <si>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</si>
  <si>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</si>
  <si>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</si>
  <si>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</si>
  <si>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</si>
  <si>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</si>
  <si>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</si>
  <si>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</si>
  <si>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</si>
  <si>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</si>
  <si>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</si>
  <si>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</si>
  <si>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</si>
  <si>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</si>
  <si>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</si>
  <si>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</si>
  <si>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</si>
  <si>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</si>
  <si>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</si>
  <si>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</si>
  <si>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</si>
  <si>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</si>
  <si>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</si>
  <si>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</si>
  <si>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</si>
  <si>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</si>
  <si>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</si>
  <si>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</si>
  <si>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</si>
  <si>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</si>
  <si>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</si>
  <si>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</si>
  <si>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</si>
  <si>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</si>
  <si>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</si>
  <si>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</si>
  <si>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</si>
  <si>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</si>
  <si>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</si>
  <si>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</si>
  <si>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</si>
  <si>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</si>
  <si>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</si>
  <si>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</si>
  <si>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</si>
  <si>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</si>
  <si>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</si>
  <si>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</si>
  <si>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</si>
  <si>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</si>
  <si>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</si>
  <si>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</si>
  <si>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</si>
  <si>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</si>
  <si>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</si>
  <si>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</si>
  <si>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</si>
  <si>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</si>
  <si>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</si>
  <si>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</si>
  <si>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</si>
  <si>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</si>
  <si>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</si>
  <si>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</si>
  <si>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</si>
  <si>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</si>
  <si>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</si>
  <si>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</si>
  <si>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</si>
  <si>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</si>
  <si>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</si>
  <si>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</si>
  <si>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</si>
  <si>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</si>
  <si>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</si>
  <si>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</si>
  <si>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</si>
  <si>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</si>
  <si>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</si>
  <si>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</si>
  <si>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</si>
  <si>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</si>
  <si>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</si>
  <si>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</si>
  <si>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</si>
  <si>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</si>
  <si>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</si>
  <si>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</si>
  <si>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</si>
  <si>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</si>
  <si>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</si>
  <si>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</si>
  <si>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</si>
  <si>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</si>
  <si>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</si>
  <si>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</si>
  <si>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</si>
  <si>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</si>
  <si>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</si>
  <si>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</si>
  <si>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</si>
  <si>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</si>
  <si>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</si>
  <si>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</si>
  <si>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</si>
  <si>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</si>
  <si>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</si>
  <si>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</si>
  <si>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</si>
  <si>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</si>
  <si>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</si>
  <si>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</si>
  <si>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</si>
  <si>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</si>
  <si>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</si>
  <si>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</si>
  <si>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</si>
  <si>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</si>
  <si>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</si>
  <si>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</si>
  <si>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</si>
  <si>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</si>
  <si>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</si>
  <si>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</si>
  <si>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</si>
  <si>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</si>
  <si>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</si>
  <si>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</si>
  <si>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</si>
  <si>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</si>
  <si>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</si>
  <si>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</si>
  <si>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</si>
  <si>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</si>
  <si>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</si>
  <si>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</si>
  <si>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</si>
  <si>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</si>
  <si>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</si>
  <si>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</si>
  <si>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</si>
  <si>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</si>
  <si>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</si>
  <si>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</si>
  <si>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</si>
  <si>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</si>
  <si>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</si>
  <si>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</si>
  <si>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</si>
  <si>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</si>
  <si>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</si>
  <si>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</si>
  <si>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</si>
  <si>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</si>
  <si>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</si>
  <si>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</si>
  <si>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</si>
  <si>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</si>
  <si>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</si>
  <si>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</si>
  <si>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</si>
  <si>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</si>
  <si>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</si>
  <si>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</si>
  <si>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</si>
  <si>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</si>
  <si>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</si>
  <si>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</si>
  <si>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</si>
  <si>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</si>
  <si>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</si>
  <si>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</si>
  <si>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</si>
  <si>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</si>
  <si>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</si>
  <si>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</si>
  <si>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</si>
  <si>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</si>
  <si>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</si>
  <si>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</si>
  <si>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</si>
  <si>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</si>
  <si>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</si>
  <si>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</si>
  <si>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</si>
  <si>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</si>
  <si>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</si>
  <si>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</si>
  <si>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</si>
  <si>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</si>
  <si>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</si>
  <si>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</si>
  <si>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</si>
  <si>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</si>
  <si>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</si>
  <si>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</si>
  <si>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</si>
  <si>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</si>
  <si>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</si>
  <si>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</si>
  <si>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</si>
  <si>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</si>
  <si>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</si>
  <si>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</si>
  <si>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</si>
  <si>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</si>
  <si>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</si>
  <si>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</si>
  <si>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</si>
  <si>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</si>
  <si>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</si>
  <si>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</si>
  <si>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</si>
  <si>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</si>
  <si>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</si>
  <si>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</si>
  <si>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</si>
  <si>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</si>
  <si>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</si>
  <si>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</si>
  <si>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</si>
  <si>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</si>
  <si>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</si>
  <si>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</si>
  <si>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</si>
  <si>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</si>
  <si>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</si>
  <si>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</si>
  <si>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</si>
  <si>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</si>
  <si>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</si>
  <si>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</si>
  <si>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</si>
  <si>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</si>
  <si>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</si>
  <si>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</si>
  <si>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</si>
  <si>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</si>
  <si>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</si>
  <si>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</si>
  <si>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</si>
  <si>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</si>
  <si>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</si>
  <si>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</si>
  <si>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</si>
  <si>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</si>
  <si>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</si>
  <si>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</si>
  <si>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</si>
  <si>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</si>
  <si>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</si>
  <si>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</si>
  <si>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</si>
  <si>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</si>
  <si>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</si>
  <si>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</si>
  <si>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</si>
  <si>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</si>
  <si>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</si>
  <si>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</si>
  <si>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</si>
  <si>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</si>
  <si>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</si>
  <si>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</si>
  <si>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</si>
  <si>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</si>
  <si>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</si>
  <si>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</si>
  <si>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</si>
  <si>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</si>
  <si>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</si>
  <si>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</si>
  <si>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</si>
  <si>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</si>
  <si>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</si>
  <si>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</si>
  <si>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</si>
  <si>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</si>
  <si>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</si>
  <si>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</si>
  <si>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</si>
  <si>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</si>
  <si>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</si>
  <si>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</si>
  <si>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</si>
  <si>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</si>
  <si>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</si>
  <si>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</si>
  <si>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</si>
  <si>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</si>
  <si>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</si>
  <si>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</si>
  <si>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</si>
  <si>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</si>
  <si>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</si>
  <si>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</si>
  <si>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</si>
  <si>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</si>
  <si>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</si>
  <si>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</si>
  <si>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</si>
  <si>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</si>
  <si>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</si>
  <si>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</si>
  <si>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</si>
  <si>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</si>
  <si>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</si>
  <si>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</si>
  <si>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</si>
  <si>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</si>
  <si>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</si>
  <si>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</si>
  <si>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</si>
  <si>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</si>
  <si>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</si>
  <si>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</si>
  <si>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</si>
  <si>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</si>
  <si>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</si>
  <si>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</si>
  <si>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</si>
  <si>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</si>
  <si>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</si>
  <si>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</si>
  <si>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</si>
  <si>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</si>
  <si>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</si>
  <si>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</si>
  <si>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</si>
  <si>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</si>
  <si>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</si>
  <si>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</si>
  <si>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</si>
  <si>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</si>
  <si>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</si>
  <si>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</si>
  <si>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</si>
  <si>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</si>
  <si>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</si>
  <si>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</si>
  <si>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</si>
  <si>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</si>
  <si>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</si>
  <si>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</si>
  <si>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</si>
  <si>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</si>
  <si>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</si>
  <si>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</si>
  <si>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</si>
  <si>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</si>
  <si>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</si>
  <si>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</si>
  <si>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</si>
  <si>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</si>
  <si>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</si>
  <si>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</si>
  <si>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</si>
  <si>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</si>
  <si>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</si>
  <si>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</si>
  <si>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</si>
  <si>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</si>
  <si>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</si>
  <si>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</si>
  <si>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</si>
  <si>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</si>
  <si>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</si>
  <si>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</si>
  <si>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</si>
  <si>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</si>
  <si>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</si>
  <si>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</si>
  <si>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</si>
  <si>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</si>
  <si>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</si>
  <si>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</si>
  <si>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</si>
  <si>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</si>
  <si>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</si>
  <si>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</si>
  <si>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</si>
  <si>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</si>
  <si>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</si>
  <si>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</si>
  <si>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</si>
  <si>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</si>
  <si>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</si>
  <si>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</si>
  <si>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</si>
  <si>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</si>
  <si>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</si>
  <si>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</si>
  <si>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</si>
  <si>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</si>
  <si>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</si>
  <si>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</si>
  <si>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</si>
  <si>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</si>
  <si>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</si>
  <si>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</si>
  <si>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</si>
  <si>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</si>
  <si>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</si>
  <si>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</si>
  <si>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</si>
  <si>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</si>
  <si>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</si>
  <si>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</si>
  <si>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</si>
  <si>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</si>
  <si>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</si>
  <si>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</si>
  <si>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</si>
  <si>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</si>
  <si>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</si>
  <si>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</si>
  <si>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</si>
  <si>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</si>
  <si>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</si>
  <si>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</si>
  <si>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</si>
  <si>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</si>
  <si>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</si>
  <si>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</si>
  <si>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</si>
  <si>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</si>
  <si>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</si>
  <si>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</si>
  <si>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</si>
  <si>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</si>
  <si>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</si>
  <si>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</si>
  <si>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</si>
  <si>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</si>
  <si>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</si>
  <si>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</si>
  <si>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</si>
  <si>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</si>
  <si>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</si>
  <si>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</si>
  <si>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</si>
  <si>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</si>
  <si>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</si>
  <si>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</si>
  <si>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</si>
  <si>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</si>
  <si>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</si>
  <si>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</si>
  <si>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</si>
  <si>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</si>
  <si>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</si>
  <si>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</si>
  <si>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</si>
  <si>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</si>
  <si>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</si>
  <si>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</si>
  <si>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</si>
  <si>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</si>
  <si>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</si>
  <si>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</si>
  <si>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</si>
  <si>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</si>
  <si>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</si>
  <si>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</si>
  <si>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</si>
  <si>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</si>
  <si>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</si>
  <si>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</si>
  <si>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</si>
  <si>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</si>
  <si>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</si>
  <si>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</si>
  <si>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</si>
  <si>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</si>
  <si>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</si>
  <si>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</si>
  <si>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</si>
  <si>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</si>
  <si>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</si>
  <si>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</si>
  <si>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</si>
  <si>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</si>
  <si>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</si>
  <si>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</si>
  <si>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</si>
  <si>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</si>
  <si>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</si>
  <si>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</si>
  <si>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</si>
  <si>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</si>
  <si>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</si>
  <si>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</si>
  <si>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</si>
  <si>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</si>
  <si>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</si>
  <si>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</si>
  <si>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</si>
  <si>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</si>
  <si>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</si>
  <si>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</si>
  <si>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</si>
  <si>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</si>
  <si>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</si>
  <si>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</si>
  <si>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</si>
  <si>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</si>
  <si>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</si>
  <si>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</si>
  <si>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</si>
  <si>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</si>
  <si>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</si>
  <si>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</si>
  <si>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</si>
  <si>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</si>
  <si>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</si>
  <si>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</si>
  <si>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</si>
  <si>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</si>
  <si>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</si>
  <si>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</si>
  <si>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</si>
  <si>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</si>
  <si>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</si>
  <si>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</si>
  <si>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</si>
  <si>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</si>
  <si>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</si>
  <si>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</si>
  <si>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</si>
  <si>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</si>
  <si>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</si>
  <si>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</si>
  <si>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</si>
  <si>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</si>
  <si>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</si>
  <si>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</si>
  <si>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</si>
  <si>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</si>
  <si>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</si>
  <si>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</si>
  <si>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</si>
  <si>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</si>
  <si>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</si>
  <si>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</si>
  <si>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</si>
  <si>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</si>
  <si>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</si>
  <si>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</si>
  <si>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</si>
  <si>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</si>
  <si>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</si>
  <si>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</si>
  <si>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</si>
  <si>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</si>
  <si>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</si>
  <si>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</si>
  <si>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</si>
  <si>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</si>
  <si>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</si>
  <si>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</si>
  <si>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</si>
  <si>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</si>
  <si>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</si>
  <si>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</si>
  <si>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</si>
  <si>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</si>
  <si>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</si>
  <si>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</si>
  <si>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</si>
  <si>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</si>
  <si>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</si>
  <si>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</si>
  <si>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</si>
  <si>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</si>
  <si>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</si>
  <si>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</si>
  <si>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</si>
  <si>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</si>
  <si>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</si>
  <si>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</si>
  <si>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</si>
  <si>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</si>
  <si>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</si>
  <si>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</si>
  <si>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</si>
  <si>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</si>
  <si>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</si>
  <si>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</si>
  <si>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</si>
  <si>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</si>
  <si>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</si>
  <si>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</si>
  <si>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</si>
  <si>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</si>
  <si>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</si>
  <si>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</si>
  <si>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</si>
  <si>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</si>
  <si>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</si>
  <si>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</si>
  <si>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</si>
  <si>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</si>
  <si>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</si>
  <si>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</si>
  <si>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</si>
  <si>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</si>
  <si>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</si>
  <si>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</si>
  <si>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</si>
  <si>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</si>
  <si>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</si>
  <si>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</si>
  <si>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</si>
  <si>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</si>
  <si>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</si>
  <si>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</si>
  <si>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</si>
  <si>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</si>
  <si>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</si>
  <si>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</si>
  <si>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</si>
  <si>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</si>
  <si>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</si>
  <si>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</si>
  <si>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</si>
  <si>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</si>
  <si>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</si>
  <si>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</si>
  <si>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</si>
  <si>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</si>
  <si>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</si>
  <si>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</si>
  <si>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</si>
  <si>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</si>
  <si>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</si>
  <si>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</si>
  <si>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</si>
  <si>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</si>
  <si>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</si>
  <si>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</si>
  <si>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</si>
  <si>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</si>
  <si>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</si>
  <si>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</si>
  <si>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</si>
  <si>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</si>
  <si>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</si>
  <si>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</si>
  <si>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</si>
  <si>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</si>
  <si>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</si>
  <si>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</si>
  <si>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</si>
  <si>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</si>
  <si>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</si>
  <si>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</si>
  <si>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</si>
  <si>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</si>
  <si>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</si>
  <si>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</si>
  <si>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</si>
  <si>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</si>
  <si>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</si>
  <si>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</si>
  <si>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</si>
  <si>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</si>
  <si>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</si>
  <si>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</si>
  <si>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</si>
  <si>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</si>
  <si>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</si>
  <si>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</si>
  <si>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</si>
  <si>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</si>
  <si>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</si>
  <si>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</si>
  <si>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</si>
  <si>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</si>
  <si>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</si>
  <si>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</si>
  <si>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</si>
  <si>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</si>
  <si>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</si>
  <si>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</si>
  <si>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</si>
  <si>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</si>
  <si>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</si>
  <si>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</si>
  <si>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</si>
  <si>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</si>
  <si>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</si>
  <si>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</si>
  <si>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</si>
  <si>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</si>
  <si>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</si>
  <si>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</si>
  <si>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</si>
  <si>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</si>
  <si>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</si>
  <si>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</si>
  <si>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</si>
  <si>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</si>
  <si>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</si>
  <si>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</si>
  <si>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</si>
  <si>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</si>
  <si>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</si>
  <si>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</si>
  <si>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</si>
  <si>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</si>
  <si>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</si>
  <si>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</si>
  <si>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</si>
  <si>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</si>
  <si>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</si>
  <si>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</si>
  <si>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</si>
  <si>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</si>
  <si>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</si>
  <si>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</si>
  <si>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</si>
  <si>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</si>
  <si>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</si>
  <si>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</si>
  <si>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</si>
  <si>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</si>
  <si>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</si>
  <si>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</si>
  <si>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</si>
  <si>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</si>
  <si>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</si>
  <si>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</si>
  <si>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</si>
  <si>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</si>
  <si>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</si>
  <si>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</si>
  <si>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</si>
  <si>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</si>
  <si>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</si>
  <si>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</si>
  <si>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</si>
  <si>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</si>
  <si>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</si>
  <si>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</si>
  <si>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</si>
  <si>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</si>
  <si>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</si>
  <si>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</si>
  <si>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</si>
  <si>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</si>
  <si>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</si>
  <si>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</si>
  <si>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</si>
  <si>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</si>
  <si>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</si>
  <si>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</si>
  <si>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</si>
  <si>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</si>
  <si>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</si>
  <si>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</si>
  <si>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</si>
  <si>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</si>
  <si>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</si>
  <si>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</si>
  <si>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</si>
  <si>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</si>
  <si>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</si>
  <si>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</si>
  <si>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</si>
  <si>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</si>
  <si>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</si>
  <si>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</si>
  <si>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</si>
  <si>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</si>
  <si>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</si>
  <si>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</si>
  <si>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</si>
  <si>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</si>
  <si>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</si>
  <si>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</si>
  <si>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</si>
  <si>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</si>
  <si>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</si>
  <si>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</si>
  <si>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</si>
  <si>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</si>
  <si>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</si>
  <si>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</si>
  <si>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</si>
  <si>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</si>
  <si>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</si>
  <si>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</si>
  <si>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</si>
  <si>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</si>
  <si>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</si>
  <si>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</si>
  <si>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</si>
  <si>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</si>
  <si>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</si>
  <si>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</si>
  <si>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</si>
  <si>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</si>
  <si>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</si>
  <si>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</si>
  <si>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</si>
  <si>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</si>
  <si>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</si>
  <si>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</si>
  <si>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</si>
  <si>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</si>
  <si>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</si>
  <si>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</si>
  <si>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</si>
  <si>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</si>
  <si>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</si>
  <si>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</si>
  <si>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</si>
  <si>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</si>
  <si>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</si>
  <si>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</si>
  <si>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</si>
  <si>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</si>
  <si>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</si>
  <si>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</si>
  <si>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</si>
  <si>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</si>
  <si>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</si>
  <si>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</si>
  <si>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</si>
  <si>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</si>
  <si>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</si>
  <si>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</si>
  <si>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</si>
  <si>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</si>
  <si>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</si>
  <si>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</si>
  <si>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</si>
  <si>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</si>
  <si>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</si>
  <si>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</si>
  <si>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</si>
  <si>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</si>
  <si>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</si>
  <si>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</si>
  <si>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</si>
  <si>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</si>
  <si>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</si>
  <si>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</si>
  <si>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</si>
  <si>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</si>
  <si>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</si>
  <si>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</si>
  <si>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</si>
  <si>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</si>
  <si>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</si>
  <si>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</si>
  <si>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</si>
  <si>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</si>
  <si>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</si>
  <si>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</si>
  <si>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</si>
  <si>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</si>
  <si>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</si>
  <si>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</si>
  <si>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</si>
  <si>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</si>
  <si>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</si>
  <si>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</si>
  <si>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</si>
  <si>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</si>
  <si>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</si>
  <si>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</si>
  <si>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</si>
  <si>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</si>
  <si>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</si>
  <si>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</si>
  <si>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</si>
  <si>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</si>
  <si>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</si>
  <si>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</si>
  <si>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</si>
  <si>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</si>
  <si>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</si>
  <si>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</si>
  <si>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</si>
  <si>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</si>
  <si>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</si>
  <si>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</si>
  <si>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</si>
  <si>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</si>
  <si>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</si>
  <si>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</si>
  <si>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</si>
  <si>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</si>
  <si>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</si>
  <si>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</si>
  <si>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</si>
  <si>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</si>
  <si>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</si>
  <si>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</si>
  <si>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</si>
  <si>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</si>
  <si>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</si>
  <si>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</si>
  <si>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</si>
  <si>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</si>
  <si>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</si>
  <si>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</si>
  <si>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</si>
  <si>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</si>
  <si>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</si>
  <si>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</si>
  <si>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</si>
  <si>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</si>
  <si>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</si>
  <si>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</si>
  <si>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</si>
  <si>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</si>
  <si>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</si>
  <si>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</si>
  <si>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</si>
  <si>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</si>
  <si>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</si>
  <si>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</si>
  <si>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</si>
  <si>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</si>
  <si>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</si>
  <si>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</si>
  <si>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</si>
  <si>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</si>
  <si>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</si>
  <si>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</si>
  <si>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</si>
  <si>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</si>
  <si>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</si>
  <si>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</si>
  <si>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</si>
  <si>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</si>
  <si>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</si>
  <si>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</si>
  <si>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</si>
  <si>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</si>
  <si>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</si>
  <si>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</si>
  <si>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</si>
  <si>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</si>
  <si>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</si>
  <si>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</si>
  <si>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</si>
  <si>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</si>
  <si>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</si>
  <si>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</si>
  <si>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</si>
  <si>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</si>
  <si>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</si>
  <si>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</si>
  <si>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</si>
  <si>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</si>
  <si>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</si>
  <si>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</si>
  <si>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</si>
  <si>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</si>
  <si>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</si>
  <si>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</si>
  <si>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</si>
  <si>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</si>
  <si>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</si>
  <si>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</si>
  <si>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</si>
  <si>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</si>
  <si>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</si>
  <si>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</si>
  <si>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</si>
  <si>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</si>
  <si>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</si>
  <si>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</si>
  <si>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</si>
  <si>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</si>
  <si>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</si>
  <si>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</si>
  <si>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</si>
  <si>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</si>
  <si>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</si>
  <si>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</si>
  <si>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</si>
  <si>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</si>
  <si>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</si>
  <si>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</si>
  <si>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</si>
  <si>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</si>
  <si>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</si>
  <si>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</si>
  <si>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</si>
  <si>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</si>
  <si>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</si>
  <si>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</si>
  <si>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</si>
  <si>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</si>
  <si>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</si>
  <si>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</si>
  <si>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</si>
  <si>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</si>
  <si>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</si>
  <si>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</si>
  <si>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</si>
  <si>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</si>
  <si>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</si>
  <si>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</si>
  <si>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</si>
  <si>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</si>
  <si>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</si>
  <si>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</si>
  <si>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</si>
  <si>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</si>
  <si>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</si>
  <si>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</si>
  <si>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</si>
  <si>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</si>
  <si>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</si>
  <si>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</si>
  <si>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</si>
  <si>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</si>
  <si>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</si>
  <si>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</si>
  <si>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</si>
  <si>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</si>
  <si>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</si>
  <si>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</si>
  <si>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</si>
  <si>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</si>
  <si>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</si>
  <si>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</si>
  <si>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</si>
  <si>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</si>
  <si>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</si>
  <si>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</si>
  <si>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</si>
  <si>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</si>
  <si>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</si>
  <si>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</si>
  <si>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</si>
  <si>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</si>
  <si>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</si>
  <si>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</si>
  <si>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</si>
  <si>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</si>
  <si>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</si>
  <si>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</si>
  <si>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</si>
  <si>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</si>
  <si>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</si>
  <si>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</si>
  <si>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</si>
  <si>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</si>
  <si>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</si>
  <si>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</si>
  <si>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</si>
  <si>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</si>
  <si>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</si>
  <si>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</si>
  <si>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</si>
  <si>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</si>
  <si>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</si>
  <si>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</si>
  <si>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</si>
  <si>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</si>
  <si>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</si>
  <si>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</si>
  <si>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</si>
  <si>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</si>
  <si>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</si>
  <si>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</si>
  <si>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</si>
  <si>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</si>
  <si>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</si>
  <si>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</si>
  <si>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</si>
  <si>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</si>
  <si>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</si>
  <si>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</si>
  <si>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</si>
  <si>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</si>
  <si>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</si>
  <si>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</si>
  <si>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</si>
  <si>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</si>
  <si>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</si>
  <si>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</si>
  <si>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</si>
  <si>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</si>
  <si>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</si>
  <si>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</si>
  <si>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</si>
  <si>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</si>
  <si>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</si>
  <si>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</si>
  <si>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</si>
  <si>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</si>
  <si>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</si>
  <si>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</si>
  <si>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</si>
  <si>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</si>
  <si>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</si>
  <si>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</si>
  <si>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</si>
  <si>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</si>
  <si>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</si>
  <si>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</si>
  <si>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</si>
  <si>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</si>
  <si>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</si>
  <si>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</si>
  <si>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</si>
  <si>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</si>
  <si>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</si>
  <si>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</si>
  <si>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</si>
  <si>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</si>
  <si>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</si>
  <si>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</si>
  <si>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</si>
  <si>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</si>
  <si>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</si>
  <si>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</si>
  <si>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</si>
  <si>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</si>
  <si>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</si>
  <si>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</si>
  <si>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</si>
  <si>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</si>
  <si>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</si>
  <si>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</si>
  <si>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</si>
  <si>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</si>
  <si>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</si>
  <si>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</si>
  <si>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</si>
  <si>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</si>
  <si>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</si>
  <si>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</si>
  <si>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</si>
  <si>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</si>
  <si>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</si>
  <si>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</si>
  <si>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</si>
  <si>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</si>
  <si>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</si>
  <si>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</si>
  <si>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</si>
  <si>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</si>
  <si>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</si>
  <si>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</si>
  <si>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</si>
  <si>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</si>
  <si>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</si>
  <si>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</si>
  <si>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</si>
  <si>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</si>
  <si>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</si>
  <si>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</si>
  <si>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</si>
  <si>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</si>
  <si>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</si>
  <si>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</si>
  <si>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</si>
  <si>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</si>
  <si>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</si>
  <si>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</si>
  <si>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</si>
  <si>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</si>
  <si>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</si>
  <si>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</si>
  <si>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</si>
  <si>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</si>
  <si>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</si>
  <si>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</si>
  <si>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</si>
  <si>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</si>
  <si>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</si>
  <si>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</si>
  <si>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</si>
  <si>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</si>
  <si>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</si>
  <si>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</si>
  <si>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</si>
  <si>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</si>
  <si>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</si>
  <si>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</si>
  <si>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</si>
  <si>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</si>
  <si>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</si>
  <si>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</si>
  <si>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</si>
  <si>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</si>
  <si>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</si>
  <si>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</si>
  <si>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</si>
  <si>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</si>
  <si>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</si>
  <si>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</si>
  <si>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</si>
  <si>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</si>
  <si>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</si>
  <si>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</si>
  <si>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</si>
  <si>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</si>
  <si>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</si>
  <si>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</si>
  <si>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</si>
  <si>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</si>
  <si>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</si>
  <si>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</si>
  <si>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</si>
  <si>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</si>
  <si>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</si>
  <si>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</si>
  <si>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</si>
  <si>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</si>
  <si>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</si>
  <si>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</si>
  <si>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</si>
  <si>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</si>
  <si>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</si>
  <si>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</si>
  <si>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</si>
  <si>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</si>
  <si>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</si>
  <si>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</si>
  <si>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</si>
  <si>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</si>
  <si>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</si>
  <si>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</si>
  <si>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</si>
  <si>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</si>
  <si>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</si>
  <si>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</si>
  <si>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</si>
  <si>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</si>
  <si>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</si>
  <si>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</si>
  <si>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</si>
  <si>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</si>
  <si>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</si>
  <si>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</si>
  <si>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</si>
  <si>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</si>
  <si>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</si>
  <si>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</si>
  <si>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</si>
  <si>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</si>
  <si>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</si>
  <si>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</si>
  <si>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</si>
  <si>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</si>
  <si>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</si>
  <si>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</si>
  <si>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</si>
  <si>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</si>
  <si>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</si>
  <si>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</si>
  <si>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</si>
  <si>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</si>
  <si>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</si>
  <si>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</si>
  <si>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</si>
  <si>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</si>
  <si>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</si>
  <si>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</si>
  <si>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</si>
  <si>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</si>
  <si>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</si>
  <si>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</si>
  <si>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</si>
  <si>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</si>
  <si>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</si>
  <si>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</si>
  <si>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</si>
  <si>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</si>
  <si>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</si>
  <si>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</si>
  <si>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</si>
  <si>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</si>
  <si>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</si>
  <si>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</si>
  <si>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</si>
  <si>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</si>
  <si>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</si>
  <si>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</si>
  <si>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</si>
  <si>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</si>
  <si>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</si>
  <si>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</si>
  <si>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</si>
  <si>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</si>
  <si>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</si>
  <si>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</si>
  <si>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</si>
  <si>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</si>
  <si>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</si>
  <si>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</si>
  <si>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</si>
  <si>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</si>
  <si>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</si>
  <si>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</si>
  <si>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</si>
  <si>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</si>
  <si>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</si>
  <si>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</si>
  <si>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</si>
  <si>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</si>
  <si>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</si>
  <si>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</si>
  <si>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</si>
  <si>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</si>
  <si>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</si>
  <si>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</si>
  <si>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</si>
  <si>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</si>
  <si>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</si>
  <si>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</si>
  <si>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</si>
  <si>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</si>
  <si>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</si>
  <si>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</si>
  <si>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</si>
  <si>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</si>
  <si>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</si>
  <si>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</si>
  <si>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</si>
  <si>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</si>
  <si>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</si>
  <si>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</si>
  <si>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</si>
  <si>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</si>
  <si>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</si>
  <si>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</si>
  <si>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</si>
  <si>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</si>
  <si>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</si>
  <si>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</si>
  <si>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</si>
  <si>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</si>
  <si>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</si>
  <si>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</si>
  <si>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</si>
  <si>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</si>
  <si>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</si>
  <si>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</si>
  <si>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</si>
  <si>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</si>
  <si>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</si>
  <si>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</si>
  <si>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</si>
  <si>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</si>
  <si>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</si>
  <si>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</si>
  <si>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</si>
  <si>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</si>
  <si>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</si>
  <si>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</si>
  <si>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</si>
  <si>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</si>
  <si>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</si>
  <si>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</si>
  <si>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</si>
  <si>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</si>
  <si>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</si>
  <si>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</si>
  <si>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</si>
  <si>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</si>
  <si>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</si>
  <si>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</si>
  <si>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</si>
  <si>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</si>
  <si>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</si>
  <si>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</si>
  <si>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</si>
  <si>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</si>
  <si>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</si>
  <si>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</si>
  <si>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</si>
  <si>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</si>
  <si>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</si>
  <si>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</si>
  <si>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</si>
  <si>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</si>
  <si>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</si>
  <si>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</si>
  <si>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</si>
  <si>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</si>
  <si>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</si>
  <si>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</si>
  <si>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</si>
  <si>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</si>
  <si>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</si>
  <si>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</si>
  <si>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</si>
  <si>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</si>
  <si>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</si>
  <si>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</si>
  <si>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</si>
  <si>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</si>
  <si>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</si>
  <si>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</si>
  <si>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</si>
  <si>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</si>
  <si>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</si>
  <si>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</si>
  <si>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</si>
  <si>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</si>
  <si>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</si>
  <si>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</si>
  <si>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</si>
  <si>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</si>
  <si>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</si>
  <si>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</si>
  <si>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</si>
  <si>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</si>
  <si>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</si>
  <si>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</si>
  <si>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</si>
  <si>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</si>
  <si>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</si>
  <si>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</si>
  <si>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</si>
  <si>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</si>
  <si>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</si>
  <si>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</si>
  <si>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</si>
  <si>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</si>
  <si>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</si>
  <si>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</si>
  <si>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</si>
  <si>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</si>
  <si>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</si>
  <si>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</si>
  <si>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</si>
  <si>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</si>
  <si>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</si>
  <si>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</si>
  <si>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</si>
  <si>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</si>
  <si>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</si>
  <si>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</si>
  <si>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</si>
  <si>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</si>
  <si>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</si>
  <si>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</si>
  <si>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</si>
  <si>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</si>
  <si>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</si>
  <si>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</si>
  <si>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</si>
  <si>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</si>
  <si>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</si>
  <si>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</si>
  <si>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</si>
  <si>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</si>
  <si>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</si>
  <si>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</si>
  <si>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</si>
  <si>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</si>
  <si>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</si>
  <si>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</si>
  <si>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</si>
  <si>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</si>
  <si>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</si>
  <si>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</si>
  <si>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</si>
  <si>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</si>
  <si>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</si>
  <si>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</si>
  <si>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</si>
  <si>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</si>
  <si>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</si>
  <si>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</si>
  <si>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</si>
  <si>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</si>
  <si>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</si>
  <si>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</si>
  <si>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</si>
  <si>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</si>
  <si>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</si>
  <si>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</si>
  <si>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</si>
  <si>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</si>
  <si>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</si>
  <si>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</si>
  <si>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</si>
  <si>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</si>
  <si>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</si>
  <si>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</si>
  <si>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</si>
  <si>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</si>
  <si>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</si>
  <si>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</si>
  <si>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</si>
  <si>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</si>
  <si>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</si>
  <si>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</si>
  <si>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</si>
  <si>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</si>
  <si>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</si>
  <si>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</si>
  <si>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</si>
  <si>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</si>
  <si>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</si>
  <si>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</si>
  <si>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</si>
  <si>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</si>
  <si>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</si>
  <si>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</si>
  <si>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</si>
  <si>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</si>
  <si>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</si>
  <si>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</si>
  <si>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</si>
  <si>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</si>
  <si>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</si>
  <si>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</si>
  <si>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</si>
  <si>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</si>
  <si>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</si>
  <si>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</si>
  <si>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</si>
  <si>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</si>
  <si>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</si>
  <si>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</si>
  <si>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</si>
  <si>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</si>
  <si>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</si>
  <si>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</si>
  <si>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</si>
  <si>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</si>
  <si>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</si>
  <si>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</si>
  <si>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</si>
  <si>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</si>
  <si>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</si>
  <si>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</si>
  <si>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</si>
  <si>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</si>
  <si>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</si>
  <si>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</si>
  <si>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</si>
  <si>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</si>
  <si>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</si>
  <si>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</si>
  <si>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</si>
  <si>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</si>
  <si>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</si>
  <si>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</si>
  <si>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</si>
  <si>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</si>
  <si>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</si>
  <si>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</si>
  <si>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</si>
  <si>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</si>
  <si>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</si>
  <si>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</si>
  <si>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</si>
  <si>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</si>
  <si>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</si>
  <si>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</si>
  <si>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</si>
  <si>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</si>
  <si>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</si>
  <si>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</si>
  <si>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</si>
  <si>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</si>
  <si>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</si>
  <si>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</si>
  <si>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</si>
  <si>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</si>
  <si>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</si>
  <si>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</si>
  <si>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</si>
  <si>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</si>
  <si>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</si>
  <si>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</si>
  <si>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</si>
  <si>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</si>
  <si>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</si>
  <si>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</si>
  <si>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</si>
  <si>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</si>
  <si>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</si>
  <si>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</si>
  <si>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</si>
  <si>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</si>
  <si>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</si>
  <si>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</si>
  <si>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</si>
  <si>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</si>
  <si>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</si>
  <si>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</si>
  <si>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</si>
  <si>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</si>
  <si>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</si>
  <si>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</si>
  <si>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</si>
  <si>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</si>
  <si>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</si>
  <si>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</si>
  <si>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</si>
  <si>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</si>
  <si>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</si>
  <si>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</si>
  <si>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</si>
  <si>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</si>
  <si>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</si>
  <si>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</si>
  <si>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</si>
  <si>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</si>
  <si>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</si>
  <si>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</si>
  <si>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</si>
  <si>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</si>
  <si>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</si>
  <si>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</si>
  <si>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</si>
  <si>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</si>
  <si>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</si>
  <si>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</si>
  <si>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</si>
  <si>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</si>
  <si>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</si>
  <si>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</si>
  <si>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</si>
  <si>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</si>
  <si>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</si>
  <si>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</si>
  <si>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</si>
  <si>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</si>
  <si>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</si>
  <si>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</si>
  <si>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</si>
  <si>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</si>
  <si>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</si>
  <si>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</si>
  <si>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</si>
  <si>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</si>
  <si>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</si>
  <si>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</si>
  <si>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</si>
  <si>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</si>
  <si>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</si>
  <si>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</si>
  <si>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</si>
  <si>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</si>
  <si>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</si>
  <si>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</si>
  <si>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</si>
  <si>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</si>
  <si>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</si>
  <si>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</si>
  <si>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</si>
  <si>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</si>
  <si>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</si>
  <si>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</si>
  <si>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</si>
  <si>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</si>
  <si>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</si>
  <si>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</si>
  <si>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</si>
  <si>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</si>
  <si>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</si>
  <si>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</si>
  <si>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</si>
  <si>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</si>
  <si>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</si>
  <si>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</si>
  <si>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</si>
  <si>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</si>
  <si>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</si>
  <si>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</si>
  <si>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</si>
  <si>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</si>
  <si>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</si>
  <si>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</si>
  <si>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</si>
  <si>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</si>
  <si>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</si>
  <si>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</si>
  <si>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</si>
  <si>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</si>
  <si>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</si>
  <si>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</si>
  <si>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</si>
  <si>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</si>
  <si>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</si>
  <si>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</si>
  <si>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</si>
  <si>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</si>
  <si>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</si>
  <si>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</si>
  <si>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</si>
  <si>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</si>
  <si>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</si>
  <si>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</si>
  <si>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</si>
  <si>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</si>
  <si>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</si>
  <si>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</si>
  <si>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</si>
  <si>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</si>
  <si>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</si>
  <si>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</si>
  <si>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</si>
  <si>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</si>
  <si>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</si>
  <si>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</si>
  <si>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</si>
  <si>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</si>
  <si>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</si>
  <si>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</si>
  <si>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</si>
  <si>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</si>
  <si>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</si>
  <si>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</si>
  <si>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</si>
  <si>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</si>
  <si>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</si>
  <si>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</si>
  <si>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</si>
  <si>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</si>
  <si>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</si>
  <si>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</si>
  <si>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</si>
  <si>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</si>
  <si>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</si>
  <si>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</si>
  <si>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</si>
  <si>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</si>
  <si>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</si>
  <si>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</si>
  <si>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</si>
  <si>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</si>
  <si>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</si>
  <si>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</si>
  <si>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</si>
  <si>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</si>
  <si>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</si>
  <si>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</si>
  <si>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</si>
  <si>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</si>
  <si>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</si>
  <si>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</si>
  <si>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</si>
  <si>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</si>
  <si>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</si>
  <si>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</si>
  <si>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</si>
  <si>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</si>
  <si>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</si>
  <si>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</si>
  <si>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</si>
  <si>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</si>
  <si>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</si>
  <si>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</si>
  <si>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</si>
  <si>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</si>
  <si>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</si>
  <si>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</si>
  <si>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</si>
  <si>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</si>
  <si>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</si>
  <si>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</si>
  <si>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</si>
  <si>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</si>
  <si>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</si>
  <si>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</si>
  <si>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</si>
  <si>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</si>
  <si>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</si>
  <si>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</si>
  <si>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</si>
  <si>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</si>
  <si>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</si>
  <si>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</si>
  <si>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</si>
  <si>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</si>
  <si>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</si>
  <si>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</si>
  <si>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</si>
  <si>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</si>
  <si>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</si>
  <si>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</si>
  <si>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</si>
  <si>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</si>
  <si>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</si>
  <si>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</si>
  <si>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</si>
  <si>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</si>
  <si>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</si>
  <si>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</si>
  <si>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</si>
  <si>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</si>
  <si>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</si>
  <si>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</si>
  <si>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</si>
  <si>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</si>
  <si>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</si>
  <si>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</si>
  <si>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</si>
  <si>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</si>
  <si>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</si>
  <si>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</si>
  <si>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</si>
  <si>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</si>
  <si>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</si>
  <si>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</si>
  <si>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</si>
  <si>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</si>
  <si>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</si>
  <si>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</si>
  <si>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</si>
  <si>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</si>
  <si>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</si>
  <si>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</si>
  <si>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</si>
  <si>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</si>
  <si>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</si>
  <si>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</si>
  <si>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</si>
  <si>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</si>
  <si>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</si>
  <si>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</si>
  <si>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</si>
  <si>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</si>
  <si>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</si>
  <si>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</si>
  <si>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</si>
  <si>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</si>
  <si>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</si>
  <si>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</si>
  <si>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</si>
  <si>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</si>
  <si>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</si>
  <si>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</si>
  <si>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</si>
  <si>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</si>
  <si>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</si>
  <si>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</si>
  <si>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</si>
  <si>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</si>
  <si>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</si>
  <si>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</si>
  <si>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</si>
  <si>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</si>
  <si>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</si>
  <si>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</si>
  <si>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</si>
  <si>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</si>
  <si>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</si>
  <si>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</si>
  <si>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</si>
  <si>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</si>
  <si>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</si>
  <si>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</si>
  <si>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</si>
  <si>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</si>
  <si>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</si>
  <si>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</si>
  <si>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</si>
  <si>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</si>
  <si>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</si>
  <si>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</si>
  <si>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</si>
  <si>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</si>
  <si>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</si>
  <si>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</si>
  <si>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</si>
  <si>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</si>
  <si>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</si>
  <si>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</si>
  <si>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</si>
  <si>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</si>
  <si>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</si>
  <si>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</si>
  <si>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</si>
  <si>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</si>
  <si>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</si>
  <si>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</si>
  <si>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</si>
  <si>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</si>
  <si>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</si>
  <si>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</si>
  <si>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</si>
  <si>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</si>
  <si>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</si>
  <si>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</si>
  <si>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</si>
  <si>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</si>
  <si>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</si>
  <si>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</si>
  <si>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</si>
  <si>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</si>
  <si>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</si>
  <si>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</si>
  <si>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</si>
  <si>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</si>
  <si>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</si>
  <si>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</si>
  <si>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</si>
  <si>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</si>
  <si>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</si>
  <si>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</si>
  <si>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</si>
  <si>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</si>
  <si>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</si>
  <si>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</si>
  <si>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</si>
  <si>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</si>
  <si>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</si>
  <si>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</si>
  <si>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</si>
  <si>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</si>
  <si>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</si>
  <si>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</si>
  <si>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</si>
  <si>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</si>
  <si>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</si>
  <si>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</si>
  <si>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</si>
  <si>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</si>
  <si>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</si>
  <si>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</si>
  <si>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</si>
  <si>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</si>
  <si>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</si>
  <si>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</si>
  <si>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</si>
  <si>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</si>
  <si>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</si>
  <si>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</si>
  <si>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</si>
  <si>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</si>
  <si>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</si>
  <si>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</si>
  <si>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</si>
  <si>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</si>
  <si>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</si>
  <si>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</si>
  <si>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</si>
  <si>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</si>
  <si>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</si>
  <si>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</si>
  <si>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</si>
  <si>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</si>
  <si>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</si>
  <si>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</si>
  <si>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</si>
  <si>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</si>
  <si>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</si>
  <si>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</si>
  <si>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</si>
  <si>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</si>
  <si>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</si>
  <si>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</si>
  <si>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</si>
  <si>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</si>
  <si>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</si>
  <si>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</si>
  <si>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</si>
  <si>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</si>
  <si>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</si>
  <si>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</si>
  <si>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</si>
  <si>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</si>
  <si>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</si>
  <si>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</si>
  <si>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</si>
  <si>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</si>
  <si>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</si>
  <si>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</si>
  <si>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</si>
  <si>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</si>
  <si>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</si>
  <si>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</si>
  <si>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</si>
  <si>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</si>
  <si>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</si>
  <si>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</si>
  <si>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</si>
  <si>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</si>
  <si>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</si>
  <si>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</si>
  <si>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</si>
  <si>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</si>
  <si>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</si>
  <si>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</si>
  <si>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</si>
  <si>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</si>
  <si>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</si>
  <si>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</si>
  <si>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</si>
  <si>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</si>
  <si>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</si>
  <si>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</si>
  <si>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</si>
  <si>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</si>
  <si>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</si>
  <si>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</si>
  <si>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</si>
  <si>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</si>
  <si>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</si>
  <si>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</si>
  <si>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</si>
  <si>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</si>
  <si>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</si>
  <si>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</si>
  <si>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</si>
  <si>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</si>
  <si>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</si>
  <si>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</si>
  <si>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</si>
  <si>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</si>
  <si>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</si>
  <si>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</si>
  <si>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</si>
  <si>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</si>
  <si>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</si>
  <si>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</si>
  <si>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</si>
  <si>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</si>
  <si>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</si>
  <si>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</si>
  <si>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</si>
  <si>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</si>
  <si>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</si>
  <si>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</si>
  <si>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</si>
  <si>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</si>
  <si>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</si>
  <si>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</si>
  <si>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</si>
  <si>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</si>
  <si>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</si>
  <si>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</si>
  <si>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</si>
  <si>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</si>
  <si>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</si>
  <si>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</si>
  <si>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</si>
  <si>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</si>
  <si>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</si>
  <si>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</si>
  <si>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</si>
  <si>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</si>
  <si>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</si>
  <si>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</si>
  <si>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</si>
  <si>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</si>
  <si>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</si>
  <si>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</si>
  <si>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</si>
  <si>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</si>
  <si>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</si>
  <si>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</si>
  <si>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</si>
  <si>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</si>
  <si>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</si>
  <si>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</si>
  <si>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</si>
  <si>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</si>
  <si>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</si>
  <si>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</si>
  <si>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</si>
  <si>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</si>
  <si>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</si>
  <si>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</si>
  <si>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</si>
  <si>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</si>
  <si>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</si>
  <si>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</si>
  <si>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</si>
  <si>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</si>
  <si>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</si>
  <si>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</si>
  <si>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</si>
  <si>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</si>
  <si>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</si>
  <si>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</si>
  <si>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</si>
  <si>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</si>
  <si>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</si>
  <si>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</si>
  <si>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</si>
  <si>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</si>
  <si>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</si>
  <si>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</si>
  <si>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</si>
  <si>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</si>
  <si>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</si>
  <si>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</si>
  <si>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</si>
  <si>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</si>
  <si>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</si>
  <si>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</si>
  <si>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</si>
  <si>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</si>
  <si>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</si>
  <si>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</si>
  <si>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</si>
  <si>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</si>
  <si>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</si>
  <si>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</si>
  <si>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</si>
  <si>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</si>
  <si>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</si>
  <si>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</si>
  <si>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</si>
  <si>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</si>
  <si>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</si>
  <si>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</si>
  <si>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</si>
  <si>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</si>
  <si>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</si>
  <si>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</si>
  <si>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</si>
  <si>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</si>
  <si>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</si>
  <si>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</si>
  <si>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</si>
  <si>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</si>
  <si>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</si>
  <si>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</si>
  <si>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</si>
  <si>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</si>
  <si>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</si>
  <si>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</si>
  <si>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</si>
  <si>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</si>
  <si>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</si>
  <si>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</si>
  <si>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</si>
  <si>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</si>
  <si>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</si>
  <si>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</si>
  <si>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</si>
  <si>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</si>
  <si>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</si>
  <si>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</si>
  <si>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</si>
  <si>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</si>
  <si>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</si>
  <si>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</si>
  <si>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</si>
  <si>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</si>
  <si>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</si>
  <si>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</si>
  <si>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</si>
  <si>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</si>
  <si>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</si>
  <si>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</si>
  <si>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</si>
  <si>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</si>
  <si>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</si>
  <si>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</si>
  <si>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</si>
  <si>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</si>
  <si>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</si>
  <si>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</si>
  <si>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</si>
  <si>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</si>
  <si>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</si>
  <si>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</si>
  <si>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</si>
  <si>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</si>
  <si>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</si>
  <si>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</si>
  <si>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</si>
  <si>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</si>
  <si>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</si>
  <si>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</si>
  <si>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</si>
  <si>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</si>
  <si>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</si>
  <si>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</si>
  <si>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</si>
  <si>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</si>
  <si>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</si>
  <si>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</si>
  <si>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</si>
  <si>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</si>
  <si>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</si>
  <si>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</si>
  <si>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</si>
  <si>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</si>
  <si>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</si>
  <si>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</si>
  <si>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</si>
  <si>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</si>
  <si>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</si>
  <si>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</si>
  <si>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</si>
  <si>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</si>
  <si>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</si>
  <si>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</si>
  <si>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</si>
  <si>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</si>
  <si>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</si>
  <si>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</si>
  <si>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</si>
  <si>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</si>
  <si>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</si>
  <si>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</si>
  <si>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</si>
  <si>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</si>
  <si>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</si>
  <si>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</si>
  <si>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</si>
  <si>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</si>
  <si>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</si>
  <si>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</si>
  <si>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</si>
  <si>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</si>
  <si>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</si>
  <si>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</si>
  <si>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</si>
  <si>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</si>
  <si>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</si>
  <si>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</si>
  <si>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</si>
  <si>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</si>
  <si>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</si>
  <si>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</si>
  <si>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</si>
  <si>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</si>
  <si>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</si>
  <si>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</si>
  <si>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</si>
  <si>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</si>
  <si>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</si>
  <si>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</si>
  <si>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</si>
  <si>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</si>
  <si>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</si>
  <si>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</si>
  <si>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</si>
  <si>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</si>
  <si>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</si>
  <si>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</si>
  <si>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</si>
  <si>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</si>
  <si>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</si>
  <si>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</si>
  <si>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</si>
  <si>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</si>
  <si>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</si>
  <si>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</si>
  <si>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</si>
  <si>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</si>
  <si>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</si>
  <si>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</si>
  <si>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</si>
  <si>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</si>
  <si>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</si>
  <si>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</si>
  <si>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</si>
  <si>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</si>
  <si>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</si>
  <si>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</si>
  <si>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</si>
  <si>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</si>
  <si>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</si>
  <si>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</si>
  <si>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</si>
  <si>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</si>
  <si>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</si>
  <si>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</si>
  <si>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</si>
  <si>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</si>
  <si>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</si>
  <si>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</si>
  <si>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</si>
  <si>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</si>
  <si>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</si>
  <si>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</si>
  <si>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</si>
  <si>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</si>
  <si>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</si>
  <si>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</si>
  <si>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</si>
  <si>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</si>
  <si>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</si>
  <si>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</si>
  <si>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</si>
  <si>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</si>
  <si>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</si>
  <si>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</si>
  <si>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</si>
  <si>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</si>
  <si>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</si>
  <si>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</si>
  <si>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</si>
  <si>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</si>
  <si>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</si>
  <si>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</si>
  <si>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</si>
  <si>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</si>
  <si>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</si>
  <si>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</si>
  <si>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</si>
  <si>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</si>
  <si>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</si>
  <si>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</si>
  <si>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</si>
  <si>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</si>
  <si>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</si>
  <si>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</si>
  <si>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</si>
  <si>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</si>
  <si>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</si>
  <si>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</si>
  <si>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</si>
  <si>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</si>
  <si>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</si>
  <si>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</si>
  <si>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</si>
  <si>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</si>
  <si>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</si>
  <si>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</si>
  <si>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</si>
  <si>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</si>
  <si>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</si>
  <si>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</si>
  <si>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</si>
  <si>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</si>
  <si>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</si>
  <si>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</si>
  <si>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</si>
  <si>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</si>
  <si>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</si>
  <si>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</si>
  <si>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</si>
  <si>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</si>
  <si>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</si>
  <si>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</si>
  <si>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</si>
  <si>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</si>
  <si>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</si>
  <si>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</si>
  <si>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</si>
  <si>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</si>
  <si>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</si>
  <si>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</si>
  <si>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</si>
  <si>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</si>
  <si>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</si>
  <si>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</si>
  <si>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</si>
  <si>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</si>
  <si>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</si>
  <si>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</si>
  <si>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</si>
  <si>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</si>
  <si>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</si>
  <si>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</si>
  <si>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</si>
  <si>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</si>
  <si>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</si>
  <si>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</si>
  <si>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</si>
  <si>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</si>
  <si>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</si>
  <si>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</si>
  <si>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</si>
  <si>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</si>
  <si>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</si>
  <si>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</si>
  <si>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</si>
  <si>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</si>
  <si>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</si>
  <si>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</si>
  <si>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</si>
  <si>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</si>
  <si>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</si>
  <si>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</si>
  <si>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</si>
  <si>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</si>
  <si>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</si>
  <si>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</si>
  <si>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</si>
  <si>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</si>
  <si>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</si>
  <si>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</si>
  <si>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</si>
  <si>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</si>
  <si>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</si>
  <si>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</si>
  <si>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</si>
  <si>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</si>
  <si>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</si>
  <si>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</si>
  <si>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</si>
  <si>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</si>
  <si>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</si>
  <si>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</si>
  <si>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</si>
  <si>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</si>
  <si>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</si>
  <si>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</si>
  <si>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</si>
  <si>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</si>
  <si>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</si>
  <si>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</si>
  <si>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</si>
  <si>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</si>
  <si>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</si>
  <si>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</si>
  <si>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</si>
  <si>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</si>
  <si>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</si>
  <si>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</si>
  <si>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</si>
  <si>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</si>
  <si>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</si>
  <si>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</si>
  <si>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</si>
  <si>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</si>
  <si>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</si>
  <si>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</si>
  <si>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</si>
  <si>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</si>
  <si>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</si>
  <si>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</si>
  <si>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</si>
  <si>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</si>
  <si>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</si>
  <si>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</si>
  <si>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</si>
  <si>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</si>
  <si>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</si>
  <si>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</si>
  <si>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</si>
  <si>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</si>
  <si>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</si>
  <si>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</si>
  <si>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</si>
  <si>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</si>
  <si>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</si>
  <si>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</si>
  <si>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</si>
  <si>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</si>
  <si>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</si>
  <si>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</si>
  <si>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</si>
  <si>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</si>
  <si>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</si>
  <si>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</si>
  <si>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</si>
  <si>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</si>
  <si>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</si>
  <si>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</si>
  <si>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</si>
  <si>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</si>
  <si>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</si>
  <si>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</si>
  <si>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</si>
  <si>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</si>
  <si>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</si>
  <si>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</si>
  <si>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</si>
  <si>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</si>
  <si>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</si>
  <si>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</si>
  <si>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</si>
  <si>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</si>
  <si>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</si>
  <si>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</si>
  <si>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</si>
  <si>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</si>
  <si>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</si>
  <si>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</si>
  <si>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</si>
  <si>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</si>
  <si>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</si>
  <si>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</si>
  <si>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</si>
  <si>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</si>
  <si>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</si>
  <si>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</si>
  <si>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</si>
  <si>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</si>
  <si>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</si>
  <si>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</si>
  <si>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</si>
  <si>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</si>
  <si>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</si>
  <si>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</si>
  <si>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</si>
  <si>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</si>
  <si>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</si>
  <si>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</si>
  <si>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</si>
  <si>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</si>
  <si>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</si>
  <si>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</si>
  <si>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</si>
  <si>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</si>
  <si>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</si>
  <si>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</si>
  <si>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</si>
  <si>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</si>
  <si>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</si>
  <si>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</si>
  <si>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</si>
  <si>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</si>
  <si>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</si>
  <si>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</si>
  <si>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</si>
  <si>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</si>
  <si>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</si>
  <si>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</si>
  <si>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</si>
  <si>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</si>
  <si>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</si>
  <si>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</si>
  <si>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</si>
  <si>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</si>
  <si>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</si>
  <si>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</si>
  <si>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</si>
  <si>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</si>
  <si>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</si>
  <si>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</si>
  <si>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</si>
  <si>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</si>
  <si>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</si>
  <si>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</si>
  <si>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</si>
  <si>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</si>
  <si>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</si>
  <si>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</si>
  <si>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</si>
  <si>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</si>
  <si>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</si>
  <si>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</si>
  <si>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</si>
  <si>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</si>
  <si>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</si>
  <si>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</si>
  <si>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</si>
  <si>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</si>
  <si>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</si>
  <si>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</si>
  <si>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</si>
  <si>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</si>
  <si>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</si>
  <si>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</si>
  <si>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</si>
  <si>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</si>
  <si>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</si>
  <si>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</si>
  <si>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</si>
  <si>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</si>
  <si>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</si>
  <si>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</si>
  <si>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</si>
  <si>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</si>
  <si>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</si>
  <si>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</si>
  <si>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</si>
  <si>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</si>
  <si>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</si>
  <si>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</si>
  <si>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</si>
  <si>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</si>
  <si>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</si>
  <si>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</si>
  <si>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</si>
  <si>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</si>
  <si>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</si>
  <si>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</si>
  <si>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</si>
  <si>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</si>
  <si>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</si>
  <si>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</si>
  <si>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</si>
  <si>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</si>
  <si>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</si>
  <si>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</si>
  <si>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</si>
  <si>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</si>
  <si>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</si>
  <si>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</si>
  <si>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</si>
  <si>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</si>
  <si>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</si>
  <si>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</si>
  <si>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</si>
  <si>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</si>
  <si>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</si>
  <si>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</si>
  <si>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</si>
  <si>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</si>
  <si>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</si>
  <si>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</si>
  <si>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</si>
  <si>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</si>
  <si>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</si>
  <si>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</si>
  <si>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</si>
  <si>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</si>
  <si>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</si>
  <si>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</si>
  <si>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</si>
  <si>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</si>
  <si>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</si>
  <si>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</si>
  <si>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</si>
  <si>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</si>
  <si>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</si>
  <si>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</si>
  <si>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</si>
  <si>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</si>
  <si>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</si>
  <si>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</si>
  <si>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</si>
  <si>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</si>
  <si>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</si>
  <si>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</si>
  <si>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</si>
  <si>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</si>
  <si>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</si>
  <si>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</si>
  <si>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</si>
  <si>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</si>
  <si>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</si>
  <si>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</si>
  <si>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</si>
  <si>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</si>
  <si>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</si>
  <si>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</si>
  <si>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</si>
  <si>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</si>
  <si>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</si>
  <si>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</si>
  <si>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</si>
  <si>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</si>
  <si>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</si>
  <si>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</si>
  <si>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</si>
  <si>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</si>
  <si>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</si>
  <si>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</si>
  <si>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</si>
  <si>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</si>
  <si>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</si>
  <si>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</si>
  <si>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</si>
  <si>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</si>
  <si>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</si>
  <si>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</si>
  <si>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</si>
  <si>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</si>
  <si>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</si>
  <si>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</si>
  <si>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</si>
  <si>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</si>
  <si>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</si>
  <si>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</si>
  <si>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</si>
  <si>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</si>
  <si>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</si>
  <si>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</si>
  <si>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</si>
  <si>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</si>
  <si>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</si>
  <si>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</si>
  <si>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</si>
  <si>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</si>
  <si>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</si>
  <si>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</si>
  <si>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</si>
  <si>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</si>
  <si>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</si>
  <si>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</si>
  <si>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</si>
  <si>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</si>
  <si>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</si>
  <si>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</si>
  <si>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</si>
  <si>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</si>
  <si>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</si>
  <si>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</si>
  <si>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</si>
  <si>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</si>
  <si>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</si>
  <si>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</si>
  <si>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</si>
  <si>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</si>
  <si>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</si>
  <si>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</si>
  <si>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</si>
  <si>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</si>
  <si>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</si>
  <si>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</si>
  <si>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</si>
  <si>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</si>
  <si>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</si>
  <si>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</si>
  <si>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</si>
  <si>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</si>
  <si>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</si>
  <si>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</si>
  <si>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</si>
  <si>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</si>
  <si>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</si>
  <si>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</si>
  <si>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</si>
  <si>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</si>
  <si>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</si>
  <si>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</si>
  <si>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</si>
  <si>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</si>
  <si>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</si>
  <si>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</si>
  <si>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</si>
  <si>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</si>
  <si>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</si>
  <si>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</si>
  <si>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</si>
  <si>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</si>
  <si>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</si>
  <si>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</si>
  <si>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</si>
  <si>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</si>
  <si>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</si>
  <si>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</si>
  <si>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</si>
  <si>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</si>
  <si>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</si>
  <si>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</si>
  <si>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</si>
  <si>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</si>
  <si>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</si>
  <si>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</si>
  <si>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</si>
  <si>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</si>
  <si>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</si>
  <si>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</si>
  <si>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</si>
  <si>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</si>
  <si>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</si>
  <si>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</si>
  <si>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</si>
  <si>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</si>
  <si>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</si>
  <si>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</si>
  <si>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</si>
  <si>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</si>
  <si>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</si>
  <si>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</si>
  <si>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</si>
  <si>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</si>
  <si>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</si>
  <si>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</si>
  <si>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</si>
  <si>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</si>
  <si>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</si>
  <si>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</si>
  <si>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</si>
  <si>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</si>
  <si>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</si>
  <si>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</si>
  <si>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</si>
  <si>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</si>
  <si>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</si>
  <si>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</si>
  <si>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</si>
  <si>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</si>
  <si>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</si>
  <si>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</si>
  <si>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</si>
  <si>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</si>
  <si>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</si>
  <si>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</si>
  <si>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</si>
  <si>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</si>
  <si>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</si>
  <si>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</si>
  <si>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</si>
  <si>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</si>
  <si>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</si>
  <si>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</si>
  <si>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</si>
  <si>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</si>
  <si>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</si>
  <si>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</si>
  <si>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</si>
  <si>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</si>
  <si>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</si>
  <si>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</si>
  <si>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</si>
  <si>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</si>
  <si>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</si>
  <si>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</si>
  <si>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</si>
  <si>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</si>
  <si>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</si>
  <si>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</si>
  <si>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</si>
  <si>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</si>
  <si>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</si>
  <si>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</si>
  <si>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</si>
  <si>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</si>
  <si>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</si>
  <si>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</si>
  <si>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</si>
  <si>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</si>
  <si>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</si>
  <si>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</si>
  <si>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</si>
  <si>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</si>
  <si>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</si>
  <si>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</si>
  <si>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</si>
  <si>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</si>
  <si>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</si>
  <si>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</si>
  <si>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</si>
  <si>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</si>
  <si>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</si>
  <si>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</si>
  <si>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</si>
  <si>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</si>
  <si>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</si>
  <si>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</si>
  <si>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</si>
  <si>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</si>
  <si>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</si>
  <si>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</si>
  <si>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</si>
  <si>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</si>
  <si>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</si>
  <si>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</si>
  <si>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</si>
  <si>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</si>
  <si>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</si>
  <si>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</si>
  <si>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</si>
  <si>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</si>
  <si>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</si>
  <si>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</si>
  <si>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</si>
  <si>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</si>
  <si>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</si>
  <si>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</si>
  <si>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</si>
  <si>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</si>
  <si>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</si>
  <si>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</si>
  <si>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</si>
  <si>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</si>
  <si>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</si>
  <si>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</si>
  <si>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</si>
  <si>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</si>
  <si>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</si>
  <si>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</si>
  <si>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</si>
  <si>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</si>
  <si>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</si>
  <si>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</si>
  <si>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</si>
  <si>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</si>
  <si>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</si>
  <si>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</si>
  <si>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</si>
  <si>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</si>
  <si>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</si>
  <si>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</si>
  <si>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</si>
  <si>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</si>
  <si>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</si>
  <si>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</si>
  <si>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</si>
  <si>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</si>
  <si>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</si>
  <si>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</si>
  <si>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</si>
  <si>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</si>
  <si>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</si>
  <si>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</si>
  <si>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</si>
  <si>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</si>
  <si>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</si>
  <si>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</si>
  <si>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</si>
  <si>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</si>
  <si>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</si>
  <si>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</si>
  <si>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</si>
  <si>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</si>
  <si>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</si>
  <si>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</si>
  <si>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</si>
  <si>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</si>
  <si>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</si>
  <si>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</si>
  <si>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</si>
  <si>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</si>
  <si>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</si>
  <si>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</si>
  <si>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</si>
  <si>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</si>
  <si>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</si>
  <si>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</si>
  <si>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</si>
  <si>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</si>
  <si>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</si>
  <si>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</si>
  <si>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</si>
  <si>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</si>
  <si>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</si>
  <si>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</si>
  <si>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</si>
  <si>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</si>
  <si>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</si>
  <si>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</si>
  <si>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</si>
  <si>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</si>
  <si>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</si>
  <si>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</si>
  <si>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</si>
  <si>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</si>
  <si>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</si>
  <si>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</si>
  <si>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</si>
  <si>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</si>
  <si>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</si>
  <si>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</si>
  <si>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</si>
  <si>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</si>
  <si>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</si>
  <si>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</si>
  <si>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</si>
  <si>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</si>
  <si>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</si>
  <si>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</si>
  <si>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</si>
  <si>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</si>
  <si>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</si>
  <si>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</si>
  <si>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</si>
  <si>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</si>
  <si>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</si>
  <si>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</si>
  <si>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</si>
  <si>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</si>
  <si>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</si>
  <si>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</si>
  <si>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</si>
  <si>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</si>
  <si>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</si>
  <si>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</si>
  <si>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</si>
  <si>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</si>
  <si>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</si>
  <si>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</si>
  <si>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</si>
  <si>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</si>
  <si>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</si>
  <si>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</si>
  <si>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</si>
  <si>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</si>
  <si>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</si>
  <si>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</si>
  <si>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</si>
  <si>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</si>
  <si>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</si>
  <si>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</si>
  <si>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</si>
  <si>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</si>
  <si>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</si>
  <si>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</si>
  <si>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</si>
  <si>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</si>
  <si>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</si>
  <si>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</si>
  <si>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</si>
  <si>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</si>
  <si>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</si>
  <si>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</si>
  <si>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</si>
  <si>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</si>
  <si>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</si>
  <si>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</si>
  <si>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</si>
  <si>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</si>
  <si>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</si>
  <si>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</si>
  <si>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</si>
  <si>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</si>
  <si>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</si>
  <si>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</si>
  <si>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</si>
  <si>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</si>
  <si>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</si>
  <si>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</si>
  <si>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</si>
  <si>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</si>
  <si>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</si>
  <si>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</si>
  <si>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</si>
  <si>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</si>
  <si>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</si>
  <si>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</si>
  <si>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</si>
  <si>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</si>
  <si>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</si>
  <si>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</si>
  <si>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</si>
  <si>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</si>
  <si>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</si>
  <si>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</si>
  <si>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</si>
  <si>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</si>
  <si>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</si>
  <si>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</si>
  <si>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</si>
  <si>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</si>
  <si>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</si>
  <si>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</si>
  <si>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</si>
  <si>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</si>
  <si>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</si>
  <si>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</si>
  <si>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</si>
  <si>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</si>
  <si>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</si>
  <si>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</si>
  <si>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</si>
  <si>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</si>
  <si>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</si>
  <si>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</si>
  <si>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</si>
  <si>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</si>
  <si>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</si>
  <si>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</si>
  <si>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</si>
  <si>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</si>
  <si>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</si>
  <si>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</si>
  <si>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</si>
  <si>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</si>
  <si>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</si>
  <si>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</si>
  <si>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</si>
  <si>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</si>
  <si>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</si>
  <si>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</si>
  <si>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</si>
  <si>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</si>
  <si>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</si>
  <si>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</si>
  <si>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</si>
  <si>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</si>
  <si>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</si>
  <si>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</si>
  <si>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</si>
  <si>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</si>
  <si>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</si>
  <si>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</si>
  <si>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</si>
  <si>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</si>
  <si>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</si>
  <si>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</si>
  <si>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</si>
  <si>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</si>
  <si>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</si>
  <si>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</si>
  <si>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</si>
  <si>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</si>
  <si>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</si>
  <si>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</si>
  <si>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</si>
  <si>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</si>
  <si>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</si>
  <si>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</si>
  <si>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</si>
  <si>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</si>
  <si>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</si>
  <si>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</si>
  <si>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</si>
  <si>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</si>
  <si>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</si>
  <si>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</si>
  <si>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</si>
  <si>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</si>
  <si>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</si>
  <si>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</si>
  <si>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</si>
  <si>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</si>
  <si>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</si>
  <si>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</si>
  <si>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</si>
  <si>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</si>
  <si>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</si>
  <si>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</si>
  <si>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</si>
  <si>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</si>
  <si>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</si>
  <si>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</si>
  <si>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</si>
  <si>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</si>
  <si>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</si>
  <si>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</si>
  <si>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</si>
  <si>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</si>
  <si>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</si>
  <si>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</si>
  <si>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</si>
  <si>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</si>
  <si>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</si>
  <si>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</si>
  <si>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</si>
  <si>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</si>
  <si>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</si>
  <si>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</si>
  <si>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</si>
  <si>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</si>
  <si>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</si>
  <si>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</si>
  <si>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</si>
  <si>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</si>
  <si>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</si>
  <si>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</si>
  <si>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</si>
  <si>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</si>
  <si>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</si>
  <si>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</si>
  <si>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</si>
  <si>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</si>
  <si>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</si>
  <si>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</si>
  <si>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</si>
  <si>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</si>
  <si>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</si>
  <si>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</si>
  <si>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</si>
  <si>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</si>
  <si>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</si>
  <si>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</si>
  <si>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</si>
  <si>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</si>
  <si>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</si>
  <si>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</si>
  <si>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</si>
  <si>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</si>
  <si>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</si>
  <si>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</si>
  <si>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</si>
  <si>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</si>
  <si>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</si>
  <si>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</si>
  <si>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</si>
  <si>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</si>
  <si>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</si>
  <si>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</si>
  <si>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</si>
  <si>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</si>
  <si>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</si>
  <si>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</si>
  <si>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</si>
  <si>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</si>
  <si>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</si>
  <si>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</si>
  <si>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</si>
  <si>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</si>
  <si>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</si>
  <si>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</si>
  <si>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</si>
  <si>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</si>
  <si>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</si>
  <si>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</si>
  <si>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</si>
  <si>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</si>
  <si>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</si>
  <si>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</si>
  <si>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</si>
  <si>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</si>
  <si>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</si>
  <si>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</si>
  <si>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</si>
  <si>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</si>
  <si>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</si>
  <si>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</si>
  <si>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</si>
  <si>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</si>
  <si>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</si>
  <si>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</si>
  <si>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</si>
  <si>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</si>
  <si>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</si>
  <si>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</si>
  <si>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</si>
  <si>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</si>
  <si>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</si>
  <si>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</si>
  <si>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</si>
  <si>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</si>
  <si>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</si>
  <si>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</si>
  <si>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</si>
  <si>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</si>
  <si>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</si>
  <si>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</si>
  <si>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</si>
  <si>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</si>
  <si>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</si>
  <si>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</si>
  <si>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</si>
  <si>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</si>
  <si>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</si>
  <si>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</si>
  <si>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</si>
  <si>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</si>
  <si>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</si>
  <si>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</si>
  <si>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</si>
  <si>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</si>
  <si>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</si>
  <si>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</si>
  <si>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</si>
  <si>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</si>
  <si>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</si>
  <si>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</si>
  <si>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</si>
  <si>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</si>
  <si>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</si>
  <si>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</si>
  <si>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</si>
  <si>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</si>
  <si>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</si>
  <si>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</si>
  <si>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</si>
  <si>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</si>
  <si>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</si>
  <si>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</si>
  <si>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</si>
  <si>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</si>
  <si>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</si>
  <si>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</si>
  <si>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</si>
  <si>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</si>
  <si>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</si>
  <si>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</si>
  <si>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</si>
  <si>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</si>
  <si>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</si>
  <si>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</si>
  <si>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</si>
  <si>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</si>
  <si>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</si>
  <si>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</si>
  <si>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</si>
  <si>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</si>
  <si>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</si>
  <si>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</si>
  <si>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</si>
  <si>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</si>
  <si>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</si>
  <si>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</si>
  <si>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</si>
  <si>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</si>
  <si>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</si>
  <si>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</si>
  <si>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</si>
  <si>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</si>
  <si>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</si>
  <si>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</si>
  <si>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</si>
  <si>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</si>
  <si>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</si>
  <si>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</si>
  <si>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</si>
  <si>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</si>
  <si>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</si>
  <si>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</si>
  <si>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</si>
  <si>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</si>
  <si>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</si>
  <si>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</si>
  <si>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</si>
  <si>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</si>
  <si>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</si>
  <si>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</si>
  <si>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</si>
  <si>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</si>
  <si>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</si>
  <si>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</si>
  <si>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</si>
  <si>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</si>
  <si>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</si>
  <si>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</si>
  <si>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</si>
  <si>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</si>
  <si>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</si>
  <si>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</si>
  <si>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</si>
  <si>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</si>
  <si>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</si>
  <si>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</si>
  <si>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</si>
  <si>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</si>
  <si>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</si>
  <si>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</si>
  <si>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</si>
  <si>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</si>
  <si>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</si>
  <si>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</si>
  <si>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</si>
  <si>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</si>
  <si>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</si>
  <si>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</si>
  <si>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</si>
  <si>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</si>
  <si>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</si>
  <si>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</si>
  <si>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</si>
  <si>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</si>
  <si>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</si>
  <si>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</si>
  <si>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</si>
  <si>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</si>
  <si>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</si>
  <si>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</si>
  <si>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</si>
  <si>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</si>
  <si>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</si>
  <si>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</si>
  <si>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</si>
  <si>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</si>
  <si>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</si>
  <si>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</si>
  <si>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</si>
  <si>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</si>
  <si>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</si>
  <si>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</si>
  <si>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</si>
  <si>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</si>
  <si>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</si>
  <si>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</si>
  <si>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</si>
  <si>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</si>
  <si>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</si>
  <si>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</si>
  <si>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</si>
  <si>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</si>
  <si>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</si>
  <si>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</si>
  <si>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</si>
  <si>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</si>
  <si>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</si>
  <si>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</si>
  <si>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</si>
  <si>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</si>
  <si>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</si>
  <si>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</si>
  <si>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</si>
  <si>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</si>
  <si>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</si>
  <si>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</si>
  <si>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</si>
  <si>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</si>
  <si>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</si>
  <si>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</si>
  <si>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</si>
  <si>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</si>
  <si>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</si>
  <si>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</si>
  <si>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</si>
  <si>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</si>
  <si>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</si>
  <si>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</si>
  <si>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</si>
  <si>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</si>
  <si>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</si>
  <si>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</si>
  <si>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</si>
  <si>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</si>
  <si>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</si>
  <si>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</si>
  <si>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</si>
  <si>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</si>
  <si>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</si>
  <si>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</si>
  <si>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</si>
  <si>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</si>
  <si>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</si>
  <si>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</si>
  <si>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</si>
  <si>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</si>
  <si>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</si>
  <si>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</si>
  <si>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</si>
  <si>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</si>
  <si>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</si>
  <si>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</si>
  <si>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</si>
  <si>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</si>
  <si>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</si>
  <si>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</si>
  <si>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</si>
  <si>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</si>
  <si>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</si>
  <si>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</si>
  <si>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</si>
  <si>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</si>
  <si>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</si>
  <si>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</si>
  <si>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</si>
  <si>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</si>
  <si>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</si>
  <si>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</si>
  <si>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</si>
  <si>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</si>
  <si>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</si>
  <si>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</si>
  <si>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</si>
  <si>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</si>
  <si>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</si>
  <si>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</si>
  <si>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</si>
  <si>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</si>
  <si>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</si>
  <si>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</si>
  <si>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</si>
  <si>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</si>
  <si>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</si>
  <si>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</si>
  <si>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</si>
  <si>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</si>
  <si>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</si>
  <si>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</si>
  <si>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</si>
  <si>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</si>
  <si>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</si>
  <si>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</si>
  <si>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</si>
  <si>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</si>
  <si>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</si>
  <si>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</si>
  <si>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</si>
  <si>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</si>
  <si>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</si>
  <si>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</si>
  <si>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</si>
  <si>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</si>
  <si>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</si>
  <si>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</si>
  <si>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</si>
  <si>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</si>
  <si>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</si>
  <si>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</si>
  <si>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</si>
  <si>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</si>
  <si>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</si>
  <si>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</si>
  <si>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</si>
  <si>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</si>
  <si>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</si>
  <si>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</si>
  <si>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</si>
  <si>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</si>
  <si>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</si>
  <si>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</si>
  <si>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</si>
  <si>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</si>
  <si>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</si>
  <si>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</si>
  <si>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</si>
  <si>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</si>
  <si>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</si>
  <si>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</si>
  <si>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</si>
  <si>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</si>
  <si>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</si>
  <si>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</si>
  <si>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</si>
  <si>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</si>
  <si>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</si>
  <si>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</si>
  <si>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</si>
  <si>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</si>
  <si>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</si>
  <si>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</si>
  <si>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</si>
  <si>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</si>
  <si>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</si>
  <si>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</si>
  <si>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</si>
  <si>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</si>
  <si>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</si>
  <si>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</si>
  <si>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</si>
  <si>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</si>
  <si>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</si>
  <si>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</si>
  <si>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</si>
  <si>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</si>
  <si>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</si>
  <si>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</si>
  <si>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</si>
  <si>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</si>
  <si>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</si>
  <si>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</si>
  <si>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</si>
  <si>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</si>
  <si>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</si>
  <si>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</si>
  <si>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</si>
  <si>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</si>
  <si>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</si>
  <si>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</si>
  <si>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</si>
  <si>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</si>
  <si>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</si>
  <si>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</si>
  <si>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</si>
  <si>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</si>
  <si>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</si>
  <si>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</si>
  <si>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</si>
  <si>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</si>
  <si>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</si>
  <si>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</si>
  <si>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</si>
  <si>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</si>
  <si>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</si>
  <si>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</si>
  <si>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</si>
  <si>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</si>
  <si>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</si>
  <si>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</si>
  <si>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</si>
  <si>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</si>
  <si>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</si>
  <si>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</si>
  <si>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</si>
  <si>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</si>
  <si>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</si>
  <si>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</si>
  <si>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</si>
  <si>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</si>
  <si>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</si>
  <si>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</si>
  <si>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</si>
  <si>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</si>
  <si>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</si>
  <si>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</si>
  <si>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</si>
  <si>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</si>
  <si>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</si>
  <si>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</si>
  <si>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</si>
  <si>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</si>
  <si>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</si>
  <si>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</si>
  <si>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</si>
  <si>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</si>
  <si>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</si>
  <si>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</si>
  <si>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</si>
  <si>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</si>
  <si>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</si>
  <si>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</si>
  <si>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</si>
  <si>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</si>
  <si>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</si>
  <si>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</si>
  <si>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</si>
  <si>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</si>
  <si>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</si>
  <si>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</si>
  <si>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</si>
  <si>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</si>
  <si>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</si>
  <si>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</si>
  <si>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</si>
  <si>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</si>
  <si>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</si>
  <si>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</si>
  <si>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</si>
  <si>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</si>
  <si>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</si>
  <si>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</si>
  <si>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</si>
  <si>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</si>
  <si>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</si>
  <si>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</si>
  <si>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</si>
  <si>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</si>
  <si>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</si>
  <si>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</si>
  <si>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</si>
  <si>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</si>
  <si>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</si>
  <si>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</si>
  <si>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</si>
  <si>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</si>
  <si>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</si>
  <si>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</si>
  <si>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</si>
  <si>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</si>
  <si>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</si>
  <si>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</si>
  <si>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</si>
  <si>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</si>
  <si>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</si>
  <si>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</si>
  <si>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</si>
  <si>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</si>
  <si>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</si>
  <si>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</si>
  <si>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</si>
  <si>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</si>
  <si>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</si>
  <si>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</si>
  <si>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</si>
  <si>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</si>
  <si>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</si>
  <si>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</si>
  <si>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</si>
  <si>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</si>
  <si>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</si>
  <si>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</si>
  <si>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</si>
  <si>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</si>
  <si>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</si>
  <si>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</si>
  <si>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</si>
  <si>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</si>
  <si>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</si>
  <si>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</si>
  <si>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</si>
  <si>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</si>
  <si>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</si>
  <si>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</si>
  <si>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</si>
  <si>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</si>
  <si>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</si>
  <si>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</si>
  <si>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</si>
  <si>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</si>
  <si>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</si>
  <si>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</si>
  <si>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</si>
  <si>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</si>
  <si>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</si>
  <si>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</si>
  <si>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</si>
  <si>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</si>
  <si>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</si>
  <si>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</si>
  <si>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</si>
  <si>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</si>
  <si>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</si>
  <si>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</si>
  <si>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</si>
  <si>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</si>
  <si>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</si>
  <si>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</si>
  <si>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</si>
  <si>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</si>
  <si>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</si>
  <si>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</si>
  <si>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</si>
  <si>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</si>
  <si>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</si>
  <si>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</si>
  <si>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</si>
  <si>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</si>
  <si>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</si>
  <si>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</si>
  <si>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</si>
  <si>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</si>
  <si>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</si>
  <si>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</si>
  <si>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</si>
  <si>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</si>
  <si>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</si>
  <si>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</si>
  <si>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</si>
  <si>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</si>
  <si>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</si>
  <si>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</si>
  <si>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</si>
  <si>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</si>
  <si>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</si>
  <si>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</si>
  <si>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</si>
  <si>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</si>
  <si>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</si>
  <si>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</si>
  <si>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</si>
  <si>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</si>
  <si>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</si>
  <si>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</si>
  <si>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</si>
  <si>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</si>
  <si>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</si>
  <si>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</si>
  <si>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</si>
  <si>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</si>
  <si>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</si>
  <si>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</si>
  <si>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</si>
  <si>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</si>
  <si>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</si>
  <si>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</si>
  <si>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</si>
  <si>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</si>
  <si>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</si>
  <si>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</si>
  <si>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</si>
  <si>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</si>
  <si>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</si>
  <si>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</si>
  <si>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</si>
  <si>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</si>
  <si>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</si>
  <si>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</si>
  <si>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</si>
  <si>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</si>
  <si>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</si>
  <si>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</si>
  <si>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</si>
  <si>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</si>
  <si>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</si>
  <si>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</si>
  <si>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</si>
  <si>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</si>
  <si>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</si>
  <si>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</si>
  <si>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</si>
  <si>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</si>
  <si>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</si>
  <si>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</si>
  <si>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</si>
  <si>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</si>
  <si>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</si>
  <si>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</si>
  <si>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</si>
  <si>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</si>
  <si>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</si>
  <si>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</si>
  <si>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</si>
  <si>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</si>
  <si>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</si>
  <si>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</si>
  <si>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</si>
  <si>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</si>
  <si>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</si>
  <si>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</si>
  <si>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</si>
  <si>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</si>
  <si>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</si>
  <si>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</si>
  <si>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</si>
  <si>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</si>
  <si>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</si>
  <si>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</si>
  <si>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</si>
  <si>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</si>
  <si>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</si>
  <si>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</si>
  <si>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</si>
  <si>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</si>
  <si>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</si>
  <si>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</si>
  <si>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</si>
  <si>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</si>
  <si>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</si>
  <si>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</si>
  <si>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</si>
  <si>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</si>
  <si>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</si>
  <si>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</si>
  <si>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</si>
  <si>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</si>
  <si>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</si>
  <si>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</si>
  <si>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</si>
  <si>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</si>
  <si>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</si>
  <si>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</si>
  <si>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</si>
  <si>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</si>
  <si>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</si>
  <si>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</si>
  <si>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</si>
  <si>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</si>
  <si>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</si>
  <si>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</si>
  <si>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</si>
  <si>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</si>
  <si>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</si>
  <si>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</si>
  <si>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</si>
  <si>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</si>
  <si>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</si>
  <si>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</si>
  <si>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</si>
  <si>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</si>
  <si>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</si>
  <si>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</si>
  <si>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</si>
  <si>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</si>
  <si>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</si>
  <si>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</si>
  <si>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</si>
  <si>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</si>
  <si>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</si>
  <si>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</si>
  <si>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</si>
  <si>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</si>
  <si>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</si>
  <si>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</si>
  <si>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</si>
  <si>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</si>
  <si>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</si>
  <si>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</si>
  <si>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</si>
  <si>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</si>
  <si>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</si>
  <si>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</si>
  <si>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</si>
  <si>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</si>
  <si>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</si>
  <si>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</si>
  <si>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</si>
  <si>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</si>
  <si>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</si>
  <si>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</si>
  <si>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1 - 04/08/2026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</si>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</sst>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6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66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6.9268999999999963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32.788699999999999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23.074999999999999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57" totalsRowShown="0" headerRowDxfId="165" tableBorderDxfId="164">
  <autoFilter ref="A1:AW857" xr:uid="{00000000-000C-0000-FFFF-FFFF00000000}">
    <filterColumn colId="11">
      <filters>
        <filter val="P-198"/>
      </filters>
    </filterColumn>
  </autoFilter>
  <tableColumns count="49">
    <tableColumn id="1" xr3:uid="{00000000-0010-0000-0000-000001000000}" name="DESENHO_x000a_MDE" dataDxfId="163"/>
    <tableColumn id="43" xr3:uid="{56981E1B-CD3E-434D-AB02-C5F83A6F3E43}" name="DESENHO_x000a_CLIENTE" dataDxfId="162"/>
    <tableColumn id="2" xr3:uid="{00000000-0010-0000-0000-000002000000}" name="QTE" dataDxfId="161"/>
    <tableColumn id="3" xr3:uid="{00000000-0010-0000-0000-000003000000}" name="DESCRIÇÃO" dataDxfId="160"/>
    <tableColumn id="41" xr3:uid="{00000000-0010-0000-0000-000029000000}" name="COD.MDE" dataDxfId="159"/>
    <tableColumn id="40" xr3:uid="{00000000-0010-0000-0000-000028000000}" name="REMESSA" dataDxfId="158"/>
    <tableColumn id="4" xr3:uid="{00000000-0010-0000-0000-000004000000}" name="PESO UNI" dataDxfId="157"/>
    <tableColumn id="5" xr3:uid="{00000000-0010-0000-0000-000005000000}" name="PESO TOTAL" dataDxfId="156"/>
    <tableColumn id="6" xr3:uid="{00000000-0010-0000-0000-000006000000}" name="Revisão" dataDxfId="155"/>
    <tableColumn id="7" xr3:uid="{00000000-0010-0000-0000-000007000000}" name="TAG" dataDxfId="154"/>
    <tableColumn id="38" xr3:uid="{00000000-0010-0000-0000-000026000000}" name="PRODUTO" dataDxfId="153"/>
    <tableColumn id="8" xr3:uid="{00000000-0010-0000-0000-000008000000}" name="PEDIDO" dataDxfId="152"/>
    <tableColumn id="9" xr3:uid="{00000000-0010-0000-0000-000009000000}" name="Engenharia" dataDxfId="151"/>
    <tableColumn id="10" xr3:uid="{00000000-0010-0000-0000-00000A000000}" name="FORNECEDOR" dataDxfId="150"/>
    <tableColumn id="11" xr3:uid="{00000000-0010-0000-0000-00000B000000}" name="QTDE/ Fabricação" dataDxfId="149"/>
    <tableColumn id="12" xr3:uid="{00000000-0010-0000-0000-00000C000000}" name="DATA/Fabricação" dataDxfId="148"/>
    <tableColumn id="13" xr3:uid="{00000000-0010-0000-0000-00000D000000}" name="SALDO PENDENTE/Fabricação" dataDxfId="147"/>
    <tableColumn id="14" xr3:uid="{00000000-0010-0000-0000-00000E000000}" name="EVOLUÇÃO PRETO / Fabricação_x000a_(kg)" dataDxfId="146"/>
    <tableColumn id="15" xr3:uid="{00000000-0010-0000-0000-00000F000000}" name="PRONTO ACABADO kg" dataDxfId="145">
      <calculatedColumnFormula>IFERROR(H2*AG2,"")</calculatedColumnFormula>
    </tableColumn>
    <tableColumn id="16" xr3:uid="{00000000-0010-0000-0000-000010000000}" name="Pendencia  / Fabricação_x000a_EM KG" dataDxfId="144"/>
    <tableColumn id="17" xr3:uid="{00000000-0010-0000-0000-000011000000}" name="QIANTIDADE EXPEDIDA" dataDxfId="143"/>
    <tableColumn id="18" xr3:uid="{00000000-0010-0000-0000-000012000000}" name="ROMANEIO " dataDxfId="142"/>
    <tableColumn id="19" xr3:uid="{00000000-0010-0000-0000-000013000000}" name="DATA EXPEDIÇÃO" dataDxfId="141"/>
    <tableColumn id="20" xr3:uid="{00000000-0010-0000-0000-000014000000}" name="Peso Expedido" dataDxfId="140"/>
    <tableColumn id="21" xr3:uid="{00000000-0010-0000-0000-000015000000}" name="QUANTIDADE PENDENTE/Expedição" dataDxfId="139"/>
    <tableColumn id="22" xr3:uid="{00000000-0010-0000-0000-000016000000}" name="PESO PENDENTE/Expedição" dataDxfId="138"/>
    <tableColumn id="23" xr3:uid="{00000000-0010-0000-0000-000017000000}" name="MATÉRIA PRIMA" dataDxfId="137"/>
    <tableColumn id="24" xr3:uid="{00000000-0010-0000-0000-000018000000}" name="RELATORIO" dataDxfId="136"/>
    <tableColumn id="25" xr3:uid="{00000000-0010-0000-0000-000019000000}" name="PREPARAÇÃO " dataDxfId="135"/>
    <tableColumn id="26" xr3:uid="{00000000-0010-0000-0000-00001A000000}" name="CALDEIRARIA" dataDxfId="134"/>
    <tableColumn id="27" xr3:uid="{00000000-0010-0000-0000-00001B000000}" name="SOLDA" dataDxfId="133"/>
    <tableColumn id="28" xr3:uid="{00000000-0010-0000-0000-00001C000000}" name="ACABAMENTO" dataDxfId="132"/>
    <tableColumn id="29" xr3:uid="{00000000-0010-0000-0000-00001D000000}" name="PRONTO ACABADO" dataDxfId="131"/>
    <tableColumn id="30" xr3:uid="{00000000-0010-0000-0000-00001E000000}" name="EXPEDIÇÃO " dataDxfId="130"/>
    <tableColumn id="31" xr3:uid="{00000000-0010-0000-0000-00001F000000}" name="FINALIZADO " dataDxfId="129"/>
    <tableColumn id="32" xr3:uid="{00000000-0010-0000-0000-000020000000}" name="Coluna1" dataDxfId="128"/>
    <tableColumn id="33" xr3:uid="{00000000-0010-0000-0000-000021000000}" name="Coluna2" dataDxfId="127"/>
    <tableColumn id="34" xr3:uid="{00000000-0010-0000-0000-000022000000}" name="Coluna3" dataDxfId="126"/>
    <tableColumn id="35" xr3:uid="{00000000-0010-0000-0000-000023000000}" name="Coluna4" dataDxfId="125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24"/>
    <tableColumn id="42" xr3:uid="{44772FB5-94B9-4683-9D51-42A525419432}" name="Colunas7" dataDxfId="123"/>
    <tableColumn id="44" xr3:uid="{7DBCA215-A831-41EC-8668-4217050D7CEF}" name="Coluna5" dataDxfId="122"/>
    <tableColumn id="52" xr3:uid="{0F1E3E30-ACD2-41A7-9FEB-CFC4141C720F}" name="PRONTO NO PRETO" dataDxfId="121"/>
    <tableColumn id="53" xr3:uid="{7B42991E-C57D-449B-9CA4-FF51ED3B7EE1}" name="PRONTO ACABADO3" dataDxfId="120"/>
    <tableColumn id="54" xr3:uid="{B185D57F-2904-41B4-A913-414AD30553DC}" name="PESO EXPEDIDO2" dataDxfId="119"/>
    <tableColumn id="55" xr3:uid="{216FC5C0-1E81-4ACF-B1FE-D38AAA1F26E6}" name="PRONTO ACABADO2" dataDxfId="118"/>
    <tableColumn id="57" xr3:uid="{58807113-78D0-4422-B88A-8E66792B9681}" name="Coluna7" dataDxfId="117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9" totalsRowShown="0" headerRowDxfId="116" headerRowBorderDxfId="115" tableBorderDxfId="114" totalsRowBorderDxfId="113">
  <autoFilter ref="A1:F19" xr:uid="{9E04BDB3-7991-400D-A075-6EF4E207F167}"/>
  <tableColumns count="6">
    <tableColumn id="1" xr3:uid="{0986BF72-EBA9-4CAA-A22C-20021A2F0193}" name="PEDIDO" dataDxfId="112"/>
    <tableColumn id="2" xr3:uid="{1E29E510-3230-4D4A-9101-BF1603DA1959}" name="EQUIPAMENTO" dataDxfId="111"/>
    <tableColumn id="3" xr3:uid="{27EA8246-98FE-4DF0-AB4F-2563340E3A33}" name="DATA PREVISTA " dataDxfId="110"/>
    <tableColumn id="4" xr3:uid="{178705E0-20E1-4EA8-BD6A-04EDA09B960F}" name="DATA REPROGRAMADA" dataDxfId="109"/>
    <tableColumn id="5" xr3:uid="{D69E8AE6-FCF7-4D70-8443-DFF41092DBA5}" name="Observação" dataDxfId="108"/>
    <tableColumn id="6" xr3:uid="{7ED96CF2-6F65-4A02-A0B9-FFDE23E894EB}" name="CLIENTE" dataDxfId="10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06">
  <autoFilter ref="D3:R395" xr:uid="{D635AFD0-01A4-4F4C-B4BB-2C0A84AFA373}"/>
  <tableColumns count="15">
    <tableColumn id="1" xr3:uid="{71019319-E348-41C4-90A8-BD800AFA385A}" name="TAG" dataDxfId="105"/>
    <tableColumn id="2" xr3:uid="{6205B1F5-4B96-401E-A8F0-D0B582A87E91}" name="PEDIDO" dataDxfId="104">
      <calculatedColumnFormula>VLOOKUP(Tabela2[[#This Row],[TAG]],MICRO!J:L,3,0)</calculatedColumnFormula>
    </tableColumn>
    <tableColumn id="3" xr3:uid="{EBC41BBB-459B-4DB5-8152-2C7C2C7ADFAA}" name="FORNECEDOR" dataDxfId="103" dataCellStyle="Normal 2"/>
    <tableColumn id="4" xr3:uid="{EE719B42-3B82-4AC6-AB4D-66A5AF76AAFC}" name="RECEBIDO ENGENHARIA (kg)" dataDxfId="102">
      <calculatedColumnFormula>SUMIF(MICRO!AP:AP,O:O,MICRO!H:H)</calculatedColumnFormula>
    </tableColumn>
    <tableColumn id="5" xr3:uid="{F8EF71F0-2467-40E6-8596-0C50AE8B2E56}" name="EM AVANÇO NO PRETO (kg)" dataDxfId="101">
      <calculatedColumnFormula>SUMIF(MICRO!AP:AP,O:O,MICRO!R:R)</calculatedColumnFormula>
    </tableColumn>
    <tableColumn id="6" xr3:uid="{70FA8036-1726-409E-865E-BBD68DD0CF2B}" name="Pendencia  / Fabricação_x000a_EM KG _x000a_(Kg)" dataDxfId="100">
      <calculatedColumnFormula>SUMIF(MICRO!AP:AP,O:O,MICRO!T:T)</calculatedColumnFormula>
    </tableColumn>
    <tableColumn id="7" xr3:uid="{2EDBF5C8-B6A0-4234-9B37-F4D245CBE335}" name="EVOLUÇÃO %" dataDxfId="99">
      <calculatedColumnFormula>IF(G4 = 0,0,H4/G4)</calculatedColumnFormula>
    </tableColumn>
    <tableColumn id="8" xr3:uid="{981D372E-5C81-43AA-82CF-C526D0CD7BC5}" name="PESO EXPEDIDO" dataDxfId="98">
      <calculatedColumnFormula>SUMIF(MICRO!AP:AP,O:O,MICRO!X:X)</calculatedColumnFormula>
    </tableColumn>
    <tableColumn id="9" xr3:uid="{9581E1B5-4976-4A66-B050-5EDFF64499FF}" name="% EXPEDIDO" dataDxfId="97">
      <calculatedColumnFormula>IF(G4&lt;&gt;0,SUM(K4/G4*1),"0%")</calculatedColumnFormula>
    </tableColumn>
    <tableColumn id="10" xr3:uid="{5A0DEF47-FBD5-46D6-A019-DB5E3CF46E5B}" name="PESO PENDENTE4" dataDxfId="96">
      <calculatedColumnFormula>G4-K4</calculatedColumnFormula>
    </tableColumn>
    <tableColumn id="11" xr3:uid="{AD13F8E0-0652-4176-B922-E74BEC175E7A}" name="Coluna1" dataDxfId="95">
      <calculatedColumnFormula>E4&amp;F4</calculatedColumnFormula>
    </tableColumn>
    <tableColumn id="12" xr3:uid="{9AB5E2D8-1AD6-4B63-A9ED-66372E94A48F}" name="Coluna2" dataDxfId="94">
      <calculatedColumnFormula>D4&amp;E4&amp;F4</calculatedColumnFormula>
    </tableColumn>
    <tableColumn id="13" xr3:uid="{ED15B1A8-5672-4E4D-9246-3BC797332C64}" name="PRONTO NO PRETO" dataDxfId="93">
      <calculatedColumnFormula>SUMIF(MICRO!AP:AP,O4,MICRO!AS:AS)</calculatedColumnFormula>
    </tableColumn>
    <tableColumn id="14" xr3:uid="{986427E9-0E8F-46D1-987F-01DBA908B397}" name="PRONTO ACABADO" dataDxfId="92">
      <calculatedColumnFormula>SUMIF(MICRO!AP:AP,O4,MICRO!AT:AT)</calculatedColumnFormula>
    </tableColumn>
    <tableColumn id="15" xr3:uid="{4361E9F4-014E-4677-9D4A-8DBAE707BA31}" name="PESO EXPEDIDO2" dataDxfId="91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4.4" x14ac:dyDescent="0.3"/>
  <cols>
    <col min="1" max="1" width="27.109375" bestFit="1" customWidth="1"/>
    <col min="2" max="2" width="21.6640625" bestFit="1" customWidth="1"/>
    <col min="3" max="3" width="10.5546875" bestFit="1" customWidth="1"/>
    <col min="6" max="6" width="14.44140625" bestFit="1" customWidth="1"/>
    <col min="7" max="7" width="14.6640625" bestFit="1" customWidth="1"/>
    <col min="8" max="8" width="22" bestFit="1" customWidth="1"/>
    <col min="9" max="9" width="10" bestFit="1" customWidth="1"/>
    <col min="10" max="10" width="6" bestFit="1" customWidth="1"/>
    <col min="11" max="11" width="13.33203125" bestFit="1" customWidth="1"/>
  </cols>
  <sheetData>
    <row r="1" spans="1:11" x14ac:dyDescent="0.3">
      <c r="A1" s="231" t="s">
        <v>326</v>
      </c>
      <c r="B1" s="233" t="s">
        <v>891</v>
      </c>
      <c r="C1" s="234"/>
      <c r="D1" s="234"/>
      <c r="E1" s="234"/>
      <c r="F1" s="234"/>
      <c r="G1" s="235"/>
      <c r="H1" s="228" t="s">
        <v>331</v>
      </c>
      <c r="I1" s="229"/>
      <c r="J1" s="229"/>
      <c r="K1" s="230"/>
    </row>
    <row r="2" spans="1:11" x14ac:dyDescent="0.3">
      <c r="A2" s="23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3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3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3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7"/>
    </row>
    <row r="6" spans="1:11" x14ac:dyDescent="0.3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3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3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3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57"/>
  <sheetViews>
    <sheetView showGridLines="0" tabSelected="1" topLeftCell="D1" zoomScale="77" zoomScaleNormal="77" workbookViewId="0">
      <pane ySplit="1" topLeftCell="A851" activePane="bottomLeft" state="frozen"/>
      <selection pane="bottomLeft" activeCell="G857" sqref="G857"/>
    </sheetView>
  </sheetViews>
  <sheetFormatPr defaultColWidth="9.109375" defaultRowHeight="15.75" customHeight="1" x14ac:dyDescent="0.3"/>
  <cols>
    <col min="1" max="1" width="40.6640625" style="25" bestFit="1" customWidth="1"/>
    <col min="2" max="2" width="35" style="36" customWidth="1"/>
    <col min="3" max="3" width="19.44140625" style="25" customWidth="1"/>
    <col min="4" max="4" width="135.6640625" style="26" customWidth="1"/>
    <col min="5" max="5" width="20.109375" style="25" customWidth="1"/>
    <col min="6" max="6" width="14.5546875" style="25" customWidth="1"/>
    <col min="7" max="7" width="14.6640625" style="26" customWidth="1"/>
    <col min="8" max="8" width="16.6640625" style="35" customWidth="1"/>
    <col min="9" max="9" width="15.88671875" style="27" customWidth="1"/>
    <col min="10" max="10" width="18.6640625" style="28" customWidth="1"/>
    <col min="11" max="11" width="16.44140625" style="28" customWidth="1"/>
    <col min="12" max="12" width="11.6640625" style="28" customWidth="1"/>
    <col min="13" max="13" width="23" style="29" customWidth="1"/>
    <col min="14" max="14" width="24.44140625" style="27" customWidth="1"/>
    <col min="15" max="15" width="11.44140625" style="30" customWidth="1"/>
    <col min="16" max="16" width="13" style="31" customWidth="1"/>
    <col min="17" max="17" width="11.44140625" style="30" customWidth="1"/>
    <col min="18" max="20" width="15.33203125" style="32" customWidth="1"/>
    <col min="21" max="21" width="12.88671875" style="30" customWidth="1"/>
    <col min="22" max="22" width="10.33203125" style="30" customWidth="1"/>
    <col min="23" max="23" width="26.6640625" style="30" customWidth="1"/>
    <col min="24" max="24" width="12.44140625" style="30" customWidth="1"/>
    <col min="25" max="25" width="15.33203125" style="30" customWidth="1"/>
    <col min="26" max="26" width="11.44140625" style="32" customWidth="1"/>
    <col min="27" max="27" width="11.44140625" style="30" customWidth="1"/>
    <col min="28" max="28" width="10.109375" style="30" customWidth="1"/>
    <col min="29" max="29" width="12.88671875" style="30" bestFit="1" customWidth="1"/>
    <col min="30" max="30" width="10.33203125" style="30" bestFit="1" customWidth="1"/>
    <col min="31" max="31" width="8.33203125" style="30" customWidth="1"/>
    <col min="32" max="32" width="12.88671875" style="30" customWidth="1"/>
    <col min="33" max="33" width="12.88671875" style="30" bestFit="1" customWidth="1"/>
    <col min="34" max="34" width="14.33203125" style="30" bestFit="1" customWidth="1"/>
    <col min="35" max="35" width="8.33203125" style="30" customWidth="1"/>
    <col min="36" max="36" width="17.33203125" style="28" hidden="1" customWidth="1"/>
    <col min="37" max="39" width="17.6640625" style="28" hidden="1" customWidth="1"/>
    <col min="40" max="40" width="9.5546875" style="28" hidden="1" customWidth="1"/>
    <col min="41" max="41" width="32.5546875" style="28" hidden="1" customWidth="1"/>
    <col min="42" max="42" width="37.44140625" style="28" hidden="1" customWidth="1"/>
    <col min="43" max="43" width="31" style="28" hidden="1" customWidth="1"/>
    <col min="44" max="44" width="27.6640625" style="28" hidden="1" customWidth="1"/>
    <col min="45" max="48" width="9.109375" style="28" hidden="1" customWidth="1"/>
    <col min="49" max="49" width="21.44140625" style="28" hidden="1" customWidth="1"/>
    <col min="50" max="16384" width="9.109375" style="28"/>
  </cols>
  <sheetData>
    <row r="1" spans="1:49" s="2" customFormat="1" ht="100.5" customHeight="1" thickBot="1" x14ac:dyDescent="0.35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3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3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3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3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3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3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3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3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3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3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3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3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3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3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3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3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3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3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3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3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3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3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3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3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3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3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3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3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3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3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3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3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3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3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3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3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3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3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3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3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3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3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3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3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3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3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3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3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3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3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3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3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3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3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customHeight="1" x14ac:dyDescent="0.3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3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3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3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3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3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3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3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3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3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3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3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3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3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3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3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3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3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3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3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3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3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3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3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3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customHeight="1" x14ac:dyDescent="0.3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3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3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3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3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3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3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3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3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112.08499999999999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3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3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3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3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3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3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3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3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customHeight="1" x14ac:dyDescent="0.3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3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3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3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customHeight="1" x14ac:dyDescent="0.3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3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3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3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3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3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3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3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3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3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3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3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3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3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customHeight="1" x14ac:dyDescent="0.3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3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3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3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3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3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3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3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3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3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3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3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3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23.925000000000001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3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329.07749999999999</v>
      </c>
      <c r="S129" s="18">
        <f t="shared" si="29"/>
        <v>0</v>
      </c>
      <c r="T129" s="19">
        <f t="shared" si="27"/>
        <v>-453.9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3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16.095000000000002</v>
      </c>
      <c r="S130" s="18">
        <f t="shared" si="29"/>
        <v>0</v>
      </c>
      <c r="T130" s="19">
        <f t="shared" si="27"/>
        <v>-22.200000000000003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3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341.185</v>
      </c>
      <c r="S131" s="18">
        <f t="shared" si="29"/>
        <v>0</v>
      </c>
      <c r="T131" s="19">
        <f t="shared" si="27"/>
        <v>-470.6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customHeight="1" x14ac:dyDescent="0.3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3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3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3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3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3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3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3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3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3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3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3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3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3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3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3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3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3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3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3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174.29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3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3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3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3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3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3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3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3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3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3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3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3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3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3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3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3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3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3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3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3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3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3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3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3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3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3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3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3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3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3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3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3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3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3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3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3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3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3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3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3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3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3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3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3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3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3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3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3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3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3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3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3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3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3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3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3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3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3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3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3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3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3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3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3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3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3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3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3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3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3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3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3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3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3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3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3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3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3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3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3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3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3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3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3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3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3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3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3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3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3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3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3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3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3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3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3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3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3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3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3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3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3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3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3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3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3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3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3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3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3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3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3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3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3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3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3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3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3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3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3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3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3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3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3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3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3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3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3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3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3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3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3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3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3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3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3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3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3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3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3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3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3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3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3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3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3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3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3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3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3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3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3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3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3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3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3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3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3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3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3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3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3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3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3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3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3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3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3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3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3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3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3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3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3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3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3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3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3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3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3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3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3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3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3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3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3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3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3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3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3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3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3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3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3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3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3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3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3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3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3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3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3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3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3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3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3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3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3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3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3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3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3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3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3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3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3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3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3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3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3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3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3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3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3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3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3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3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3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3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3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3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3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3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3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3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3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3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3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3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3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3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3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3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3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3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3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3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3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3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3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3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3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3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3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3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3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3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3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3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3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3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3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3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3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3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3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3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3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3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3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3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3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3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3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3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3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3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3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3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3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3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3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3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3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3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3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3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3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3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3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customHeight="1" x14ac:dyDescent="0.3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6.96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3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66.12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3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148.76999999999998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3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27.84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3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0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3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18.7775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3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1.885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3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0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3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491.94150000000002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0.7</v>
      </c>
      <c r="AE450" s="33"/>
      <c r="AF450" s="33"/>
      <c r="AG450" s="33"/>
      <c r="AH450" s="28"/>
      <c r="AI450" s="33" t="str">
        <f t="shared" si="69"/>
        <v/>
      </c>
    </row>
    <row r="451" spans="1:49" ht="15.75" customHeight="1" x14ac:dyDescent="0.3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2400.5324999999998</v>
      </c>
      <c r="S451" s="18">
        <f t="shared" si="87"/>
        <v>0</v>
      </c>
      <c r="T451" s="19">
        <f t="shared" si="88"/>
        <v>-3651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3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3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3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3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3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3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3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3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3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3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3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3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3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3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3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3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3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3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3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3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3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3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3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3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3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3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3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3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3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3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3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3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3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3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3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3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3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3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3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3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3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3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3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3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3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3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3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3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3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3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3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3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3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3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3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3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3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3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3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3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3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3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3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3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3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3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3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3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3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3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3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3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3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3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3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3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3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3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3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3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3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3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3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3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3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3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3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3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3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3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3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3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3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3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3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3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3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3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3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3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3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3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3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3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3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3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3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3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3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3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3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3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3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3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3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3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3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3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3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3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3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3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3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3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3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3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3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3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3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3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3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3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3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3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3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3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3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3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3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3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3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3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3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3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3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3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3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3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3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3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3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3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customHeight="1" x14ac:dyDescent="0.3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/>
      <c r="AB604" s="33"/>
      <c r="AC604" s="33"/>
      <c r="AD604" s="33"/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3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customHeight="1" x14ac:dyDescent="0.3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3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3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3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3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3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3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3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3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3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3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3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3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3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3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3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3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3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3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3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3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3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3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3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3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3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3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3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3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3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3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3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3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3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3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3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3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3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3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3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3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3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3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3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3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3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3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3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3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3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3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3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3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3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3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3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3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3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3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3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3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3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3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3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3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3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3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3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3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3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3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3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3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3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3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3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3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3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3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3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3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3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3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3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3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3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3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3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3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3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3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3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3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3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3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3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3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3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3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3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3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3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3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3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3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3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3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3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3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3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3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3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3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3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3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3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3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3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3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3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3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3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3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3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3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3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3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3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3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3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3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3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3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3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3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3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3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3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3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3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3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3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3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3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3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3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3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3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3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3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3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3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3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3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3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3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3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3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3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/>
      <c r="AB764" s="33"/>
      <c r="AC764" s="33"/>
      <c r="AD764" s="33"/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3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0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3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0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3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0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3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0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3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0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3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0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3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3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3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1045.3599999999999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0.2</v>
      </c>
      <c r="AD773" s="33">
        <v>0.2</v>
      </c>
      <c r="AE773" s="33">
        <v>0.2</v>
      </c>
      <c r="AF773" s="33">
        <v>0.2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3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3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4982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3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4982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3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4982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3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4982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3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4982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3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4982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3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4982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3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4982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3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4982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3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4982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3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4982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3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4982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3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4982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3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4982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3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4982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3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4982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3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4982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3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4982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3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4982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3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4982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3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4982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3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4982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3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4982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3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4982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3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4982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3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4982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3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4982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3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4982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3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4982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3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4982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3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4982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3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4982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3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4982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3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4982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3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4982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3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4982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3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4982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3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4982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3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4982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3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4982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3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4982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3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4982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3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4982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3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5015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3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5015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3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3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3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3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3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1337.3</v>
      </c>
      <c r="H824" s="34">
        <f>Tabela1[[#This Row],[PESO UNI]]*Tabela1[[#This Row],[QTE]]</f>
        <v>1337.3</v>
      </c>
      <c r="I824" s="7">
        <v>0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-1337.3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1337.3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3">
      <c r="A825" s="1" t="s">
        <v>4942</v>
      </c>
      <c r="B825" s="21" t="s">
        <v>4943</v>
      </c>
      <c r="C825" s="1">
        <v>1</v>
      </c>
      <c r="D825" s="1" t="s">
        <v>4944</v>
      </c>
      <c r="E825" s="7">
        <v>4480</v>
      </c>
      <c r="F825" s="7">
        <v>44</v>
      </c>
      <c r="G825" s="1">
        <v>485.6</v>
      </c>
      <c r="H825" s="34">
        <f>Tabela1[[#This Row],[PESO UNI]]*Tabela1[[#This Row],[QTE]]</f>
        <v>485.6</v>
      </c>
      <c r="I825" s="7" t="s">
        <v>5014</v>
      </c>
      <c r="J825" s="8" t="s">
        <v>3093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-485.6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485.6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3">
      <c r="A826" s="1" t="s">
        <v>4942</v>
      </c>
      <c r="B826" s="21" t="s">
        <v>4943</v>
      </c>
      <c r="C826" s="1">
        <v>2</v>
      </c>
      <c r="D826" s="1" t="s">
        <v>4945</v>
      </c>
      <c r="E826" s="7">
        <v>4481</v>
      </c>
      <c r="F826" s="7">
        <v>44</v>
      </c>
      <c r="G826" s="1">
        <v>90.6</v>
      </c>
      <c r="H826" s="34">
        <f>Tabela1[[#This Row],[PESO UNI]]*Tabela1[[#This Row],[QTE]]</f>
        <v>181.2</v>
      </c>
      <c r="I826" s="7" t="s">
        <v>5014</v>
      </c>
      <c r="J826" s="8" t="s">
        <v>3093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-2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-181.2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-2</v>
      </c>
      <c r="Z826" s="20">
        <f>Tabela1[[#This Row],[PESO TOTAL]]-Tabela1[[#This Row],[Peso Expedido]]</f>
        <v>181.2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3">
      <c r="A827" s="1" t="s">
        <v>4942</v>
      </c>
      <c r="B827" s="21" t="s">
        <v>4943</v>
      </c>
      <c r="C827" s="1">
        <v>2</v>
      </c>
      <c r="D827" s="1" t="s">
        <v>4946</v>
      </c>
      <c r="E827" s="7">
        <v>4482</v>
      </c>
      <c r="F827" s="7">
        <v>44</v>
      </c>
      <c r="G827" s="1">
        <v>113.8</v>
      </c>
      <c r="H827" s="34">
        <f>Tabela1[[#This Row],[PESO UNI]]*Tabela1[[#This Row],[QTE]]</f>
        <v>227.6</v>
      </c>
      <c r="I827" s="7" t="s">
        <v>5014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-2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-227.6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-2</v>
      </c>
      <c r="Z827" s="20">
        <f>Tabela1[[#This Row],[PESO TOTAL]]-Tabela1[[#This Row],[Peso Expedido]]</f>
        <v>227.6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3">
      <c r="A828" s="1" t="s">
        <v>4947</v>
      </c>
      <c r="B828" s="21" t="s">
        <v>4948</v>
      </c>
      <c r="C828" s="1">
        <v>2</v>
      </c>
      <c r="D828" s="1" t="s">
        <v>4949</v>
      </c>
      <c r="E828" s="7">
        <v>4483</v>
      </c>
      <c r="F828" s="7">
        <v>44</v>
      </c>
      <c r="G828" s="1">
        <v>19.399999999999999</v>
      </c>
      <c r="H828" s="34">
        <f>Tabela1[[#This Row],[PESO UNI]]*Tabela1[[#This Row],[QTE]]</f>
        <v>38.799999999999997</v>
      </c>
      <c r="I828" s="7" t="s">
        <v>5014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-38.799999999999997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38.799999999999997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3">
      <c r="A829" s="1" t="s">
        <v>4947</v>
      </c>
      <c r="B829" s="21" t="s">
        <v>4948</v>
      </c>
      <c r="C829" s="1">
        <v>2</v>
      </c>
      <c r="D829" s="1" t="s">
        <v>4950</v>
      </c>
      <c r="E829" s="7">
        <v>4484</v>
      </c>
      <c r="F829" s="7">
        <v>44</v>
      </c>
      <c r="G829" s="1">
        <v>26.2</v>
      </c>
      <c r="H829" s="34">
        <f>Tabela1[[#This Row],[PESO UNI]]*Tabela1[[#This Row],[QTE]]</f>
        <v>52.4</v>
      </c>
      <c r="I829" s="7" t="s">
        <v>5014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-52.4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52.4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3">
      <c r="A830" s="1" t="s">
        <v>4947</v>
      </c>
      <c r="B830" s="21" t="s">
        <v>4948</v>
      </c>
      <c r="C830" s="1">
        <v>2</v>
      </c>
      <c r="D830" s="1" t="s">
        <v>4951</v>
      </c>
      <c r="E830" s="7">
        <v>4485</v>
      </c>
      <c r="F830" s="7">
        <v>44</v>
      </c>
      <c r="G830" s="1">
        <v>2.2000000000000002</v>
      </c>
      <c r="H830" s="34">
        <f>Tabela1[[#This Row],[PESO UNI]]*Tabela1[[#This Row],[QTE]]</f>
        <v>4.4000000000000004</v>
      </c>
      <c r="I830" s="7" t="s">
        <v>5014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-4.4000000000000004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4.4000000000000004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3">
      <c r="A831" s="1" t="s">
        <v>4947</v>
      </c>
      <c r="B831" s="21" t="s">
        <v>4948</v>
      </c>
      <c r="C831" s="1">
        <v>2</v>
      </c>
      <c r="D831" s="1" t="s">
        <v>4952</v>
      </c>
      <c r="E831" s="7">
        <v>4486</v>
      </c>
      <c r="F831" s="7">
        <v>44</v>
      </c>
      <c r="G831" s="1">
        <v>6.9</v>
      </c>
      <c r="H831" s="34">
        <f>Tabela1[[#This Row],[PESO UNI]]*Tabela1[[#This Row],[QTE]]</f>
        <v>13.8</v>
      </c>
      <c r="I831" s="7" t="s">
        <v>5014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-13.8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13.8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3">
      <c r="A832" s="1" t="s">
        <v>733</v>
      </c>
      <c r="B832" s="21"/>
      <c r="C832" s="1">
        <v>2</v>
      </c>
      <c r="D832" s="1" t="s">
        <v>4954</v>
      </c>
      <c r="E832" s="7">
        <v>4487</v>
      </c>
      <c r="F832" s="7">
        <v>71</v>
      </c>
      <c r="G832" s="1">
        <v>7.4</v>
      </c>
      <c r="H832" s="34">
        <f>Tabela1[[#This Row],[PESO UNI]]*Tabela1[[#This Row],[QTE]]</f>
        <v>14.8</v>
      </c>
      <c r="I832" s="7">
        <v>0</v>
      </c>
      <c r="J832" s="8" t="s">
        <v>585</v>
      </c>
      <c r="K832" s="8" t="s">
        <v>23</v>
      </c>
      <c r="L832" s="9" t="s">
        <v>4955</v>
      </c>
      <c r="M832" s="10">
        <v>46234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-14.8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14.8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3">
      <c r="A833" s="1" t="s">
        <v>4956</v>
      </c>
      <c r="B833" s="21"/>
      <c r="C833" s="1">
        <v>1</v>
      </c>
      <c r="D833" s="1" t="s">
        <v>4957</v>
      </c>
      <c r="E833" s="7">
        <v>4488</v>
      </c>
      <c r="F833" s="7">
        <v>45</v>
      </c>
      <c r="G833" s="1">
        <v>3649.4</v>
      </c>
      <c r="H833" s="34">
        <f>Tabela1[[#This Row],[PESO UNI]]*Tabela1[[#This Row],[QTE]]</f>
        <v>3649.4</v>
      </c>
      <c r="I833" s="7">
        <v>0</v>
      </c>
      <c r="J833" s="8" t="s">
        <v>3093</v>
      </c>
      <c r="K833" s="8" t="s">
        <v>22</v>
      </c>
      <c r="L833" s="9" t="s">
        <v>2984</v>
      </c>
      <c r="M833" s="10">
        <v>46237</v>
      </c>
      <c r="N833" s="8" t="s">
        <v>38</v>
      </c>
      <c r="O833" s="12"/>
      <c r="P833" s="13"/>
      <c r="Q833" s="14">
        <f>Tabela1[[#This Row],[QTDE/ Fabricação]]-Tabela1[[#This Row],[QTE]]</f>
        <v>-1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-3649.4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-1</v>
      </c>
      <c r="Z833" s="20">
        <f>Tabela1[[#This Row],[PESO TOTAL]]-Tabela1[[#This Row],[Peso Expedido]]</f>
        <v>3649.4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3">
      <c r="A834" s="1" t="s">
        <v>4959</v>
      </c>
      <c r="B834" s="21"/>
      <c r="C834" s="1">
        <v>1</v>
      </c>
      <c r="D834" s="1" t="s">
        <v>4958</v>
      </c>
      <c r="E834" s="7">
        <v>4489</v>
      </c>
      <c r="F834" s="7">
        <v>45</v>
      </c>
      <c r="G834" s="1">
        <v>2670.7</v>
      </c>
      <c r="H834" s="34">
        <f>Tabela1[[#This Row],[PESO UNI]]*Tabela1[[#This Row],[QTE]]</f>
        <v>2670.7</v>
      </c>
      <c r="I834" s="7">
        <v>0</v>
      </c>
      <c r="J834" s="8" t="s">
        <v>3093</v>
      </c>
      <c r="K834" s="8" t="s">
        <v>22</v>
      </c>
      <c r="L834" s="9" t="s">
        <v>2984</v>
      </c>
      <c r="M834" s="10">
        <v>46237</v>
      </c>
      <c r="N834" s="8" t="s">
        <v>38</v>
      </c>
      <c r="O834" s="12"/>
      <c r="P834" s="13"/>
      <c r="Q834" s="14">
        <f>Tabela1[[#This Row],[QTDE/ Fabricação]]-Tabela1[[#This Row],[QTE]]</f>
        <v>-1</v>
      </c>
      <c r="R834" s="18">
        <f>IFERROR(H834*((AA834*0.25)+(AC834*0.25)+(AD834*0.225)+(AE834*0.225)+(AF834*0.05)),"")</f>
        <v>0</v>
      </c>
      <c r="S834" s="18">
        <f>IFERROR(H834*AG834,"")</f>
        <v>0</v>
      </c>
      <c r="T834" s="19">
        <f>IFERROR(S834-H834,"")</f>
        <v>-2670.7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>U834-C834</f>
        <v>-1</v>
      </c>
      <c r="Z834" s="20">
        <f>Tabela1[[#This Row],[PESO TOTAL]]-Tabela1[[#This Row],[Peso Expedido]]</f>
        <v>2670.7</v>
      </c>
      <c r="AA834" s="17"/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3">
      <c r="A835" s="1" t="s">
        <v>4960</v>
      </c>
      <c r="B835" s="21" t="s">
        <v>4961</v>
      </c>
      <c r="C835" s="1">
        <v>1</v>
      </c>
      <c r="D835" s="1" t="s">
        <v>4962</v>
      </c>
      <c r="E835" s="7">
        <v>4490</v>
      </c>
      <c r="F835" s="7">
        <v>46</v>
      </c>
      <c r="G835" s="1">
        <v>2649.8</v>
      </c>
      <c r="H835" s="34">
        <f>Tabela1[[#This Row],[PESO UNI]]*Tabela1[[#This Row],[QTE]]</f>
        <v>2649.8</v>
      </c>
      <c r="I835" s="7" t="s">
        <v>5014</v>
      </c>
      <c r="J835" s="8" t="s">
        <v>3093</v>
      </c>
      <c r="K835" s="8" t="s">
        <v>4320</v>
      </c>
      <c r="L835" s="9" t="s">
        <v>2984</v>
      </c>
      <c r="M835" s="10">
        <v>46238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>IFERROR(H835*((AA835*0.25)+(AC835*0.25)+(AD835*0.225)+(AE835*0.225)+(AF835*0.05)),"")</f>
        <v>0</v>
      </c>
      <c r="S835" s="18">
        <f>IFERROR(H835*AG835,"")</f>
        <v>0</v>
      </c>
      <c r="T835" s="19">
        <f>IFERROR(S835-H835,"")</f>
        <v>-2649.8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>U835-C835</f>
        <v>-1</v>
      </c>
      <c r="Z835" s="20">
        <f>Tabela1[[#This Row],[PESO TOTAL]]-Tabela1[[#This Row],[Peso Expedido]]</f>
        <v>2649.8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3">
      <c r="A836" s="1" t="s">
        <v>4963</v>
      </c>
      <c r="B836" s="21" t="s">
        <v>4964</v>
      </c>
      <c r="C836" s="1">
        <v>1</v>
      </c>
      <c r="D836" s="1" t="s">
        <v>4967</v>
      </c>
      <c r="E836" s="7">
        <v>4491</v>
      </c>
      <c r="F836" s="7">
        <v>47</v>
      </c>
      <c r="G836" s="1">
        <v>435.1</v>
      </c>
      <c r="H836" s="34">
        <f>Tabela1[[#This Row],[PESO UNI]]*Tabela1[[#This Row],[QTE]]</f>
        <v>435.1</v>
      </c>
      <c r="I836" s="7">
        <v>0</v>
      </c>
      <c r="J836" s="8" t="s">
        <v>3045</v>
      </c>
      <c r="K836" s="8" t="s">
        <v>4320</v>
      </c>
      <c r="L836" s="9" t="s">
        <v>2984</v>
      </c>
      <c r="M836" s="10">
        <v>46238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-435.1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435.1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3">
      <c r="A837" s="1" t="s">
        <v>4966</v>
      </c>
      <c r="B837" s="21" t="s">
        <v>4965</v>
      </c>
      <c r="C837" s="1">
        <v>1</v>
      </c>
      <c r="D837" s="1" t="s">
        <v>4968</v>
      </c>
      <c r="E837" s="7">
        <v>4492</v>
      </c>
      <c r="F837" s="7">
        <v>47</v>
      </c>
      <c r="G837" s="1">
        <v>670.6</v>
      </c>
      <c r="H837" s="34">
        <f>Tabela1[[#This Row],[PESO UNI]]*Tabela1[[#This Row],[QTE]]</f>
        <v>670.6</v>
      </c>
      <c r="I837" s="7">
        <v>0</v>
      </c>
      <c r="J837" s="8" t="s">
        <v>3045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-670.6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670.6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3">
      <c r="A838" s="1" t="s">
        <v>4978</v>
      </c>
      <c r="B838" s="21" t="s">
        <v>4979</v>
      </c>
      <c r="C838" s="1">
        <v>4</v>
      </c>
      <c r="D838" s="1" t="s">
        <v>4980</v>
      </c>
      <c r="E838" s="7">
        <v>4493</v>
      </c>
      <c r="F838" s="7">
        <v>48</v>
      </c>
      <c r="G838" s="1">
        <v>8.9</v>
      </c>
      <c r="H838" s="34">
        <f>Tabela1[[#This Row],[PESO UNI]]*Tabela1[[#This Row],[QTE]]</f>
        <v>35.6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-4</v>
      </c>
      <c r="R838" s="18">
        <f t="shared" ref="R838" si="349">IFERROR(H838*((AA838*0.25)+(AC838*0.25)+(AD838*0.225)+(AE838*0.225)+(AF838*0.05)),"")</f>
        <v>0</v>
      </c>
      <c r="S838" s="18">
        <f t="shared" ref="S838" si="350">IFERROR(H838*AG838,"")</f>
        <v>0</v>
      </c>
      <c r="T838" s="19">
        <f t="shared" ref="T838" si="351">IFERROR(S838-H838,"")</f>
        <v>-35.6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ref="Y838" si="352">U838-C838</f>
        <v>-4</v>
      </c>
      <c r="Z838" s="20">
        <f>Tabela1[[#This Row],[PESO TOTAL]]-Tabela1[[#This Row],[Peso Expedido]]</f>
        <v>35.6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3">
      <c r="A839" s="1" t="s">
        <v>4978</v>
      </c>
      <c r="B839" s="21" t="s">
        <v>4979</v>
      </c>
      <c r="C839" s="1">
        <v>1</v>
      </c>
      <c r="D839" s="1" t="s">
        <v>4981</v>
      </c>
      <c r="E839" s="7">
        <v>4494</v>
      </c>
      <c r="F839" s="7">
        <v>48</v>
      </c>
      <c r="G839" s="1">
        <v>325</v>
      </c>
      <c r="H839" s="34">
        <f>Tabela1[[#This Row],[PESO UNI]]*Tabela1[[#This Row],[QTE]]</f>
        <v>325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ref="R839:R849" si="353">IFERROR(H839*((AA839*0.25)+(AC839*0.25)+(AD839*0.225)+(AE839*0.225)+(AF839*0.05)),"")</f>
        <v>0</v>
      </c>
      <c r="S839" s="18">
        <f t="shared" ref="S839:S849" si="354">IFERROR(H839*AG839,"")</f>
        <v>0</v>
      </c>
      <c r="T839" s="19">
        <f t="shared" ref="T839:T849" si="355">IFERROR(S839-H839,"")</f>
        <v>-325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ref="Y839:Y849" si="356">U839-C839</f>
        <v>-1</v>
      </c>
      <c r="Z839" s="20">
        <f>Tabela1[[#This Row],[PESO TOTAL]]-Tabela1[[#This Row],[Peso Expedido]]</f>
        <v>325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3">
      <c r="A840" s="1" t="s">
        <v>2277</v>
      </c>
      <c r="B840" s="21"/>
      <c r="C840" s="1">
        <v>4</v>
      </c>
      <c r="D840" s="1" t="s">
        <v>4984</v>
      </c>
      <c r="E840" s="7">
        <v>4495</v>
      </c>
      <c r="F840" s="7">
        <v>12</v>
      </c>
      <c r="G840" s="1">
        <v>2.7</v>
      </c>
      <c r="H840" s="34">
        <f>Tabela1[[#This Row],[PESO UNI]]*Tabela1[[#This Row],[QTE]]</f>
        <v>10.8</v>
      </c>
      <c r="I840" s="7">
        <v>1</v>
      </c>
      <c r="J840" s="8" t="s">
        <v>4834</v>
      </c>
      <c r="K840" s="8" t="s">
        <v>33</v>
      </c>
      <c r="L840" s="9" t="s">
        <v>3291</v>
      </c>
      <c r="M840" s="10">
        <v>46239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353"/>
        <v>0</v>
      </c>
      <c r="S840" s="18">
        <f t="shared" si="354"/>
        <v>0</v>
      </c>
      <c r="T840" s="19">
        <f t="shared" si="355"/>
        <v>-10.8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356"/>
        <v>-4</v>
      </c>
      <c r="Z840" s="20">
        <f>Tabela1[[#This Row],[PESO TOTAL]]-Tabela1[[#This Row],[Peso Expedido]]</f>
        <v>10.8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3">
      <c r="A841" s="1" t="s">
        <v>4985</v>
      </c>
      <c r="B841" s="21"/>
      <c r="C841" s="1">
        <v>32</v>
      </c>
      <c r="D841" s="1" t="s">
        <v>4986</v>
      </c>
      <c r="E841" s="7">
        <v>4496</v>
      </c>
      <c r="F841" s="7">
        <v>12</v>
      </c>
      <c r="G841" s="1">
        <v>58.3</v>
      </c>
      <c r="H841" s="34">
        <f>Tabela1[[#This Row],[PESO UNI]]*Tabela1[[#This Row],[QTE]]</f>
        <v>1865.6</v>
      </c>
      <c r="I841" s="7">
        <v>0</v>
      </c>
      <c r="J841" s="8" t="s">
        <v>4834</v>
      </c>
      <c r="K841" s="8" t="s">
        <v>33</v>
      </c>
      <c r="L841" s="9" t="s">
        <v>3291</v>
      </c>
      <c r="M841" s="10">
        <v>46239</v>
      </c>
      <c r="N841" s="8" t="s">
        <v>38</v>
      </c>
      <c r="O841" s="12"/>
      <c r="P841" s="13"/>
      <c r="Q841" s="14">
        <f>Tabela1[[#This Row],[QTDE/ Fabricação]]-Tabela1[[#This Row],[QTE]]</f>
        <v>-32</v>
      </c>
      <c r="R841" s="18">
        <f t="shared" si="353"/>
        <v>0</v>
      </c>
      <c r="S841" s="18">
        <f t="shared" si="354"/>
        <v>0</v>
      </c>
      <c r="T841" s="19">
        <f t="shared" si="355"/>
        <v>-1865.6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356"/>
        <v>-32</v>
      </c>
      <c r="Z841" s="20">
        <f>Tabela1[[#This Row],[PESO TOTAL]]-Tabela1[[#This Row],[Peso Expedido]]</f>
        <v>1865.6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3">
      <c r="A842" s="1" t="s">
        <v>4987</v>
      </c>
      <c r="B842" s="21"/>
      <c r="C842" s="1">
        <v>11</v>
      </c>
      <c r="D842" s="1" t="s">
        <v>4988</v>
      </c>
      <c r="E842" s="7">
        <v>4497</v>
      </c>
      <c r="F842" s="7">
        <v>12</v>
      </c>
      <c r="G842" s="1">
        <v>58.3</v>
      </c>
      <c r="H842" s="34">
        <f>Tabela1[[#This Row],[PESO UNI]]*Tabela1[[#This Row],[QTE]]</f>
        <v>641.29999999999995</v>
      </c>
      <c r="I842" s="7">
        <v>0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-11</v>
      </c>
      <c r="R842" s="18">
        <f t="shared" si="353"/>
        <v>0</v>
      </c>
      <c r="S842" s="18">
        <f t="shared" si="354"/>
        <v>0</v>
      </c>
      <c r="T842" s="19">
        <f t="shared" si="355"/>
        <v>-641.29999999999995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56"/>
        <v>-11</v>
      </c>
      <c r="Z842" s="20">
        <f>Tabela1[[#This Row],[PESO TOTAL]]-Tabela1[[#This Row],[Peso Expedido]]</f>
        <v>641.29999999999995</v>
      </c>
      <c r="AA842" s="17"/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3">
      <c r="A843" s="1" t="s">
        <v>4989</v>
      </c>
      <c r="B843" s="21"/>
      <c r="C843" s="1">
        <v>4</v>
      </c>
      <c r="D843" s="1" t="s">
        <v>4990</v>
      </c>
      <c r="E843" s="7">
        <v>4498</v>
      </c>
      <c r="F843" s="7">
        <v>12</v>
      </c>
      <c r="G843" s="1">
        <v>32.299999999999997</v>
      </c>
      <c r="H843" s="34">
        <f>Tabela1[[#This Row],[PESO UNI]]*Tabela1[[#This Row],[QTE]]</f>
        <v>129.19999999999999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si="353"/>
        <v>0</v>
      </c>
      <c r="S843" s="18">
        <f t="shared" si="354"/>
        <v>0</v>
      </c>
      <c r="T843" s="19">
        <f t="shared" si="355"/>
        <v>-129.19999999999999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56"/>
        <v>-4</v>
      </c>
      <c r="Z843" s="20">
        <f>Tabela1[[#This Row],[PESO TOTAL]]-Tabela1[[#This Row],[Peso Expedido]]</f>
        <v>129.19999999999999</v>
      </c>
      <c r="AA843" s="17"/>
      <c r="AB843" s="33"/>
      <c r="AC843" s="33"/>
      <c r="AD843" s="33"/>
      <c r="AE843" s="33"/>
      <c r="AF843" s="33"/>
      <c r="AG843" s="33"/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3">
      <c r="A844" s="1" t="s">
        <v>4989</v>
      </c>
      <c r="B844" s="21"/>
      <c r="C844" s="1">
        <v>4</v>
      </c>
      <c r="D844" s="1" t="s">
        <v>4991</v>
      </c>
      <c r="E844" s="7">
        <v>4499</v>
      </c>
      <c r="F844" s="7">
        <v>12</v>
      </c>
      <c r="G844" s="1">
        <v>28.3</v>
      </c>
      <c r="H844" s="34">
        <f>Tabela1[[#This Row],[PESO UNI]]*Tabela1[[#This Row],[QTE]]</f>
        <v>113.2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-4</v>
      </c>
      <c r="R844" s="18">
        <f t="shared" si="353"/>
        <v>0</v>
      </c>
      <c r="S844" s="18">
        <f t="shared" si="354"/>
        <v>0</v>
      </c>
      <c r="T844" s="19">
        <f t="shared" si="355"/>
        <v>-113.2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56"/>
        <v>-4</v>
      </c>
      <c r="Z844" s="20">
        <f>Tabela1[[#This Row],[PESO TOTAL]]-Tabela1[[#This Row],[Peso Expedido]]</f>
        <v>113.2</v>
      </c>
      <c r="AA844" s="17"/>
      <c r="AB844" s="33"/>
      <c r="AC844" s="33"/>
      <c r="AD844" s="33"/>
      <c r="AE844" s="33"/>
      <c r="AF844" s="33"/>
      <c r="AG844" s="33"/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3">
      <c r="A845" s="1" t="s">
        <v>4989</v>
      </c>
      <c r="B845" s="21"/>
      <c r="C845" s="1">
        <v>4</v>
      </c>
      <c r="D845" s="1" t="s">
        <v>4992</v>
      </c>
      <c r="E845" s="7">
        <v>4500</v>
      </c>
      <c r="F845" s="7">
        <v>12</v>
      </c>
      <c r="G845" s="1">
        <v>28.3</v>
      </c>
      <c r="H845" s="34">
        <f>Tabela1[[#This Row],[PESO UNI]]*Tabela1[[#This Row],[QTE]]</f>
        <v>113.2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53"/>
        <v>0</v>
      </c>
      <c r="S845" s="18">
        <f t="shared" si="354"/>
        <v>0</v>
      </c>
      <c r="T845" s="19">
        <f t="shared" si="355"/>
        <v>-113.2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56"/>
        <v>-4</v>
      </c>
      <c r="Z845" s="20">
        <f>Tabela1[[#This Row],[PESO TOTAL]]-Tabela1[[#This Row],[Peso Expedido]]</f>
        <v>113.2</v>
      </c>
      <c r="AA845" s="17"/>
      <c r="AB845" s="33"/>
      <c r="AC845" s="33"/>
      <c r="AD845" s="33"/>
      <c r="AE845" s="33"/>
      <c r="AF845" s="33"/>
      <c r="AG845" s="33"/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3">
      <c r="A846" s="1" t="s">
        <v>4989</v>
      </c>
      <c r="B846" s="21"/>
      <c r="C846" s="1">
        <v>8</v>
      </c>
      <c r="D846" s="1" t="s">
        <v>4993</v>
      </c>
      <c r="E846" s="7">
        <v>4501</v>
      </c>
      <c r="F846" s="7">
        <v>12</v>
      </c>
      <c r="G846" s="1">
        <v>28.3</v>
      </c>
      <c r="H846" s="34">
        <f>Tabela1[[#This Row],[PESO UNI]]*Tabela1[[#This Row],[QTE]]</f>
        <v>226.4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-8</v>
      </c>
      <c r="R846" s="18">
        <f t="shared" si="353"/>
        <v>0</v>
      </c>
      <c r="S846" s="18">
        <f t="shared" si="354"/>
        <v>0</v>
      </c>
      <c r="T846" s="19">
        <f t="shared" si="355"/>
        <v>-226.4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56"/>
        <v>-8</v>
      </c>
      <c r="Z846" s="20">
        <f>Tabela1[[#This Row],[PESO TOTAL]]-Tabela1[[#This Row],[Peso Expedido]]</f>
        <v>226.4</v>
      </c>
      <c r="AA846" s="17"/>
      <c r="AB846" s="33"/>
      <c r="AC846" s="33"/>
      <c r="AD846" s="33"/>
      <c r="AE846" s="33"/>
      <c r="AF846" s="33"/>
      <c r="AG846" s="33"/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3">
      <c r="A847" s="1" t="s">
        <v>4994</v>
      </c>
      <c r="B847" s="21"/>
      <c r="C847" s="1">
        <v>4</v>
      </c>
      <c r="D847" s="1" t="s">
        <v>4995</v>
      </c>
      <c r="E847" s="7">
        <v>4502</v>
      </c>
      <c r="F847" s="7">
        <v>12</v>
      </c>
      <c r="G847" s="1">
        <v>18.399999999999999</v>
      </c>
      <c r="H847" s="34">
        <f>Tabela1[[#This Row],[PESO UNI]]*Tabela1[[#This Row],[QTE]]</f>
        <v>73.599999999999994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53"/>
        <v>0</v>
      </c>
      <c r="S847" s="18">
        <f t="shared" si="354"/>
        <v>0</v>
      </c>
      <c r="T847" s="19">
        <f t="shared" si="355"/>
        <v>-73.599999999999994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56"/>
        <v>-4</v>
      </c>
      <c r="Z847" s="20">
        <f>Tabela1[[#This Row],[PESO TOTAL]]-Tabela1[[#This Row],[Peso Expedido]]</f>
        <v>73.599999999999994</v>
      </c>
      <c r="AA847" s="17"/>
      <c r="AB847" s="33"/>
      <c r="AC847" s="33"/>
      <c r="AD847" s="33"/>
      <c r="AE847" s="33"/>
      <c r="AF847" s="33"/>
      <c r="AG847" s="33"/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3">
      <c r="A848" s="1" t="s">
        <v>4994</v>
      </c>
      <c r="B848" s="21"/>
      <c r="C848" s="1">
        <v>4</v>
      </c>
      <c r="D848" s="1" t="s">
        <v>4996</v>
      </c>
      <c r="E848" s="7">
        <v>4502</v>
      </c>
      <c r="F848" s="7">
        <v>12</v>
      </c>
      <c r="G848" s="1">
        <v>30.9</v>
      </c>
      <c r="H848" s="34">
        <f>Tabela1[[#This Row],[PESO UNI]]*Tabela1[[#This Row],[QTE]]</f>
        <v>123.6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353"/>
        <v>0</v>
      </c>
      <c r="S848" s="18">
        <f t="shared" si="354"/>
        <v>0</v>
      </c>
      <c r="T848" s="19">
        <f t="shared" si="355"/>
        <v>-123.6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56"/>
        <v>-4</v>
      </c>
      <c r="Z848" s="20">
        <f>Tabela1[[#This Row],[PESO TOTAL]]-Tabela1[[#This Row],[Peso Expedido]]</f>
        <v>123.6</v>
      </c>
      <c r="AA848" s="17"/>
      <c r="AB848" s="33"/>
      <c r="AC848" s="33"/>
      <c r="AD848" s="33"/>
      <c r="AE848" s="33"/>
      <c r="AF848" s="33"/>
      <c r="AG848" s="33"/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3">
      <c r="A849" s="1" t="s">
        <v>4997</v>
      </c>
      <c r="B849" s="21"/>
      <c r="C849" s="1">
        <v>1</v>
      </c>
      <c r="D849" s="1" t="s">
        <v>4998</v>
      </c>
      <c r="E849" s="7">
        <v>4503</v>
      </c>
      <c r="F849" s="7">
        <v>12</v>
      </c>
      <c r="G849" s="1">
        <v>27</v>
      </c>
      <c r="H849" s="34">
        <f>Tabela1[[#This Row],[PESO UNI]]*Tabela1[[#This Row],[QTE]]</f>
        <v>27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-1</v>
      </c>
      <c r="R849" s="18">
        <f t="shared" si="353"/>
        <v>0</v>
      </c>
      <c r="S849" s="18">
        <f t="shared" si="354"/>
        <v>0</v>
      </c>
      <c r="T849" s="19">
        <f t="shared" si="355"/>
        <v>-27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56"/>
        <v>-1</v>
      </c>
      <c r="Z849" s="20">
        <f>Tabela1[[#This Row],[PESO TOTAL]]-Tabela1[[#This Row],[Peso Expedido]]</f>
        <v>27</v>
      </c>
      <c r="AA849" s="17"/>
      <c r="AB849" s="33"/>
      <c r="AC849" s="33"/>
      <c r="AD849" s="33"/>
      <c r="AE849" s="33"/>
      <c r="AF849" s="33"/>
      <c r="AG849" s="33"/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3">
      <c r="A850" s="1" t="s">
        <v>4999</v>
      </c>
      <c r="B850" s="21"/>
      <c r="C850" s="1">
        <v>14</v>
      </c>
      <c r="D850" s="1" t="s">
        <v>5000</v>
      </c>
      <c r="E850" s="7">
        <v>4504</v>
      </c>
      <c r="F850" s="7">
        <v>12</v>
      </c>
      <c r="G850" s="1">
        <v>7</v>
      </c>
      <c r="H850" s="34">
        <f>Tabela1[[#This Row],[PESO UNI]]*Tabela1[[#This Row],[QTE]]</f>
        <v>98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-14</v>
      </c>
      <c r="R850" s="18">
        <f>IFERROR(H850*((AA850*0.25)+(AC850*0.25)+(AD850*0.225)+(AE850*0.225)+(AF850*0.05)),"")</f>
        <v>0</v>
      </c>
      <c r="S850" s="18">
        <f>IFERROR(H850*AG850,"")</f>
        <v>0</v>
      </c>
      <c r="T850" s="19">
        <f>IFERROR(S850-H850,"")</f>
        <v>-98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>U850-C850</f>
        <v>-14</v>
      </c>
      <c r="Z850" s="20">
        <f>Tabela1[[#This Row],[PESO TOTAL]]-Tabela1[[#This Row],[Peso Expedido]]</f>
        <v>98</v>
      </c>
      <c r="AA850" s="17"/>
      <c r="AB850" s="33"/>
      <c r="AC850" s="33"/>
      <c r="AD850" s="33"/>
      <c r="AE850" s="33"/>
      <c r="AF850" s="33"/>
      <c r="AG850" s="33"/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3">
      <c r="A851" s="1" t="s">
        <v>5001</v>
      </c>
      <c r="B851" s="21" t="s">
        <v>5002</v>
      </c>
      <c r="C851" s="1">
        <v>1</v>
      </c>
      <c r="D851" s="1" t="s">
        <v>5003</v>
      </c>
      <c r="E851" s="7">
        <v>4505</v>
      </c>
      <c r="F851" s="7">
        <v>49</v>
      </c>
      <c r="G851" s="1">
        <v>355.2</v>
      </c>
      <c r="H851" s="34">
        <f>Tabela1[[#This Row],[PESO UNI]]*Tabela1[[#This Row],[QTE]]</f>
        <v>355.2</v>
      </c>
      <c r="I851" s="7">
        <v>0</v>
      </c>
      <c r="J851" s="8" t="s">
        <v>3093</v>
      </c>
      <c r="K851" s="8" t="s">
        <v>4320</v>
      </c>
      <c r="L851" s="9" t="s">
        <v>2984</v>
      </c>
      <c r="M851" s="10">
        <v>46240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ref="R851:R852" si="357">IFERROR(H851*((AA851*0.25)+(AC851*0.25)+(AD851*0.225)+(AE851*0.225)+(AF851*0.05)),"")</f>
        <v>0</v>
      </c>
      <c r="S851" s="18">
        <f t="shared" ref="S851:S852" si="358">IFERROR(H851*AG851,"")</f>
        <v>0</v>
      </c>
      <c r="T851" s="19">
        <f t="shared" ref="T851:T852" si="359">IFERROR(S851-H851,"")</f>
        <v>-355.2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ref="Y851:Y852" si="360">U851-C851</f>
        <v>-1</v>
      </c>
      <c r="Z851" s="20">
        <f>Tabela1[[#This Row],[PESO TOTAL]]-Tabela1[[#This Row],[Peso Expedido]]</f>
        <v>355.2</v>
      </c>
      <c r="AA851" s="17"/>
      <c r="AB851" s="33"/>
      <c r="AC851" s="33"/>
      <c r="AD851" s="33"/>
      <c r="AE851" s="33"/>
      <c r="AF851" s="33"/>
      <c r="AG851" s="33"/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3">
      <c r="A852" s="1" t="s">
        <v>5001</v>
      </c>
      <c r="B852" s="21" t="s">
        <v>5002</v>
      </c>
      <c r="C852" s="1">
        <v>2</v>
      </c>
      <c r="D852" s="1" t="s">
        <v>5004</v>
      </c>
      <c r="E852" s="7">
        <v>4506</v>
      </c>
      <c r="F852" s="7">
        <v>49</v>
      </c>
      <c r="G852" s="1">
        <v>40.6</v>
      </c>
      <c r="H852" s="34">
        <f>Tabela1[[#This Row],[PESO UNI]]*Tabela1[[#This Row],[QTE]]</f>
        <v>81.2</v>
      </c>
      <c r="I852" s="7">
        <v>0</v>
      </c>
      <c r="J852" s="8" t="s">
        <v>3093</v>
      </c>
      <c r="K852" s="8" t="s">
        <v>4320</v>
      </c>
      <c r="L852" s="9" t="s">
        <v>2984</v>
      </c>
      <c r="M852" s="10">
        <v>46240</v>
      </c>
      <c r="N852" s="8" t="s">
        <v>38</v>
      </c>
      <c r="O852" s="12"/>
      <c r="P852" s="13"/>
      <c r="Q852" s="14">
        <f>Tabela1[[#This Row],[QTDE/ Fabricação]]-Tabela1[[#This Row],[QTE]]</f>
        <v>-2</v>
      </c>
      <c r="R852" s="18">
        <f t="shared" si="357"/>
        <v>0</v>
      </c>
      <c r="S852" s="18">
        <f t="shared" si="358"/>
        <v>0</v>
      </c>
      <c r="T852" s="19">
        <f t="shared" si="359"/>
        <v>-81.2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360"/>
        <v>-2</v>
      </c>
      <c r="Z852" s="20">
        <f>Tabela1[[#This Row],[PESO TOTAL]]-Tabela1[[#This Row],[Peso Expedido]]</f>
        <v>81.2</v>
      </c>
      <c r="AA852" s="17"/>
      <c r="AB852" s="33"/>
      <c r="AC852" s="33"/>
      <c r="AD852" s="33"/>
      <c r="AE852" s="33"/>
      <c r="AF852" s="33"/>
      <c r="AG852" s="33"/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3">
      <c r="A853" s="1" t="s">
        <v>5001</v>
      </c>
      <c r="B853" s="21" t="s">
        <v>5002</v>
      </c>
      <c r="C853" s="1">
        <v>2</v>
      </c>
      <c r="D853" s="1" t="s">
        <v>5005</v>
      </c>
      <c r="E853" s="7">
        <v>4507</v>
      </c>
      <c r="F853" s="7">
        <v>49</v>
      </c>
      <c r="G853" s="1">
        <v>106.4</v>
      </c>
      <c r="H853" s="34">
        <f>Tabela1[[#This Row],[PESO UNI]]*Tabela1[[#This Row],[QTE]]</f>
        <v>212.8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-2</v>
      </c>
      <c r="R853" s="18">
        <f>IFERROR(H853*((AA853*0.25)+(AC853*0.25)+(AD853*0.225)+(AE853*0.225)+(AF853*0.05)),"")</f>
        <v>0</v>
      </c>
      <c r="S853" s="18">
        <f>IFERROR(H853*AG853,"")</f>
        <v>0</v>
      </c>
      <c r="T853" s="19">
        <f>IFERROR(S853-H853,"")</f>
        <v>-212.8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>U853-C853</f>
        <v>-2</v>
      </c>
      <c r="Z853" s="20">
        <f>Tabela1[[#This Row],[PESO TOTAL]]-Tabela1[[#This Row],[Peso Expedido]]</f>
        <v>212.8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3">
      <c r="A854" s="1" t="s">
        <v>5006</v>
      </c>
      <c r="B854" s="21" t="s">
        <v>5007</v>
      </c>
      <c r="C854" s="1">
        <v>1</v>
      </c>
      <c r="D854" s="1" t="s">
        <v>5008</v>
      </c>
      <c r="E854" s="7">
        <v>4508</v>
      </c>
      <c r="F854" s="7">
        <v>50</v>
      </c>
      <c r="G854" s="1">
        <v>435.1</v>
      </c>
      <c r="H854" s="34">
        <f>Tabela1[[#This Row],[PESO UNI]]*Tabela1[[#This Row],[QTE]]</f>
        <v>435.1</v>
      </c>
      <c r="I854" s="7">
        <v>0</v>
      </c>
      <c r="J854" s="8" t="s">
        <v>3045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>IFERROR(H854*((AA854*0.25)+(AC854*0.25)+(AD854*0.225)+(AE854*0.225)+(AF854*0.05)),"")</f>
        <v>0</v>
      </c>
      <c r="S854" s="18">
        <f>IFERROR(H854*AG854,"")</f>
        <v>0</v>
      </c>
      <c r="T854" s="19">
        <f>IFERROR(S854-H854,"")</f>
        <v>-435.1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>U854-C854</f>
        <v>-1</v>
      </c>
      <c r="Z854" s="20">
        <f>Tabela1[[#This Row],[PESO TOTAL]]-Tabela1[[#This Row],[Peso Expedido]]</f>
        <v>435.1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3">
      <c r="A855" s="1" t="s">
        <v>5009</v>
      </c>
      <c r="B855" s="21" t="s">
        <v>5010</v>
      </c>
      <c r="C855" s="1">
        <v>2</v>
      </c>
      <c r="D855" s="1" t="s">
        <v>5011</v>
      </c>
      <c r="E855" s="7">
        <v>4509</v>
      </c>
      <c r="F855" s="7">
        <v>51</v>
      </c>
      <c r="G855" s="1">
        <v>43.6</v>
      </c>
      <c r="H855" s="34">
        <f>Tabela1[[#This Row],[PESO UNI]]*Tabela1[[#This Row],[QTE]]</f>
        <v>87.2</v>
      </c>
      <c r="I855" s="7" t="s">
        <v>5016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-87.2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87.2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3">
      <c r="A856" s="1" t="s">
        <v>5009</v>
      </c>
      <c r="B856" s="21" t="s">
        <v>5010</v>
      </c>
      <c r="C856" s="1">
        <v>1</v>
      </c>
      <c r="D856" s="1" t="s">
        <v>5012</v>
      </c>
      <c r="E856" s="7">
        <v>4510</v>
      </c>
      <c r="F856" s="7">
        <v>51</v>
      </c>
      <c r="G856" s="1">
        <v>72</v>
      </c>
      <c r="H856" s="34">
        <f>Tabela1[[#This Row],[PESO UNI]]*Tabela1[[#This Row],[QTE]]</f>
        <v>72</v>
      </c>
      <c r="I856" s="7" t="s">
        <v>5016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ref="R856:R857" si="361">IFERROR(H856*((AA856*0.25)+(AC856*0.25)+(AD856*0.225)+(AE856*0.225)+(AF856*0.05)),"")</f>
        <v>0</v>
      </c>
      <c r="S856" s="18">
        <f t="shared" ref="S856:S857" si="362">IFERROR(H856*AG856,"")</f>
        <v>0</v>
      </c>
      <c r="T856" s="19">
        <f t="shared" ref="T856:T857" si="363">IFERROR(S856-H856,"")</f>
        <v>-72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ref="Y856:Y857" si="364">U856-C856</f>
        <v>-1</v>
      </c>
      <c r="Z856" s="20">
        <f>Tabela1[[#This Row],[PESO TOTAL]]-Tabela1[[#This Row],[Peso Expedido]]</f>
        <v>72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3">
      <c r="A857" s="1" t="s">
        <v>5009</v>
      </c>
      <c r="B857" s="21" t="s">
        <v>5010</v>
      </c>
      <c r="C857" s="1">
        <v>2</v>
      </c>
      <c r="D857" s="1" t="s">
        <v>5013</v>
      </c>
      <c r="E857" s="7">
        <v>4511</v>
      </c>
      <c r="F857" s="7">
        <v>51</v>
      </c>
      <c r="G857" s="1">
        <v>6.3</v>
      </c>
      <c r="H857" s="34">
        <f>Tabela1[[#This Row],[PESO UNI]]*Tabela1[[#This Row],[QTE]]</f>
        <v>12.6</v>
      </c>
      <c r="I857" s="7" t="s">
        <v>5016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361"/>
        <v>0</v>
      </c>
      <c r="S857" s="18">
        <f t="shared" si="362"/>
        <v>0</v>
      </c>
      <c r="T857" s="19">
        <f t="shared" si="363"/>
        <v>-12.6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364"/>
        <v>-2</v>
      </c>
      <c r="Z857" s="20">
        <f>Tabela1[[#This Row],[PESO TOTAL]]-Tabela1[[#This Row],[Peso Expedido]]</f>
        <v>12.6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</sheetData>
  <phoneticPr fontId="6" type="noConversion"/>
  <conditionalFormatting sqref="E2:E458 AA29:AH449 AI29:AI459 AA452:AD453 AA454:AB458 AD454:AD458 AA486:AH604 E556:E604 L605 AA762:AJ762 AC762:AE763 E606:E857 J605:J857 AA763:AI857">
    <cfRule type="expression" dxfId="90" priority="158">
      <formula>$AI2="OK"</formula>
    </cfRule>
  </conditionalFormatting>
  <conditionalFormatting sqref="B606:B857 F564:F857 K764:O857 H606:I857">
    <cfRule type="expression" dxfId="89" priority="42">
      <formula>#REF!="OK"</formula>
    </cfRule>
  </conditionalFormatting>
  <conditionalFormatting sqref="H419">
    <cfRule type="expression" dxfId="88" priority="26951">
      <formula>$AI449="OK"</formula>
    </cfRule>
  </conditionalFormatting>
  <conditionalFormatting sqref="H420:H438">
    <cfRule type="expression" dxfId="87" priority="26941">
      <formula>$AI459="OK"</formula>
    </cfRule>
  </conditionalFormatting>
  <conditionalFormatting sqref="H576">
    <cfRule type="expression" dxfId="86" priority="26918">
      <formula>$AI604="OK"</formula>
    </cfRule>
  </conditionalFormatting>
  <conditionalFormatting sqref="K153:K438 K445:K458 L448:L449 L762:O763">
    <cfRule type="expression" dxfId="85" priority="167">
      <formula>#REF!="OK"</formula>
    </cfRule>
  </conditionalFormatting>
  <conditionalFormatting sqref="K762:K763">
    <cfRule type="expression" dxfId="84" priority="50">
      <formula>$AI877="OK"</formula>
    </cfRule>
  </conditionalFormatting>
  <conditionalFormatting sqref="L2:L27 H415:H417">
    <cfRule type="expression" dxfId="83" priority="26694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82" priority="164">
      <formula>$AI72="OK"</formula>
    </cfRule>
  </conditionalFormatting>
  <conditionalFormatting sqref="L408">
    <cfRule type="expression" dxfId="81" priority="26943">
      <formula>$AI449="OK"</formula>
    </cfRule>
  </conditionalFormatting>
  <conditionalFormatting sqref="L409:L438">
    <cfRule type="expression" dxfId="80" priority="26796">
      <formula>$AI459="OK"</formula>
    </cfRule>
  </conditionalFormatting>
  <conditionalFormatting sqref="N2:N458">
    <cfRule type="expression" dxfId="79" priority="48">
      <formula>#REF!="OK"</formula>
    </cfRule>
  </conditionalFormatting>
  <conditionalFormatting sqref="O450:O458">
    <cfRule type="cellIs" dxfId="78" priority="113" operator="lessThan">
      <formula>0</formula>
    </cfRule>
  </conditionalFormatting>
  <conditionalFormatting sqref="O450:P452 H449 R449 A450:D452 F450:F452 M450:M452 H450:J458 P457:P458">
    <cfRule type="expression" dxfId="77" priority="26752">
      <formula>$AI503="OK"</formula>
    </cfRule>
  </conditionalFormatting>
  <conditionalFormatting sqref="O453:P453">
    <cfRule type="expression" dxfId="76" priority="124">
      <formula>#REF!="OK"</formula>
    </cfRule>
  </conditionalFormatting>
  <conditionalFormatting sqref="O2:Z27 A2:D27 F2:F27 H2:K27 M2:M27 H153:H413 H459:H571">
    <cfRule type="expression" dxfId="75" priority="26727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74" priority="26425">
      <formula>$AI73="OK"</formula>
    </cfRule>
  </conditionalFormatting>
  <conditionalFormatting sqref="O108:Z108 A108:D108 F108 H108:K108 M108 L109">
    <cfRule type="expression" dxfId="73" priority="27060">
      <formula>#REF!="OK"</formula>
    </cfRule>
  </conditionalFormatting>
  <conditionalFormatting sqref="O402:Z402 O406:Z406 A402:D402 F402 I402:J402 M402 L403 A406:D406 F406 I406:J406 M406 L407 H414 H418">
    <cfRule type="expression" dxfId="72" priority="26944">
      <formula>#REF!="OK"</formula>
    </cfRule>
  </conditionalFormatting>
  <conditionalFormatting sqref="O403:Z405 L110:L152 L214:L256 L396:L402 A403:D405 F403:F405 I403:J405 M403:M405">
    <cfRule type="expression" dxfId="71" priority="26631">
      <formula>$AI153="OK"</formula>
    </cfRule>
  </conditionalFormatting>
  <conditionalFormatting sqref="O407:Z407 L404:L406 A407:D407 F407 I407:J407 M407">
    <cfRule type="expression" dxfId="70" priority="26953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69" priority="26766">
      <formula>$AI499="OK"</formula>
    </cfRule>
  </conditionalFormatting>
  <conditionalFormatting sqref="O559:Z562 Z560:Z563 B559:B562 F559:F562 I559:I562 M559:M562 H572:H575">
    <cfRule type="expression" dxfId="68" priority="26881">
      <formula>#REF!="OK"</formula>
    </cfRule>
  </conditionalFormatting>
  <conditionalFormatting sqref="O563:Z563 B563 F563 I563 M563">
    <cfRule type="expression" dxfId="67" priority="26795">
      <formula>$AI604="OK"</formula>
    </cfRule>
  </conditionalFormatting>
  <conditionalFormatting sqref="P835:Z857">
    <cfRule type="expression" dxfId="66" priority="27078">
      <formula>$AI959="OK"</formula>
    </cfRule>
  </conditionalFormatting>
  <conditionalFormatting sqref="Q2:Q456 Q459:Q857">
    <cfRule type="cellIs" dxfId="62" priority="26393" operator="lessThan">
      <formula>0</formula>
    </cfRule>
    <cfRule type="cellIs" dxfId="61" priority="26394" operator="greaterThanOrEqual">
      <formula>0</formula>
    </cfRule>
  </conditionalFormatting>
  <conditionalFormatting sqref="S211">
    <cfRule type="expression" dxfId="60" priority="165">
      <formula>#REF!="OK"</formula>
    </cfRule>
  </conditionalFormatting>
  <conditionalFormatting sqref="S393">
    <cfRule type="expression" dxfId="59" priority="166">
      <formula>#REF!="OK"</formula>
    </cfRule>
  </conditionalFormatting>
  <conditionalFormatting sqref="S447:Z447 O447:Q447 A447:D447 F447 J447 M447 A453:D453 F453 M453 L454:L458">
    <cfRule type="expression" dxfId="58" priority="26751">
      <formula>#REF!="OK"</formula>
    </cfRule>
  </conditionalFormatting>
  <conditionalFormatting sqref="O450:O458 T2:T857 Y2:Z857">
    <cfRule type="cellIs" dxfId="57" priority="114" operator="greaterThanOrEqual">
      <formula>0</formula>
    </cfRule>
  </conditionalFormatting>
  <conditionalFormatting sqref="T2:T857 Y2:Z857">
    <cfRule type="cellIs" dxfId="56" priority="26395" operator="lessThan">
      <formula>0</formula>
    </cfRule>
  </conditionalFormatting>
  <conditionalFormatting sqref="T212:Z212 O212:R212 A212:D212 F212 I212:J212 M212">
    <cfRule type="expression" dxfId="55" priority="26605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54" priority="26493">
      <formula>$AI257="OK"</formula>
    </cfRule>
  </conditionalFormatting>
  <conditionalFormatting sqref="T394:Z394 O394:R394 A394:D394 F394 I394:J394 M394 L395">
    <cfRule type="expression" dxfId="53" priority="26656">
      <formula>#REF!="OK"</formula>
    </cfRule>
  </conditionalFormatting>
  <conditionalFormatting sqref="T408:Z438 O408:R438 S408:S437 A408:D438 F408:F438 I408:J438 M408:M438 L439:L445">
    <cfRule type="expression" dxfId="52" priority="27037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1" priority="26946">
      <formula>$AI490="OK"</formula>
    </cfRule>
  </conditionalFormatting>
  <conditionalFormatting sqref="T605:Z605 Q605:R605 H605">
    <cfRule type="expression" dxfId="50" priority="26933">
      <formula>$AI669="OK"</formula>
    </cfRule>
  </conditionalFormatting>
  <conditionalFormatting sqref="V450:Y451 R450:T458 V452:Z458">
    <cfRule type="expression" dxfId="49" priority="26851">
      <formula>$AI487="OK"</formula>
    </cfRule>
  </conditionalFormatting>
  <conditionalFormatting sqref="Z450:Z451 O564:Z622 K623:Z761 K556:K622 B564:B603 I564:I603 M564:M603 H577:H603 A604:D605 H604:J605 L604:N622">
    <cfRule type="expression" dxfId="48" priority="26920">
      <formula>#REF!="OK"</formula>
    </cfRule>
  </conditionalFormatting>
  <conditionalFormatting sqref="Z450:Z451">
    <cfRule type="expression" dxfId="47" priority="97">
      <formula>$AI494="OK"</formula>
    </cfRule>
  </conditionalFormatting>
  <conditionalFormatting sqref="Z564">
    <cfRule type="expression" dxfId="46" priority="26911">
      <formula>$AI604="OK"</formula>
    </cfRule>
  </conditionalFormatting>
  <conditionalFormatting sqref="Z605">
    <cfRule type="expression" dxfId="45" priority="26936">
      <formula>$AI668="OK"</formula>
    </cfRule>
  </conditionalFormatting>
  <conditionalFormatting sqref="AA606:AH761">
    <cfRule type="cellIs" dxfId="44" priority="81" operator="greaterThanOrEqual">
      <formula>1</formula>
    </cfRule>
    <cfRule type="expression" dxfId="43" priority="82">
      <formula>$AI606="OK"</formula>
    </cfRule>
  </conditionalFormatting>
  <conditionalFormatting sqref="AA2:AI28 AA450:AG451 AE452:AG452 AF453:AG458 AA459:AH459 A459:G555 I459:N555 AA460:AI603 J556:J603 L556:L603">
    <cfRule type="expression" dxfId="42" priority="26391">
      <formula>$AI2="OK"</formula>
    </cfRule>
  </conditionalFormatting>
  <conditionalFormatting sqref="AA2:AI28 AA29:AH449 AI29:AI459 AJ153:AW153 AA450:AG451 AE452:AG452 AA452:AD453 AE453 AF453:AG458 AA454:AB458 AD454:AG458 AA459:AH459 AI606:AI761 AA762:AJ857">
    <cfRule type="cellIs" dxfId="41" priority="26392" operator="greaterThanOrEqual">
      <formula>1</formula>
    </cfRule>
  </conditionalFormatting>
  <conditionalFormatting sqref="AA460:AI605">
    <cfRule type="cellIs" dxfId="40" priority="91" operator="greaterThanOrEqual">
      <formula>1</formula>
    </cfRule>
  </conditionalFormatting>
  <conditionalFormatting sqref="AA605:AI605">
    <cfRule type="expression" dxfId="39" priority="92">
      <formula>$AI605="OK"</formula>
    </cfRule>
  </conditionalFormatting>
  <conditionalFormatting sqref="AC454:AC458">
    <cfRule type="expression" dxfId="38" priority="31">
      <formula>$AI454="OK"</formula>
    </cfRule>
    <cfRule type="cellIs" dxfId="37" priority="32" operator="greaterThanOrEqual">
      <formula>1</formula>
    </cfRule>
  </conditionalFormatting>
  <conditionalFormatting sqref="AE453:AE458">
    <cfRule type="expression" dxfId="36" priority="30">
      <formula>$AI453="OK"</formula>
    </cfRule>
  </conditionalFormatting>
  <conditionalFormatting sqref="AF454:AF458">
    <cfRule type="expression" dxfId="35" priority="29">
      <formula>$AI454="OK"</formula>
    </cfRule>
  </conditionalFormatting>
  <conditionalFormatting sqref="AG454:AG458">
    <cfRule type="expression" dxfId="34" priority="28">
      <formula>$AI454="OK"</formula>
    </cfRule>
  </conditionalFormatting>
  <conditionalFormatting sqref="AI486:AI761 N556:N603">
    <cfRule type="expression" dxfId="33" priority="98">
      <formula>$AI486="OK"</formula>
    </cfRule>
  </conditionalFormatting>
  <conditionalFormatting sqref="AJ153:AW153">
    <cfRule type="expression" dxfId="32" priority="169">
      <formula>$AI153="OK"</formula>
    </cfRule>
  </conditionalFormatting>
  <conditionalFormatting sqref="P762:Z857">
    <cfRule type="expression" dxfId="31" priority="27079">
      <formula>$AI887="OK"</formula>
    </cfRule>
  </conditionalFormatting>
  <conditionalFormatting sqref="P851:Z851">
    <cfRule type="expression" dxfId="30" priority="27083">
      <formula>$AI975="OK"</formula>
    </cfRule>
    <cfRule type="expression" dxfId="29" priority="27084">
      <formula>$AI976="OK"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9"/>
  <sheetViews>
    <sheetView topLeftCell="A12" workbookViewId="0">
      <selection activeCell="E24" sqref="E24"/>
    </sheetView>
  </sheetViews>
  <sheetFormatPr defaultRowHeight="14.4" x14ac:dyDescent="0.3"/>
  <cols>
    <col min="2" max="2" width="50" bestFit="1" customWidth="1"/>
    <col min="3" max="3" width="29.88671875" customWidth="1"/>
    <col min="4" max="4" width="24.44140625" bestFit="1" customWidth="1"/>
    <col min="5" max="5" width="56.5546875" customWidth="1"/>
    <col min="6" max="6" width="17.33203125" bestFit="1" customWidth="1"/>
  </cols>
  <sheetData>
    <row r="1" spans="1:6" ht="15" customHeight="1" x14ac:dyDescent="0.3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3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3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3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28.8" x14ac:dyDescent="0.3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28.8" x14ac:dyDescent="0.3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2" x14ac:dyDescent="0.3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3">
      <c r="A8" s="187">
        <v>203</v>
      </c>
      <c r="B8" s="188" t="s">
        <v>4983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3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3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28.8" x14ac:dyDescent="0.3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3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3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2" customHeight="1" x14ac:dyDescent="0.3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3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3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28.8" x14ac:dyDescent="0.3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3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3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6" x14ac:dyDescent="0.3"/>
  <cols>
    <col min="1" max="2" width="2.5546875" style="89" customWidth="1"/>
    <col min="3" max="3" width="59.33203125" style="89" customWidth="1"/>
    <col min="4" max="4" width="107.5546875" style="89" bestFit="1" customWidth="1"/>
    <col min="5" max="5" width="94.44140625" style="101" bestFit="1" customWidth="1"/>
    <col min="6" max="6" width="42.109375" style="89" customWidth="1"/>
    <col min="7" max="7" width="71.5546875" style="89" bestFit="1" customWidth="1"/>
    <col min="8" max="8" width="66.44140625" style="102" customWidth="1"/>
    <col min="9" max="9" width="107.5546875" style="100" bestFit="1" customWidth="1"/>
    <col min="10" max="10" width="60.44140625" style="89" customWidth="1"/>
    <col min="11" max="13" width="50.6640625" style="89" customWidth="1"/>
    <col min="14" max="14" width="59" style="89" customWidth="1"/>
    <col min="15" max="15" width="56.6640625" style="89" customWidth="1"/>
    <col min="16" max="18" width="50.6640625" style="89" customWidth="1"/>
    <col min="19" max="19" width="50.6640625" style="89" hidden="1" customWidth="1"/>
    <col min="20" max="20" width="50.6640625" style="89" customWidth="1"/>
    <col min="21" max="21" width="57.5546875" style="89" customWidth="1"/>
    <col min="22" max="22" width="98.88671875" style="89" bestFit="1" customWidth="1"/>
    <col min="23" max="23" width="59.6640625" style="89" hidden="1" customWidth="1"/>
    <col min="24" max="24" width="54.88671875" style="89" hidden="1" customWidth="1"/>
    <col min="25" max="25" width="49.88671875" style="89" hidden="1" customWidth="1"/>
    <col min="26" max="26" width="42.44140625" style="89" hidden="1" customWidth="1"/>
    <col min="27" max="27" width="73.44140625" style="89" hidden="1" customWidth="1"/>
    <col min="28" max="28" width="71.5546875" style="89" hidden="1" customWidth="1"/>
    <col min="29" max="29" width="34.88671875" style="89" hidden="1" customWidth="1"/>
    <col min="30" max="30" width="59.10937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4140625" style="89" customWidth="1"/>
    <col min="36" max="36" width="8.5546875" customWidth="1"/>
  </cols>
  <sheetData>
    <row r="1" spans="1:35" ht="15" thickBot="1" x14ac:dyDescent="0.35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2" x14ac:dyDescent="0.85">
      <c r="A2" s="67"/>
      <c r="B2" s="67"/>
      <c r="C2" s="279" t="e" vm="1">
        <v>#VALUE!</v>
      </c>
      <c r="D2" s="280"/>
      <c r="E2" s="283" t="s">
        <v>320</v>
      </c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87" t="s">
        <v>246</v>
      </c>
      <c r="V2" s="277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9">
      <c r="A3" s="62"/>
      <c r="B3" s="62"/>
      <c r="C3" s="281"/>
      <c r="D3" s="282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6"/>
      <c r="U3" s="288"/>
      <c r="V3" s="278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9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9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85">
      <c r="A6" s="62"/>
      <c r="B6" s="62"/>
      <c r="C6" s="242" t="s">
        <v>2070</v>
      </c>
      <c r="D6" s="245" t="s">
        <v>2069</v>
      </c>
      <c r="E6" s="248" t="s">
        <v>2071</v>
      </c>
      <c r="F6" s="251">
        <v>46183</v>
      </c>
      <c r="G6" s="289">
        <v>46220</v>
      </c>
      <c r="H6" s="26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6">
        <f>T9/T6</f>
        <v>0.88949747289203585</v>
      </c>
      <c r="V6" s="23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2" x14ac:dyDescent="0.85">
      <c r="A7" s="67"/>
      <c r="B7" s="67"/>
      <c r="C7" s="243"/>
      <c r="D7" s="246"/>
      <c r="E7" s="249"/>
      <c r="F7" s="252"/>
      <c r="G7" s="290"/>
      <c r="H7" s="26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7"/>
      <c r="V7" s="24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2" x14ac:dyDescent="0.85">
      <c r="A8" s="67"/>
      <c r="B8" s="67"/>
      <c r="C8" s="243"/>
      <c r="D8" s="246"/>
      <c r="E8" s="249"/>
      <c r="F8" s="252"/>
      <c r="G8" s="290"/>
      <c r="H8" s="26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7"/>
      <c r="V8" s="24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2" x14ac:dyDescent="0.85">
      <c r="A9" s="62"/>
      <c r="B9" s="62"/>
      <c r="C9" s="243"/>
      <c r="D9" s="246"/>
      <c r="E9" s="249"/>
      <c r="F9" s="252"/>
      <c r="G9" s="290"/>
      <c r="H9" s="26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7"/>
      <c r="V9" s="24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9">
      <c r="A10" s="67"/>
      <c r="B10" s="67"/>
      <c r="C10" s="244"/>
      <c r="D10" s="247"/>
      <c r="E10" s="250"/>
      <c r="F10" s="253"/>
      <c r="G10" s="291"/>
      <c r="H10" s="27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8"/>
      <c r="V10" s="24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9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85">
      <c r="A12" s="62"/>
      <c r="B12" s="62"/>
      <c r="C12" s="242" t="s">
        <v>2987</v>
      </c>
      <c r="D12" s="245" t="s">
        <v>2551</v>
      </c>
      <c r="E12" s="248" t="s">
        <v>2986</v>
      </c>
      <c r="F12" s="251">
        <v>46205</v>
      </c>
      <c r="G12" s="289"/>
      <c r="H12" s="274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6">
        <f>T15/T12</f>
        <v>0.76586952907929418</v>
      </c>
      <c r="V12" s="23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2" x14ac:dyDescent="0.85">
      <c r="A13" s="67"/>
      <c r="B13" s="67"/>
      <c r="C13" s="243"/>
      <c r="D13" s="246"/>
      <c r="E13" s="249"/>
      <c r="F13" s="252"/>
      <c r="G13" s="290"/>
      <c r="H13" s="275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7"/>
      <c r="V13" s="24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2" x14ac:dyDescent="0.85">
      <c r="A14" s="67"/>
      <c r="B14" s="67"/>
      <c r="C14" s="243"/>
      <c r="D14" s="246"/>
      <c r="E14" s="249"/>
      <c r="F14" s="252"/>
      <c r="G14" s="290"/>
      <c r="H14" s="275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7"/>
      <c r="V14" s="24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2" x14ac:dyDescent="0.85">
      <c r="A15" s="62"/>
      <c r="B15" s="62"/>
      <c r="C15" s="243"/>
      <c r="D15" s="246"/>
      <c r="E15" s="249"/>
      <c r="F15" s="252"/>
      <c r="G15" s="290"/>
      <c r="H15" s="275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7"/>
      <c r="V15" s="24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9">
      <c r="A16" s="67"/>
      <c r="B16" s="67"/>
      <c r="C16" s="244"/>
      <c r="D16" s="247"/>
      <c r="E16" s="250"/>
      <c r="F16" s="253"/>
      <c r="G16" s="291"/>
      <c r="H16" s="276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8"/>
      <c r="V16" s="24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9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85">
      <c r="A18" s="62"/>
      <c r="B18" s="62"/>
      <c r="C18" s="242" t="s">
        <v>2983</v>
      </c>
      <c r="D18" s="245" t="s">
        <v>2984</v>
      </c>
      <c r="E18" s="248" t="s">
        <v>2985</v>
      </c>
      <c r="F18" s="251">
        <v>46289</v>
      </c>
      <c r="G18" s="289"/>
      <c r="H18" s="25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36">
        <f>T21/T18</f>
        <v>0.57067665125515132</v>
      </c>
      <c r="V18" s="23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2" x14ac:dyDescent="0.85">
      <c r="A19" s="67"/>
      <c r="B19" s="67"/>
      <c r="C19" s="243"/>
      <c r="D19" s="246"/>
      <c r="E19" s="249"/>
      <c r="F19" s="252"/>
      <c r="G19" s="290"/>
      <c r="H19" s="258"/>
      <c r="I19" s="129" t="s">
        <v>3028</v>
      </c>
      <c r="J19" s="130">
        <f t="shared" ref="J19" si="17">J18-J20</f>
        <v>5.9508999999999972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30.609199999999994</v>
      </c>
      <c r="U19" s="237"/>
      <c r="V19" s="24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2" x14ac:dyDescent="0.85">
      <c r="A20" s="67"/>
      <c r="B20" s="67"/>
      <c r="C20" s="243"/>
      <c r="D20" s="246"/>
      <c r="E20" s="249"/>
      <c r="F20" s="252"/>
      <c r="G20" s="290"/>
      <c r="H20" s="258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37"/>
      <c r="V20" s="24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2" x14ac:dyDescent="0.85">
      <c r="A21" s="62"/>
      <c r="B21" s="62"/>
      <c r="C21" s="243"/>
      <c r="D21" s="246"/>
      <c r="E21" s="249"/>
      <c r="F21" s="252"/>
      <c r="G21" s="290"/>
      <c r="H21" s="258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7"/>
      <c r="V21" s="24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9">
      <c r="A22" s="67"/>
      <c r="B22" s="67"/>
      <c r="C22" s="244"/>
      <c r="D22" s="247"/>
      <c r="E22" s="250"/>
      <c r="F22" s="253"/>
      <c r="G22" s="291"/>
      <c r="H22" s="259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38"/>
      <c r="V22" s="24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9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85">
      <c r="A24" s="62"/>
      <c r="B24" s="62"/>
      <c r="C24" s="242" t="s">
        <v>3292</v>
      </c>
      <c r="D24" s="245" t="s">
        <v>3291</v>
      </c>
      <c r="E24" s="248" t="s">
        <v>3293</v>
      </c>
      <c r="F24" s="251">
        <v>46336</v>
      </c>
      <c r="G24" s="254"/>
      <c r="H24" s="25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6">
        <v>0</v>
      </c>
      <c r="V24" s="23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2" x14ac:dyDescent="0.85">
      <c r="A25" s="67"/>
      <c r="B25" s="67"/>
      <c r="C25" s="243"/>
      <c r="D25" s="246"/>
      <c r="E25" s="249"/>
      <c r="F25" s="252"/>
      <c r="G25" s="255"/>
      <c r="H25" s="25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7"/>
      <c r="V25" s="24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2" x14ac:dyDescent="0.85">
      <c r="A26" s="67"/>
      <c r="B26" s="67"/>
      <c r="C26" s="243"/>
      <c r="D26" s="246"/>
      <c r="E26" s="249"/>
      <c r="F26" s="252"/>
      <c r="G26" s="255"/>
      <c r="H26" s="25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7"/>
      <c r="V26" s="24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2" x14ac:dyDescent="0.85">
      <c r="A27" s="62"/>
      <c r="B27" s="62"/>
      <c r="C27" s="243"/>
      <c r="D27" s="246"/>
      <c r="E27" s="249"/>
      <c r="F27" s="252"/>
      <c r="G27" s="255"/>
      <c r="H27" s="25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7"/>
      <c r="V27" s="24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9">
      <c r="A28" s="67"/>
      <c r="B28" s="67"/>
      <c r="C28" s="244"/>
      <c r="D28" s="247"/>
      <c r="E28" s="250"/>
      <c r="F28" s="253"/>
      <c r="G28" s="256"/>
      <c r="H28" s="25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8"/>
      <c r="V28" s="24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9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85">
      <c r="A30" s="62"/>
      <c r="B30" s="62"/>
      <c r="C30" s="242" t="s">
        <v>2993</v>
      </c>
      <c r="D30" s="245" t="s">
        <v>2989</v>
      </c>
      <c r="E30" s="248" t="s">
        <v>2994</v>
      </c>
      <c r="F30" s="251">
        <v>46219</v>
      </c>
      <c r="G30" s="254"/>
      <c r="H30" s="268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6">
        <v>0</v>
      </c>
      <c r="V30" s="23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2" x14ac:dyDescent="0.85">
      <c r="A31" s="67"/>
      <c r="B31" s="67"/>
      <c r="C31" s="243"/>
      <c r="D31" s="246"/>
      <c r="E31" s="249"/>
      <c r="F31" s="252"/>
      <c r="G31" s="255"/>
      <c r="H31" s="26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7"/>
      <c r="V31" s="24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2" x14ac:dyDescent="0.85">
      <c r="A32" s="67"/>
      <c r="B32" s="67"/>
      <c r="C32" s="243"/>
      <c r="D32" s="246"/>
      <c r="E32" s="249"/>
      <c r="F32" s="252"/>
      <c r="G32" s="255"/>
      <c r="H32" s="26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7"/>
      <c r="V32" s="24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2" x14ac:dyDescent="0.85">
      <c r="A33" s="62"/>
      <c r="B33" s="62"/>
      <c r="C33" s="243"/>
      <c r="D33" s="246"/>
      <c r="E33" s="249"/>
      <c r="F33" s="252"/>
      <c r="G33" s="255"/>
      <c r="H33" s="26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7"/>
      <c r="V33" s="24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9">
      <c r="A34" s="67"/>
      <c r="B34" s="67"/>
      <c r="C34" s="244"/>
      <c r="D34" s="247"/>
      <c r="E34" s="250"/>
      <c r="F34" s="253"/>
      <c r="G34" s="256"/>
      <c r="H34" s="27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8"/>
      <c r="V34" s="24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9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85">
      <c r="A36" s="62"/>
      <c r="B36" s="62"/>
      <c r="C36" s="242" t="s">
        <v>2995</v>
      </c>
      <c r="D36" s="245" t="s">
        <v>2990</v>
      </c>
      <c r="E36" s="248" t="s">
        <v>2992</v>
      </c>
      <c r="F36" s="251">
        <v>46198</v>
      </c>
      <c r="G36" s="271"/>
      <c r="H36" s="274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6">
        <v>0</v>
      </c>
      <c r="V36" s="23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2" x14ac:dyDescent="0.85">
      <c r="A37" s="67"/>
      <c r="B37" s="67"/>
      <c r="C37" s="243"/>
      <c r="D37" s="246"/>
      <c r="E37" s="249"/>
      <c r="F37" s="252"/>
      <c r="G37" s="272"/>
      <c r="H37" s="275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7"/>
      <c r="V37" s="24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2" x14ac:dyDescent="0.85">
      <c r="A38" s="67"/>
      <c r="B38" s="67"/>
      <c r="C38" s="243"/>
      <c r="D38" s="246"/>
      <c r="E38" s="249"/>
      <c r="F38" s="252"/>
      <c r="G38" s="272"/>
      <c r="H38" s="275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7"/>
      <c r="V38" s="24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2" x14ac:dyDescent="0.85">
      <c r="A39" s="62"/>
      <c r="B39" s="62"/>
      <c r="C39" s="243"/>
      <c r="D39" s="246"/>
      <c r="E39" s="249"/>
      <c r="F39" s="252"/>
      <c r="G39" s="272"/>
      <c r="H39" s="275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7"/>
      <c r="V39" s="24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9">
      <c r="A40" s="67"/>
      <c r="B40" s="67"/>
      <c r="C40" s="244"/>
      <c r="D40" s="247"/>
      <c r="E40" s="250"/>
      <c r="F40" s="253"/>
      <c r="G40" s="273"/>
      <c r="H40" s="276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8"/>
      <c r="V40" s="24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9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85">
      <c r="A42" s="62"/>
      <c r="B42" s="62"/>
      <c r="C42" s="242" t="s">
        <v>3006</v>
      </c>
      <c r="D42" s="245" t="s">
        <v>3004</v>
      </c>
      <c r="E42" s="248" t="s">
        <v>3007</v>
      </c>
      <c r="F42" s="251">
        <v>46188</v>
      </c>
      <c r="G42" s="271">
        <v>46220</v>
      </c>
      <c r="H42" s="268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6">
        <v>0</v>
      </c>
      <c r="V42" s="23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2" x14ac:dyDescent="0.85">
      <c r="A43" s="67"/>
      <c r="B43" s="67"/>
      <c r="C43" s="243"/>
      <c r="D43" s="246"/>
      <c r="E43" s="249"/>
      <c r="F43" s="252"/>
      <c r="G43" s="272"/>
      <c r="H43" s="26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7"/>
      <c r="V43" s="24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2" x14ac:dyDescent="0.85">
      <c r="A44" s="67"/>
      <c r="B44" s="67"/>
      <c r="C44" s="243"/>
      <c r="D44" s="246"/>
      <c r="E44" s="249"/>
      <c r="F44" s="252"/>
      <c r="G44" s="272"/>
      <c r="H44" s="26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7"/>
      <c r="V44" s="24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2" x14ac:dyDescent="0.85">
      <c r="A45" s="62"/>
      <c r="B45" s="62"/>
      <c r="C45" s="243"/>
      <c r="D45" s="246"/>
      <c r="E45" s="249"/>
      <c r="F45" s="252"/>
      <c r="G45" s="272"/>
      <c r="H45" s="26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7"/>
      <c r="V45" s="24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9">
      <c r="A46" s="67"/>
      <c r="B46" s="67"/>
      <c r="C46" s="244"/>
      <c r="D46" s="247"/>
      <c r="E46" s="250"/>
      <c r="F46" s="253"/>
      <c r="G46" s="273"/>
      <c r="H46" s="27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8"/>
      <c r="V46" s="24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9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85">
      <c r="A48" s="62"/>
      <c r="B48" s="62"/>
      <c r="C48" s="242" t="s">
        <v>3009</v>
      </c>
      <c r="D48" s="245" t="s">
        <v>3005</v>
      </c>
      <c r="E48" s="248" t="s">
        <v>3008</v>
      </c>
      <c r="F48" s="251">
        <v>46202</v>
      </c>
      <c r="G48" s="271">
        <v>46233</v>
      </c>
      <c r="H48" s="268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6">
        <v>0</v>
      </c>
      <c r="V48" s="23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2" x14ac:dyDescent="0.85">
      <c r="A49" s="67"/>
      <c r="B49" s="67"/>
      <c r="C49" s="243"/>
      <c r="D49" s="246"/>
      <c r="E49" s="249"/>
      <c r="F49" s="252"/>
      <c r="G49" s="272"/>
      <c r="H49" s="26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7"/>
      <c r="V49" s="24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2" x14ac:dyDescent="0.85">
      <c r="A50" s="67"/>
      <c r="B50" s="67"/>
      <c r="C50" s="243"/>
      <c r="D50" s="246"/>
      <c r="E50" s="249"/>
      <c r="F50" s="252"/>
      <c r="G50" s="272"/>
      <c r="H50" s="26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7"/>
      <c r="V50" s="24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2" x14ac:dyDescent="0.85">
      <c r="A51" s="62"/>
      <c r="B51" s="62"/>
      <c r="C51" s="243"/>
      <c r="D51" s="246"/>
      <c r="E51" s="249"/>
      <c r="F51" s="252"/>
      <c r="G51" s="272"/>
      <c r="H51" s="26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7"/>
      <c r="V51" s="24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9">
      <c r="A52" s="67"/>
      <c r="B52" s="67"/>
      <c r="C52" s="244"/>
      <c r="D52" s="247"/>
      <c r="E52" s="250"/>
      <c r="F52" s="253"/>
      <c r="G52" s="273"/>
      <c r="H52" s="27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8"/>
      <c r="V52" s="24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9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85">
      <c r="A54" s="62"/>
      <c r="B54" s="62"/>
      <c r="C54" s="242" t="s">
        <v>3009</v>
      </c>
      <c r="D54" s="245" t="s">
        <v>3111</v>
      </c>
      <c r="E54" s="248" t="s">
        <v>3164</v>
      </c>
      <c r="F54" s="251">
        <v>46226</v>
      </c>
      <c r="G54" s="254"/>
      <c r="H54" s="268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6">
        <v>0</v>
      </c>
      <c r="V54" s="23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2" x14ac:dyDescent="0.85">
      <c r="A55" s="67"/>
      <c r="B55" s="67"/>
      <c r="C55" s="243"/>
      <c r="D55" s="246"/>
      <c r="E55" s="249"/>
      <c r="F55" s="252"/>
      <c r="G55" s="255"/>
      <c r="H55" s="26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37"/>
      <c r="V55" s="24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2" x14ac:dyDescent="0.85">
      <c r="A56" s="67"/>
      <c r="B56" s="67"/>
      <c r="C56" s="243"/>
      <c r="D56" s="246"/>
      <c r="E56" s="249"/>
      <c r="F56" s="252"/>
      <c r="G56" s="255"/>
      <c r="H56" s="26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37"/>
      <c r="V56" s="24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2" x14ac:dyDescent="0.85">
      <c r="A57" s="62"/>
      <c r="B57" s="62"/>
      <c r="C57" s="243"/>
      <c r="D57" s="246"/>
      <c r="E57" s="249"/>
      <c r="F57" s="252"/>
      <c r="G57" s="255"/>
      <c r="H57" s="26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7"/>
      <c r="V57" s="24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9">
      <c r="A58" s="67"/>
      <c r="B58" s="67"/>
      <c r="C58" s="244"/>
      <c r="D58" s="247"/>
      <c r="E58" s="250"/>
      <c r="F58" s="253"/>
      <c r="G58" s="256"/>
      <c r="H58" s="27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8"/>
      <c r="V58" s="24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9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85">
      <c r="A60" s="62"/>
      <c r="B60" s="62"/>
      <c r="C60" s="242" t="s">
        <v>3165</v>
      </c>
      <c r="D60" s="245" t="s">
        <v>3163</v>
      </c>
      <c r="E60" s="248" t="s">
        <v>3166</v>
      </c>
      <c r="F60" s="251">
        <v>46235</v>
      </c>
      <c r="G60" s="254"/>
      <c r="H60" s="25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6">
        <v>0</v>
      </c>
      <c r="V60" s="23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2" x14ac:dyDescent="0.85">
      <c r="A61" s="67"/>
      <c r="B61" s="67"/>
      <c r="C61" s="243"/>
      <c r="D61" s="246"/>
      <c r="E61" s="249"/>
      <c r="F61" s="252"/>
      <c r="G61" s="255"/>
      <c r="H61" s="25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7"/>
      <c r="V61" s="24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2" x14ac:dyDescent="0.85">
      <c r="A62" s="67"/>
      <c r="B62" s="67"/>
      <c r="C62" s="243"/>
      <c r="D62" s="246"/>
      <c r="E62" s="249"/>
      <c r="F62" s="252"/>
      <c r="G62" s="255"/>
      <c r="H62" s="25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7"/>
      <c r="V62" s="24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2" x14ac:dyDescent="0.85">
      <c r="A63" s="62"/>
      <c r="B63" s="62"/>
      <c r="C63" s="243"/>
      <c r="D63" s="246"/>
      <c r="E63" s="249"/>
      <c r="F63" s="252"/>
      <c r="G63" s="255"/>
      <c r="H63" s="25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7"/>
      <c r="V63" s="24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9">
      <c r="A64" s="67"/>
      <c r="B64" s="67"/>
      <c r="C64" s="244"/>
      <c r="D64" s="247"/>
      <c r="E64" s="250"/>
      <c r="F64" s="253"/>
      <c r="G64" s="256"/>
      <c r="H64" s="25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8"/>
      <c r="V64" s="24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9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85">
      <c r="A66" s="62"/>
      <c r="B66" s="62"/>
      <c r="C66" s="242" t="s">
        <v>4307</v>
      </c>
      <c r="D66" s="245" t="s">
        <v>4299</v>
      </c>
      <c r="E66" s="248" t="s">
        <v>4308</v>
      </c>
      <c r="F66" s="251">
        <v>46233</v>
      </c>
      <c r="G66" s="254"/>
      <c r="H66" s="25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6">
        <v>0</v>
      </c>
      <c r="V66" s="23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2" x14ac:dyDescent="0.85">
      <c r="A67" s="67"/>
      <c r="B67" s="67"/>
      <c r="C67" s="243"/>
      <c r="D67" s="246"/>
      <c r="E67" s="249"/>
      <c r="F67" s="252"/>
      <c r="G67" s="255"/>
      <c r="H67" s="25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7"/>
      <c r="V67" s="24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2" x14ac:dyDescent="0.85">
      <c r="A68" s="67"/>
      <c r="B68" s="67"/>
      <c r="C68" s="243"/>
      <c r="D68" s="246"/>
      <c r="E68" s="249"/>
      <c r="F68" s="252"/>
      <c r="G68" s="255"/>
      <c r="H68" s="25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7"/>
      <c r="V68" s="24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2" x14ac:dyDescent="0.85">
      <c r="A69" s="62"/>
      <c r="B69" s="62"/>
      <c r="C69" s="243"/>
      <c r="D69" s="246"/>
      <c r="E69" s="249"/>
      <c r="F69" s="252"/>
      <c r="G69" s="255"/>
      <c r="H69" s="25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7"/>
      <c r="V69" s="24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9">
      <c r="A70" s="67"/>
      <c r="B70" s="67"/>
      <c r="C70" s="244"/>
      <c r="D70" s="247"/>
      <c r="E70" s="250"/>
      <c r="F70" s="253"/>
      <c r="G70" s="256"/>
      <c r="H70" s="25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8"/>
      <c r="V70" s="24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9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85">
      <c r="A72" s="62"/>
      <c r="B72" s="62"/>
      <c r="C72" s="242" t="s">
        <v>3165</v>
      </c>
      <c r="D72" s="245" t="s">
        <v>4306</v>
      </c>
      <c r="E72" s="248" t="s">
        <v>4309</v>
      </c>
      <c r="F72" s="251">
        <v>46280</v>
      </c>
      <c r="G72" s="254"/>
      <c r="H72" s="25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6">
        <v>0</v>
      </c>
      <c r="V72" s="23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2" x14ac:dyDescent="0.85">
      <c r="A73" s="67"/>
      <c r="B73" s="67"/>
      <c r="C73" s="243"/>
      <c r="D73" s="246"/>
      <c r="E73" s="249"/>
      <c r="F73" s="252"/>
      <c r="G73" s="255"/>
      <c r="H73" s="25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7"/>
      <c r="V73" s="24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2" x14ac:dyDescent="0.85">
      <c r="A74" s="67"/>
      <c r="B74" s="67"/>
      <c r="C74" s="243"/>
      <c r="D74" s="246"/>
      <c r="E74" s="249"/>
      <c r="F74" s="252"/>
      <c r="G74" s="255"/>
      <c r="H74" s="25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7"/>
      <c r="V74" s="24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2" x14ac:dyDescent="0.85">
      <c r="A75" s="62"/>
      <c r="B75" s="62"/>
      <c r="C75" s="243"/>
      <c r="D75" s="246"/>
      <c r="E75" s="249"/>
      <c r="F75" s="252"/>
      <c r="G75" s="255"/>
      <c r="H75" s="25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7"/>
      <c r="V75" s="24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9">
      <c r="A76" s="67"/>
      <c r="B76" s="67"/>
      <c r="C76" s="244"/>
      <c r="D76" s="247"/>
      <c r="E76" s="250"/>
      <c r="F76" s="253"/>
      <c r="G76" s="256"/>
      <c r="H76" s="25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8"/>
      <c r="V76" s="24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85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9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1.2" thickBot="1" x14ac:dyDescent="0.9">
      <c r="A79" s="62"/>
      <c r="B79" s="62"/>
      <c r="C79" s="84"/>
      <c r="D79" s="260" t="s">
        <v>326</v>
      </c>
      <c r="E79" s="262" t="s">
        <v>891</v>
      </c>
      <c r="F79" s="263"/>
      <c r="G79" s="263"/>
      <c r="H79" s="263"/>
      <c r="I79" s="263"/>
      <c r="J79" s="264"/>
      <c r="K79" s="265" t="s">
        <v>331</v>
      </c>
      <c r="L79" s="266"/>
      <c r="M79" s="266"/>
      <c r="N79" s="267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6.8" thickBot="1" x14ac:dyDescent="0.9">
      <c r="A80" s="67"/>
      <c r="B80" s="67"/>
      <c r="C80" s="84"/>
      <c r="D80" s="261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1.2" thickBot="1" x14ac:dyDescent="0.9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85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1.2" thickBot="1" x14ac:dyDescent="0.9">
      <c r="A83" s="62"/>
      <c r="B83" s="62"/>
      <c r="C83" s="84"/>
      <c r="D83" s="121" t="s">
        <v>3028</v>
      </c>
      <c r="E83" s="141">
        <f t="shared" ref="E83:F83" si="232">E81-E85</f>
        <v>6.9268999999999963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32.788699999999999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2" x14ac:dyDescent="0.85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.6" x14ac:dyDescent="0.85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1.2" thickBot="1" x14ac:dyDescent="0.9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1.2" thickBot="1" x14ac:dyDescent="0.9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23.074999999999999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1.2" thickBot="1" x14ac:dyDescent="0.9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.6" x14ac:dyDescent="0.85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.6" x14ac:dyDescent="0.85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2" x14ac:dyDescent="0.85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2" x14ac:dyDescent="0.85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2" x14ac:dyDescent="0.85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2" x14ac:dyDescent="0.85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2" x14ac:dyDescent="0.85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2" x14ac:dyDescent="0.85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2" x14ac:dyDescent="0.85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2" x14ac:dyDescent="0.85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2" x14ac:dyDescent="0.85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2" x14ac:dyDescent="0.85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2" x14ac:dyDescent="0.85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2" x14ac:dyDescent="0.85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2" x14ac:dyDescent="0.85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2" x14ac:dyDescent="0.85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2" x14ac:dyDescent="0.85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2" x14ac:dyDescent="0.85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2" x14ac:dyDescent="0.85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2" x14ac:dyDescent="0.85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2" x14ac:dyDescent="0.85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2" x14ac:dyDescent="0.85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2" x14ac:dyDescent="0.85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2" x14ac:dyDescent="0.85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2" x14ac:dyDescent="0.85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2" x14ac:dyDescent="0.85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2" x14ac:dyDescent="0.85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2" x14ac:dyDescent="0.85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2" x14ac:dyDescent="0.85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2" x14ac:dyDescent="0.85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2" x14ac:dyDescent="0.85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2" x14ac:dyDescent="0.85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2" x14ac:dyDescent="0.85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2" x14ac:dyDescent="0.85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2" x14ac:dyDescent="0.85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2" x14ac:dyDescent="0.85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2" x14ac:dyDescent="0.85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2" x14ac:dyDescent="0.85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2" x14ac:dyDescent="0.85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2" x14ac:dyDescent="0.85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2" x14ac:dyDescent="0.85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2" x14ac:dyDescent="0.85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2" x14ac:dyDescent="0.85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2" x14ac:dyDescent="0.85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2" x14ac:dyDescent="0.85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2" x14ac:dyDescent="0.85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2" x14ac:dyDescent="0.85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2" x14ac:dyDescent="0.85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2" x14ac:dyDescent="0.85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2" x14ac:dyDescent="0.85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2" x14ac:dyDescent="0.85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2" x14ac:dyDescent="0.85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2" x14ac:dyDescent="0.85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2" x14ac:dyDescent="0.85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2" x14ac:dyDescent="0.85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2" x14ac:dyDescent="0.85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2" x14ac:dyDescent="0.85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2" x14ac:dyDescent="0.85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2" x14ac:dyDescent="0.85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2" x14ac:dyDescent="0.85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2" x14ac:dyDescent="0.85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2" x14ac:dyDescent="0.85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2" x14ac:dyDescent="0.85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2" x14ac:dyDescent="0.85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2" x14ac:dyDescent="0.85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2" x14ac:dyDescent="0.85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2" x14ac:dyDescent="0.85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2" x14ac:dyDescent="0.85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2" x14ac:dyDescent="0.85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2" x14ac:dyDescent="0.85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2" x14ac:dyDescent="0.85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2" x14ac:dyDescent="0.85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2" x14ac:dyDescent="0.85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2" x14ac:dyDescent="0.85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2" x14ac:dyDescent="0.85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2" x14ac:dyDescent="0.85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2" x14ac:dyDescent="0.85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2" x14ac:dyDescent="0.85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2" x14ac:dyDescent="0.85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2" x14ac:dyDescent="0.85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2" x14ac:dyDescent="0.85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2" x14ac:dyDescent="0.85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2" x14ac:dyDescent="0.85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2" x14ac:dyDescent="0.85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2" x14ac:dyDescent="0.85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2" x14ac:dyDescent="0.85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2" x14ac:dyDescent="0.85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2" x14ac:dyDescent="0.85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2" x14ac:dyDescent="0.85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2" x14ac:dyDescent="0.85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2" x14ac:dyDescent="0.85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2" x14ac:dyDescent="0.85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2" x14ac:dyDescent="0.85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2" x14ac:dyDescent="0.85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2" x14ac:dyDescent="0.85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2" x14ac:dyDescent="0.85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2" x14ac:dyDescent="0.85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2" x14ac:dyDescent="0.85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2" x14ac:dyDescent="0.85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2" x14ac:dyDescent="0.85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2" x14ac:dyDescent="0.85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2" x14ac:dyDescent="0.85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2" x14ac:dyDescent="0.85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2" x14ac:dyDescent="0.85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2" x14ac:dyDescent="0.85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2" x14ac:dyDescent="0.85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2" x14ac:dyDescent="0.85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2" x14ac:dyDescent="0.85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2" x14ac:dyDescent="0.85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2" x14ac:dyDescent="0.85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2" x14ac:dyDescent="0.85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2" x14ac:dyDescent="0.85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2" x14ac:dyDescent="0.85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2" x14ac:dyDescent="0.85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2" x14ac:dyDescent="0.85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2" x14ac:dyDescent="0.85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2" x14ac:dyDescent="0.85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2" x14ac:dyDescent="0.85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2" x14ac:dyDescent="0.85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2" x14ac:dyDescent="0.85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2" x14ac:dyDescent="0.85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2" x14ac:dyDescent="0.85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2" x14ac:dyDescent="0.85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2" x14ac:dyDescent="0.85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2" x14ac:dyDescent="0.85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2" x14ac:dyDescent="0.85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2" x14ac:dyDescent="0.85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2" x14ac:dyDescent="0.85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2" x14ac:dyDescent="0.85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2" x14ac:dyDescent="0.85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2" x14ac:dyDescent="0.85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2" x14ac:dyDescent="0.85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2" x14ac:dyDescent="0.85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2" x14ac:dyDescent="0.85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2" x14ac:dyDescent="0.85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2" x14ac:dyDescent="0.85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2" x14ac:dyDescent="0.85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2" x14ac:dyDescent="0.85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2" x14ac:dyDescent="0.85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2" x14ac:dyDescent="0.85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2" x14ac:dyDescent="0.85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2" x14ac:dyDescent="0.85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2" x14ac:dyDescent="0.85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2" x14ac:dyDescent="0.85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2" x14ac:dyDescent="0.85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2" x14ac:dyDescent="0.85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2" x14ac:dyDescent="0.85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2" x14ac:dyDescent="0.85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2" x14ac:dyDescent="0.85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2" x14ac:dyDescent="0.85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2" x14ac:dyDescent="0.85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2" x14ac:dyDescent="0.85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2" x14ac:dyDescent="0.85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2" x14ac:dyDescent="0.85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2" x14ac:dyDescent="0.85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2" x14ac:dyDescent="0.85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2" x14ac:dyDescent="0.85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2" x14ac:dyDescent="0.85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2" x14ac:dyDescent="0.85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2" x14ac:dyDescent="0.85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2" x14ac:dyDescent="0.85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2" x14ac:dyDescent="0.85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2" x14ac:dyDescent="0.85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2" x14ac:dyDescent="0.85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2" x14ac:dyDescent="0.85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2" x14ac:dyDescent="0.85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2" x14ac:dyDescent="0.85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2" x14ac:dyDescent="0.85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2" x14ac:dyDescent="0.85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2" x14ac:dyDescent="0.85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2" x14ac:dyDescent="0.85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2" x14ac:dyDescent="0.85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2" x14ac:dyDescent="0.85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2" x14ac:dyDescent="0.85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2" x14ac:dyDescent="0.85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2" x14ac:dyDescent="0.85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2" x14ac:dyDescent="0.85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2" x14ac:dyDescent="0.85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2" x14ac:dyDescent="0.85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2" x14ac:dyDescent="0.85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2" x14ac:dyDescent="0.85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2" x14ac:dyDescent="0.85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2" x14ac:dyDescent="0.85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3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2" x14ac:dyDescent="0.85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3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2" x14ac:dyDescent="0.85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3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2" x14ac:dyDescent="0.85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3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2" x14ac:dyDescent="0.85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3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2" x14ac:dyDescent="0.85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3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3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3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3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3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3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3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0"/>
  <sheetViews>
    <sheetView topLeftCell="C1" zoomScaleNormal="100" workbookViewId="0">
      <pane ySplit="1" topLeftCell="A2" activePane="bottomLeft" state="frozen"/>
      <selection pane="bottomLeft" activeCell="F4825" sqref="F4825"/>
    </sheetView>
  </sheetViews>
  <sheetFormatPr defaultRowHeight="14.4" x14ac:dyDescent="0.3"/>
  <cols>
    <col min="2" max="2" width="9.44140625" customWidth="1"/>
    <col min="3" max="3" width="46.88671875" customWidth="1"/>
    <col min="4" max="4" width="37.6640625" customWidth="1"/>
    <col min="5" max="5" width="9.88671875" bestFit="1" customWidth="1"/>
    <col min="6" max="6" width="67.88671875" customWidth="1"/>
    <col min="8" max="8" width="0" hidden="1" customWidth="1"/>
    <col min="9" max="9" width="15" hidden="1" customWidth="1"/>
    <col min="10" max="10" width="10.6640625" bestFit="1" customWidth="1"/>
    <col min="11" max="11" width="11.5546875" bestFit="1" customWidth="1"/>
    <col min="12" max="12" width="13.44140625" bestFit="1" customWidth="1"/>
    <col min="13" max="13" width="12.6640625" bestFit="1" customWidth="1"/>
    <col min="14" max="14" width="9.109375" style="2"/>
    <col min="16" max="16" width="160.33203125" bestFit="1" customWidth="1"/>
  </cols>
  <sheetData>
    <row r="1" spans="1:14" s="2" customFormat="1" ht="34.5" customHeight="1" x14ac:dyDescent="0.3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399999999999999" x14ac:dyDescent="0.3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399999999999999" x14ac:dyDescent="0.3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399999999999999" x14ac:dyDescent="0.3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399999999999999" x14ac:dyDescent="0.3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399999999999999" x14ac:dyDescent="0.3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399999999999999" x14ac:dyDescent="0.3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399999999999999" x14ac:dyDescent="0.3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399999999999999" x14ac:dyDescent="0.3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399999999999999" x14ac:dyDescent="0.3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399999999999999" x14ac:dyDescent="0.3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399999999999999" x14ac:dyDescent="0.3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399999999999999" x14ac:dyDescent="0.3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399999999999999" x14ac:dyDescent="0.3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399999999999999" x14ac:dyDescent="0.3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399999999999999" x14ac:dyDescent="0.3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399999999999999" x14ac:dyDescent="0.3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399999999999999" x14ac:dyDescent="0.3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399999999999999" x14ac:dyDescent="0.3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399999999999999" x14ac:dyDescent="0.3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399999999999999" x14ac:dyDescent="0.3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399999999999999" x14ac:dyDescent="0.3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399999999999999" x14ac:dyDescent="0.3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399999999999999" x14ac:dyDescent="0.3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399999999999999" x14ac:dyDescent="0.3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399999999999999" x14ac:dyDescent="0.3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399999999999999" x14ac:dyDescent="0.3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399999999999999" x14ac:dyDescent="0.3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399999999999999" x14ac:dyDescent="0.3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399999999999999" x14ac:dyDescent="0.3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399999999999999" x14ac:dyDescent="0.3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399999999999999" x14ac:dyDescent="0.3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399999999999999" x14ac:dyDescent="0.3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399999999999999" x14ac:dyDescent="0.3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399999999999999" x14ac:dyDescent="0.3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399999999999999" x14ac:dyDescent="0.3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399999999999999" x14ac:dyDescent="0.3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399999999999999" x14ac:dyDescent="0.3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399999999999999" x14ac:dyDescent="0.3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399999999999999" x14ac:dyDescent="0.3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399999999999999" x14ac:dyDescent="0.3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399999999999999" x14ac:dyDescent="0.3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399999999999999" x14ac:dyDescent="0.3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399999999999999" x14ac:dyDescent="0.3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399999999999999" x14ac:dyDescent="0.3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399999999999999" x14ac:dyDescent="0.3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399999999999999" x14ac:dyDescent="0.3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399999999999999" x14ac:dyDescent="0.3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399999999999999" x14ac:dyDescent="0.3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399999999999999" x14ac:dyDescent="0.3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399999999999999" x14ac:dyDescent="0.3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399999999999999" x14ac:dyDescent="0.3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399999999999999" x14ac:dyDescent="0.3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399999999999999" x14ac:dyDescent="0.3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399999999999999" x14ac:dyDescent="0.3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399999999999999" x14ac:dyDescent="0.3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399999999999999" x14ac:dyDescent="0.3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399999999999999" x14ac:dyDescent="0.3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399999999999999" x14ac:dyDescent="0.3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399999999999999" x14ac:dyDescent="0.3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399999999999999" x14ac:dyDescent="0.3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399999999999999" x14ac:dyDescent="0.3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399999999999999" x14ac:dyDescent="0.3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399999999999999" x14ac:dyDescent="0.3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399999999999999" x14ac:dyDescent="0.3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399999999999999" x14ac:dyDescent="0.3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399999999999999" x14ac:dyDescent="0.3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399999999999999" x14ac:dyDescent="0.3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399999999999999" x14ac:dyDescent="0.3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399999999999999" x14ac:dyDescent="0.3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399999999999999" x14ac:dyDescent="0.3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399999999999999" x14ac:dyDescent="0.3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399999999999999" x14ac:dyDescent="0.3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399999999999999" x14ac:dyDescent="0.3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399999999999999" x14ac:dyDescent="0.3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399999999999999" x14ac:dyDescent="0.3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399999999999999" x14ac:dyDescent="0.3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399999999999999" x14ac:dyDescent="0.3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399999999999999" x14ac:dyDescent="0.3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399999999999999" x14ac:dyDescent="0.3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399999999999999" x14ac:dyDescent="0.3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399999999999999" x14ac:dyDescent="0.3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399999999999999" x14ac:dyDescent="0.3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399999999999999" x14ac:dyDescent="0.3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399999999999999" x14ac:dyDescent="0.3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399999999999999" x14ac:dyDescent="0.3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399999999999999" x14ac:dyDescent="0.3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399999999999999" x14ac:dyDescent="0.3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399999999999999" x14ac:dyDescent="0.3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399999999999999" x14ac:dyDescent="0.3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399999999999999" x14ac:dyDescent="0.3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399999999999999" x14ac:dyDescent="0.3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399999999999999" x14ac:dyDescent="0.3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399999999999999" x14ac:dyDescent="0.3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399999999999999" x14ac:dyDescent="0.3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399999999999999" x14ac:dyDescent="0.3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399999999999999" x14ac:dyDescent="0.3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399999999999999" x14ac:dyDescent="0.3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399999999999999" x14ac:dyDescent="0.3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399999999999999" x14ac:dyDescent="0.3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399999999999999" x14ac:dyDescent="0.3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399999999999999" x14ac:dyDescent="0.3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399999999999999" x14ac:dyDescent="0.3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399999999999999" x14ac:dyDescent="0.3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399999999999999" x14ac:dyDescent="0.3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399999999999999" x14ac:dyDescent="0.3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399999999999999" x14ac:dyDescent="0.3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399999999999999" x14ac:dyDescent="0.3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399999999999999" x14ac:dyDescent="0.3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399999999999999" x14ac:dyDescent="0.3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399999999999999" x14ac:dyDescent="0.3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399999999999999" x14ac:dyDescent="0.3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399999999999999" x14ac:dyDescent="0.3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399999999999999" x14ac:dyDescent="0.3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399999999999999" x14ac:dyDescent="0.3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399999999999999" x14ac:dyDescent="0.3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399999999999999" x14ac:dyDescent="0.3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399999999999999" x14ac:dyDescent="0.3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399999999999999" x14ac:dyDescent="0.3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399999999999999" x14ac:dyDescent="0.3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399999999999999" x14ac:dyDescent="0.3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399999999999999" x14ac:dyDescent="0.3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399999999999999" x14ac:dyDescent="0.3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399999999999999" x14ac:dyDescent="0.3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399999999999999" x14ac:dyDescent="0.3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399999999999999" x14ac:dyDescent="0.3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399999999999999" x14ac:dyDescent="0.3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399999999999999" x14ac:dyDescent="0.3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399999999999999" x14ac:dyDescent="0.3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399999999999999" x14ac:dyDescent="0.3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399999999999999" x14ac:dyDescent="0.3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399999999999999" x14ac:dyDescent="0.3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399999999999999" x14ac:dyDescent="0.3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399999999999999" x14ac:dyDescent="0.3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399999999999999" x14ac:dyDescent="0.3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399999999999999" x14ac:dyDescent="0.3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399999999999999" x14ac:dyDescent="0.3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399999999999999" x14ac:dyDescent="0.3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399999999999999" x14ac:dyDescent="0.3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399999999999999" x14ac:dyDescent="0.3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399999999999999" x14ac:dyDescent="0.3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399999999999999" x14ac:dyDescent="0.3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399999999999999" x14ac:dyDescent="0.3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399999999999999" x14ac:dyDescent="0.3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399999999999999" x14ac:dyDescent="0.3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399999999999999" x14ac:dyDescent="0.3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399999999999999" x14ac:dyDescent="0.3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399999999999999" x14ac:dyDescent="0.3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399999999999999" x14ac:dyDescent="0.3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399999999999999" x14ac:dyDescent="0.3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399999999999999" x14ac:dyDescent="0.3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399999999999999" x14ac:dyDescent="0.3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399999999999999" x14ac:dyDescent="0.3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399999999999999" x14ac:dyDescent="0.3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399999999999999" x14ac:dyDescent="0.3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399999999999999" x14ac:dyDescent="0.3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399999999999999" x14ac:dyDescent="0.3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399999999999999" x14ac:dyDescent="0.3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399999999999999" x14ac:dyDescent="0.3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399999999999999" x14ac:dyDescent="0.3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399999999999999" x14ac:dyDescent="0.3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399999999999999" x14ac:dyDescent="0.3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399999999999999" x14ac:dyDescent="0.3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399999999999999" x14ac:dyDescent="0.3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399999999999999" x14ac:dyDescent="0.3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399999999999999" x14ac:dyDescent="0.3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399999999999999" x14ac:dyDescent="0.3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399999999999999" x14ac:dyDescent="0.3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399999999999999" x14ac:dyDescent="0.3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399999999999999" x14ac:dyDescent="0.3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399999999999999" x14ac:dyDescent="0.3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399999999999999" x14ac:dyDescent="0.3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399999999999999" x14ac:dyDescent="0.3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399999999999999" x14ac:dyDescent="0.3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399999999999999" x14ac:dyDescent="0.3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399999999999999" x14ac:dyDescent="0.3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399999999999999" x14ac:dyDescent="0.3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399999999999999" x14ac:dyDescent="0.3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399999999999999" x14ac:dyDescent="0.3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399999999999999" x14ac:dyDescent="0.3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399999999999999" x14ac:dyDescent="0.3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399999999999999" x14ac:dyDescent="0.3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399999999999999" x14ac:dyDescent="0.3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399999999999999" x14ac:dyDescent="0.3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399999999999999" x14ac:dyDescent="0.3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399999999999999" x14ac:dyDescent="0.3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399999999999999" x14ac:dyDescent="0.3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399999999999999" x14ac:dyDescent="0.3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399999999999999" x14ac:dyDescent="0.3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399999999999999" x14ac:dyDescent="0.3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399999999999999" x14ac:dyDescent="0.3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399999999999999" x14ac:dyDescent="0.3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399999999999999" x14ac:dyDescent="0.3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399999999999999" x14ac:dyDescent="0.3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399999999999999" x14ac:dyDescent="0.3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399999999999999" x14ac:dyDescent="0.3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399999999999999" x14ac:dyDescent="0.3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399999999999999" x14ac:dyDescent="0.3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399999999999999" x14ac:dyDescent="0.3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399999999999999" x14ac:dyDescent="0.3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399999999999999" x14ac:dyDescent="0.3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399999999999999" x14ac:dyDescent="0.3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399999999999999" x14ac:dyDescent="0.3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399999999999999" x14ac:dyDescent="0.3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399999999999999" x14ac:dyDescent="0.3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399999999999999" x14ac:dyDescent="0.3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399999999999999" x14ac:dyDescent="0.3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399999999999999" x14ac:dyDescent="0.3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399999999999999" x14ac:dyDescent="0.3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399999999999999" x14ac:dyDescent="0.3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399999999999999" x14ac:dyDescent="0.3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399999999999999" x14ac:dyDescent="0.3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399999999999999" x14ac:dyDescent="0.3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399999999999999" x14ac:dyDescent="0.3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399999999999999" x14ac:dyDescent="0.3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399999999999999" x14ac:dyDescent="0.3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399999999999999" x14ac:dyDescent="0.3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399999999999999" x14ac:dyDescent="0.3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399999999999999" x14ac:dyDescent="0.3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399999999999999" x14ac:dyDescent="0.3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399999999999999" x14ac:dyDescent="0.3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399999999999999" x14ac:dyDescent="0.3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399999999999999" x14ac:dyDescent="0.3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399999999999999" x14ac:dyDescent="0.3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399999999999999" x14ac:dyDescent="0.3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399999999999999" x14ac:dyDescent="0.3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399999999999999" x14ac:dyDescent="0.3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399999999999999" x14ac:dyDescent="0.3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399999999999999" x14ac:dyDescent="0.3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399999999999999" x14ac:dyDescent="0.3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399999999999999" x14ac:dyDescent="0.3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399999999999999" x14ac:dyDescent="0.3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399999999999999" x14ac:dyDescent="0.3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399999999999999" x14ac:dyDescent="0.3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399999999999999" x14ac:dyDescent="0.3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399999999999999" x14ac:dyDescent="0.3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399999999999999" x14ac:dyDescent="0.3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399999999999999" x14ac:dyDescent="0.3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399999999999999" x14ac:dyDescent="0.3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399999999999999" x14ac:dyDescent="0.3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399999999999999" x14ac:dyDescent="0.3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399999999999999" x14ac:dyDescent="0.3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399999999999999" x14ac:dyDescent="0.3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399999999999999" x14ac:dyDescent="0.3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399999999999999" x14ac:dyDescent="0.3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399999999999999" x14ac:dyDescent="0.3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399999999999999" x14ac:dyDescent="0.3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399999999999999" x14ac:dyDescent="0.3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399999999999999" x14ac:dyDescent="0.3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399999999999999" x14ac:dyDescent="0.3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399999999999999" x14ac:dyDescent="0.3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399999999999999" x14ac:dyDescent="0.3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399999999999999" x14ac:dyDescent="0.3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399999999999999" x14ac:dyDescent="0.3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399999999999999" x14ac:dyDescent="0.3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399999999999999" x14ac:dyDescent="0.3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399999999999999" x14ac:dyDescent="0.3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399999999999999" x14ac:dyDescent="0.3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399999999999999" x14ac:dyDescent="0.3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399999999999999" x14ac:dyDescent="0.3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399999999999999" x14ac:dyDescent="0.3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399999999999999" x14ac:dyDescent="0.3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399999999999999" x14ac:dyDescent="0.3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399999999999999" x14ac:dyDescent="0.3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399999999999999" x14ac:dyDescent="0.3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399999999999999" x14ac:dyDescent="0.3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399999999999999" x14ac:dyDescent="0.3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399999999999999" x14ac:dyDescent="0.3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399999999999999" x14ac:dyDescent="0.3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399999999999999" x14ac:dyDescent="0.3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399999999999999" x14ac:dyDescent="0.3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399999999999999" x14ac:dyDescent="0.3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399999999999999" x14ac:dyDescent="0.3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399999999999999" x14ac:dyDescent="0.3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399999999999999" x14ac:dyDescent="0.3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399999999999999" x14ac:dyDescent="0.3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399999999999999" x14ac:dyDescent="0.3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399999999999999" x14ac:dyDescent="0.3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399999999999999" x14ac:dyDescent="0.3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399999999999999" x14ac:dyDescent="0.3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399999999999999" x14ac:dyDescent="0.3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399999999999999" x14ac:dyDescent="0.3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399999999999999" x14ac:dyDescent="0.3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399999999999999" x14ac:dyDescent="0.3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399999999999999" x14ac:dyDescent="0.3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399999999999999" x14ac:dyDescent="0.3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399999999999999" x14ac:dyDescent="0.3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399999999999999" x14ac:dyDescent="0.3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399999999999999" x14ac:dyDescent="0.3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399999999999999" x14ac:dyDescent="0.3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399999999999999" x14ac:dyDescent="0.3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399999999999999" x14ac:dyDescent="0.3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399999999999999" x14ac:dyDescent="0.3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399999999999999" x14ac:dyDescent="0.3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399999999999999" x14ac:dyDescent="0.3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399999999999999" x14ac:dyDescent="0.3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399999999999999" x14ac:dyDescent="0.3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399999999999999" x14ac:dyDescent="0.3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399999999999999" x14ac:dyDescent="0.3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399999999999999" x14ac:dyDescent="0.3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399999999999999" x14ac:dyDescent="0.3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399999999999999" x14ac:dyDescent="0.3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399999999999999" x14ac:dyDescent="0.3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399999999999999" x14ac:dyDescent="0.3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399999999999999" x14ac:dyDescent="0.3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399999999999999" x14ac:dyDescent="0.3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399999999999999" x14ac:dyDescent="0.3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399999999999999" x14ac:dyDescent="0.3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399999999999999" x14ac:dyDescent="0.3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399999999999999" x14ac:dyDescent="0.3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399999999999999" x14ac:dyDescent="0.3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399999999999999" x14ac:dyDescent="0.3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399999999999999" x14ac:dyDescent="0.3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399999999999999" x14ac:dyDescent="0.3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399999999999999" x14ac:dyDescent="0.3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399999999999999" x14ac:dyDescent="0.3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399999999999999" x14ac:dyDescent="0.3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399999999999999" x14ac:dyDescent="0.3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399999999999999" x14ac:dyDescent="0.3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399999999999999" x14ac:dyDescent="0.3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399999999999999" x14ac:dyDescent="0.3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399999999999999" x14ac:dyDescent="0.3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399999999999999" x14ac:dyDescent="0.3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399999999999999" x14ac:dyDescent="0.3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399999999999999" x14ac:dyDescent="0.3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399999999999999" x14ac:dyDescent="0.3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399999999999999" x14ac:dyDescent="0.3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399999999999999" x14ac:dyDescent="0.3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399999999999999" x14ac:dyDescent="0.3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399999999999999" x14ac:dyDescent="0.3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399999999999999" x14ac:dyDescent="0.3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399999999999999" x14ac:dyDescent="0.3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399999999999999" x14ac:dyDescent="0.3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399999999999999" x14ac:dyDescent="0.3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399999999999999" x14ac:dyDescent="0.3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399999999999999" x14ac:dyDescent="0.3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399999999999999" x14ac:dyDescent="0.3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399999999999999" x14ac:dyDescent="0.3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399999999999999" x14ac:dyDescent="0.3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399999999999999" x14ac:dyDescent="0.3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399999999999999" x14ac:dyDescent="0.3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399999999999999" x14ac:dyDescent="0.3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399999999999999" x14ac:dyDescent="0.3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399999999999999" x14ac:dyDescent="0.3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399999999999999" x14ac:dyDescent="0.3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399999999999999" x14ac:dyDescent="0.3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399999999999999" x14ac:dyDescent="0.3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399999999999999" x14ac:dyDescent="0.3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399999999999999" x14ac:dyDescent="0.3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399999999999999" x14ac:dyDescent="0.3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399999999999999" x14ac:dyDescent="0.3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399999999999999" x14ac:dyDescent="0.3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399999999999999" x14ac:dyDescent="0.3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399999999999999" x14ac:dyDescent="0.3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399999999999999" x14ac:dyDescent="0.3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399999999999999" x14ac:dyDescent="0.3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399999999999999" x14ac:dyDescent="0.3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399999999999999" x14ac:dyDescent="0.3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399999999999999" x14ac:dyDescent="0.3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399999999999999" x14ac:dyDescent="0.3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399999999999999" x14ac:dyDescent="0.3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399999999999999" x14ac:dyDescent="0.3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399999999999999" x14ac:dyDescent="0.3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399999999999999" x14ac:dyDescent="0.3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399999999999999" x14ac:dyDescent="0.3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399999999999999" x14ac:dyDescent="0.3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399999999999999" x14ac:dyDescent="0.3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399999999999999" x14ac:dyDescent="0.3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399999999999999" x14ac:dyDescent="0.3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399999999999999" x14ac:dyDescent="0.3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399999999999999" x14ac:dyDescent="0.3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399999999999999" x14ac:dyDescent="0.3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399999999999999" x14ac:dyDescent="0.3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399999999999999" x14ac:dyDescent="0.3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399999999999999" x14ac:dyDescent="0.3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399999999999999" x14ac:dyDescent="0.3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399999999999999" x14ac:dyDescent="0.3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399999999999999" x14ac:dyDescent="0.3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399999999999999" x14ac:dyDescent="0.3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399999999999999" x14ac:dyDescent="0.3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399999999999999" x14ac:dyDescent="0.3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399999999999999" x14ac:dyDescent="0.3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399999999999999" x14ac:dyDescent="0.3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399999999999999" x14ac:dyDescent="0.3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399999999999999" x14ac:dyDescent="0.3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399999999999999" x14ac:dyDescent="0.3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399999999999999" x14ac:dyDescent="0.3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399999999999999" x14ac:dyDescent="0.3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399999999999999" x14ac:dyDescent="0.3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399999999999999" x14ac:dyDescent="0.3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399999999999999" x14ac:dyDescent="0.3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399999999999999" x14ac:dyDescent="0.3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399999999999999" x14ac:dyDescent="0.3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399999999999999" x14ac:dyDescent="0.3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399999999999999" x14ac:dyDescent="0.3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399999999999999" x14ac:dyDescent="0.3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399999999999999" x14ac:dyDescent="0.3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399999999999999" x14ac:dyDescent="0.3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399999999999999" x14ac:dyDescent="0.3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399999999999999" x14ac:dyDescent="0.3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399999999999999" x14ac:dyDescent="0.3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399999999999999" x14ac:dyDescent="0.3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399999999999999" x14ac:dyDescent="0.3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399999999999999" x14ac:dyDescent="0.3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399999999999999" x14ac:dyDescent="0.3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399999999999999" x14ac:dyDescent="0.3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399999999999999" x14ac:dyDescent="0.3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399999999999999" x14ac:dyDescent="0.3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399999999999999" x14ac:dyDescent="0.3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399999999999999" x14ac:dyDescent="0.3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399999999999999" x14ac:dyDescent="0.3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399999999999999" x14ac:dyDescent="0.3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399999999999999" x14ac:dyDescent="0.3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399999999999999" x14ac:dyDescent="0.3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399999999999999" x14ac:dyDescent="0.3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399999999999999" x14ac:dyDescent="0.3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399999999999999" x14ac:dyDescent="0.3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399999999999999" x14ac:dyDescent="0.3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399999999999999" x14ac:dyDescent="0.3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399999999999999" x14ac:dyDescent="0.3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399999999999999" x14ac:dyDescent="0.3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399999999999999" x14ac:dyDescent="0.3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399999999999999" x14ac:dyDescent="0.3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399999999999999" x14ac:dyDescent="0.3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399999999999999" x14ac:dyDescent="0.3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399999999999999" x14ac:dyDescent="0.3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399999999999999" x14ac:dyDescent="0.3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399999999999999" x14ac:dyDescent="0.3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399999999999999" x14ac:dyDescent="0.3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399999999999999" x14ac:dyDescent="0.3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399999999999999" x14ac:dyDescent="0.3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399999999999999" x14ac:dyDescent="0.3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399999999999999" x14ac:dyDescent="0.3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399999999999999" x14ac:dyDescent="0.3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399999999999999" x14ac:dyDescent="0.3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399999999999999" x14ac:dyDescent="0.3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399999999999999" x14ac:dyDescent="0.3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399999999999999" x14ac:dyDescent="0.3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399999999999999" x14ac:dyDescent="0.3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399999999999999" x14ac:dyDescent="0.3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399999999999999" x14ac:dyDescent="0.3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399999999999999" x14ac:dyDescent="0.3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399999999999999" x14ac:dyDescent="0.3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399999999999999" x14ac:dyDescent="0.3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399999999999999" x14ac:dyDescent="0.3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399999999999999" x14ac:dyDescent="0.3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399999999999999" x14ac:dyDescent="0.3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399999999999999" x14ac:dyDescent="0.3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399999999999999" x14ac:dyDescent="0.3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399999999999999" x14ac:dyDescent="0.3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399999999999999" x14ac:dyDescent="0.3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399999999999999" x14ac:dyDescent="0.3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399999999999999" x14ac:dyDescent="0.3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399999999999999" x14ac:dyDescent="0.3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399999999999999" x14ac:dyDescent="0.3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399999999999999" x14ac:dyDescent="0.3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399999999999999" x14ac:dyDescent="0.3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399999999999999" x14ac:dyDescent="0.3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399999999999999" x14ac:dyDescent="0.3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399999999999999" x14ac:dyDescent="0.3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399999999999999" x14ac:dyDescent="0.3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399999999999999" x14ac:dyDescent="0.3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399999999999999" x14ac:dyDescent="0.3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399999999999999" x14ac:dyDescent="0.3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399999999999999" x14ac:dyDescent="0.3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399999999999999" x14ac:dyDescent="0.3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399999999999999" x14ac:dyDescent="0.3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399999999999999" x14ac:dyDescent="0.3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399999999999999" x14ac:dyDescent="0.3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399999999999999" x14ac:dyDescent="0.3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399999999999999" x14ac:dyDescent="0.3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399999999999999" x14ac:dyDescent="0.3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399999999999999" x14ac:dyDescent="0.3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399999999999999" x14ac:dyDescent="0.3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399999999999999" x14ac:dyDescent="0.3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399999999999999" x14ac:dyDescent="0.3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399999999999999" x14ac:dyDescent="0.3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399999999999999" x14ac:dyDescent="0.3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399999999999999" x14ac:dyDescent="0.3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399999999999999" x14ac:dyDescent="0.3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399999999999999" x14ac:dyDescent="0.3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399999999999999" x14ac:dyDescent="0.3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399999999999999" x14ac:dyDescent="0.3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399999999999999" x14ac:dyDescent="0.3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399999999999999" x14ac:dyDescent="0.3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399999999999999" x14ac:dyDescent="0.3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399999999999999" x14ac:dyDescent="0.3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399999999999999" x14ac:dyDescent="0.3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399999999999999" x14ac:dyDescent="0.3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399999999999999" x14ac:dyDescent="0.3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399999999999999" x14ac:dyDescent="0.3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399999999999999" x14ac:dyDescent="0.3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399999999999999" x14ac:dyDescent="0.3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399999999999999" x14ac:dyDescent="0.3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399999999999999" x14ac:dyDescent="0.3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399999999999999" x14ac:dyDescent="0.3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399999999999999" x14ac:dyDescent="0.3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399999999999999" x14ac:dyDescent="0.3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399999999999999" x14ac:dyDescent="0.3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399999999999999" x14ac:dyDescent="0.3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399999999999999" x14ac:dyDescent="0.3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399999999999999" x14ac:dyDescent="0.3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399999999999999" x14ac:dyDescent="0.3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399999999999999" x14ac:dyDescent="0.3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399999999999999" x14ac:dyDescent="0.3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399999999999999" x14ac:dyDescent="0.3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399999999999999" x14ac:dyDescent="0.3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399999999999999" x14ac:dyDescent="0.3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399999999999999" x14ac:dyDescent="0.3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399999999999999" x14ac:dyDescent="0.3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399999999999999" x14ac:dyDescent="0.3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399999999999999" x14ac:dyDescent="0.3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399999999999999" x14ac:dyDescent="0.3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399999999999999" x14ac:dyDescent="0.3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399999999999999" x14ac:dyDescent="0.3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399999999999999" x14ac:dyDescent="0.3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399999999999999" x14ac:dyDescent="0.3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399999999999999" x14ac:dyDescent="0.3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399999999999999" x14ac:dyDescent="0.3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399999999999999" x14ac:dyDescent="0.3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399999999999999" x14ac:dyDescent="0.3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399999999999999" x14ac:dyDescent="0.3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399999999999999" x14ac:dyDescent="0.3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399999999999999" x14ac:dyDescent="0.3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399999999999999" x14ac:dyDescent="0.3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399999999999999" x14ac:dyDescent="0.3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399999999999999" x14ac:dyDescent="0.3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399999999999999" x14ac:dyDescent="0.3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399999999999999" x14ac:dyDescent="0.3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399999999999999" x14ac:dyDescent="0.3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399999999999999" x14ac:dyDescent="0.3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399999999999999" x14ac:dyDescent="0.3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399999999999999" x14ac:dyDescent="0.3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399999999999999" x14ac:dyDescent="0.3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399999999999999" x14ac:dyDescent="0.3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399999999999999" x14ac:dyDescent="0.3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399999999999999" x14ac:dyDescent="0.3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399999999999999" x14ac:dyDescent="0.3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399999999999999" x14ac:dyDescent="0.3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399999999999999" x14ac:dyDescent="0.3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399999999999999" x14ac:dyDescent="0.3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399999999999999" x14ac:dyDescent="0.3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399999999999999" x14ac:dyDescent="0.3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399999999999999" x14ac:dyDescent="0.3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399999999999999" x14ac:dyDescent="0.3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399999999999999" x14ac:dyDescent="0.3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399999999999999" x14ac:dyDescent="0.3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399999999999999" x14ac:dyDescent="0.3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399999999999999" x14ac:dyDescent="0.3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399999999999999" x14ac:dyDescent="0.3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399999999999999" x14ac:dyDescent="0.3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399999999999999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399999999999999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399999999999999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399999999999999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399999999999999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399999999999999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399999999999999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399999999999999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399999999999999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399999999999999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399999999999999" x14ac:dyDescent="0.3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399999999999999" x14ac:dyDescent="0.3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399999999999999" x14ac:dyDescent="0.3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399999999999999" x14ac:dyDescent="0.3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399999999999999" x14ac:dyDescent="0.3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399999999999999" x14ac:dyDescent="0.3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399999999999999" x14ac:dyDescent="0.3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399999999999999" x14ac:dyDescent="0.3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399999999999999" x14ac:dyDescent="0.3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399999999999999" x14ac:dyDescent="0.3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399999999999999" x14ac:dyDescent="0.3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399999999999999" x14ac:dyDescent="0.3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399999999999999" x14ac:dyDescent="0.3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399999999999999" x14ac:dyDescent="0.3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399999999999999" x14ac:dyDescent="0.3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399999999999999" x14ac:dyDescent="0.3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399999999999999" x14ac:dyDescent="0.3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399999999999999" x14ac:dyDescent="0.3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399999999999999" x14ac:dyDescent="0.3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399999999999999" x14ac:dyDescent="0.3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399999999999999" x14ac:dyDescent="0.3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399999999999999" x14ac:dyDescent="0.3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399999999999999" x14ac:dyDescent="0.3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399999999999999" x14ac:dyDescent="0.3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399999999999999" x14ac:dyDescent="0.3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399999999999999" x14ac:dyDescent="0.3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399999999999999" x14ac:dyDescent="0.3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399999999999999" x14ac:dyDescent="0.3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399999999999999" x14ac:dyDescent="0.3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399999999999999" x14ac:dyDescent="0.3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399999999999999" x14ac:dyDescent="0.3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399999999999999" x14ac:dyDescent="0.3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399999999999999" x14ac:dyDescent="0.3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399999999999999" x14ac:dyDescent="0.3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399999999999999" x14ac:dyDescent="0.3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399999999999999" x14ac:dyDescent="0.3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399999999999999" x14ac:dyDescent="0.3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399999999999999" x14ac:dyDescent="0.3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399999999999999" x14ac:dyDescent="0.3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399999999999999" x14ac:dyDescent="0.3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399999999999999" x14ac:dyDescent="0.3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399999999999999" x14ac:dyDescent="0.3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399999999999999" x14ac:dyDescent="0.3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399999999999999" x14ac:dyDescent="0.3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399999999999999" x14ac:dyDescent="0.3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399999999999999" x14ac:dyDescent="0.3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399999999999999" x14ac:dyDescent="0.3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399999999999999" x14ac:dyDescent="0.3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399999999999999" x14ac:dyDescent="0.3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399999999999999" x14ac:dyDescent="0.3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399999999999999" x14ac:dyDescent="0.3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399999999999999" x14ac:dyDescent="0.3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399999999999999" x14ac:dyDescent="0.3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399999999999999" x14ac:dyDescent="0.3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399999999999999" x14ac:dyDescent="0.3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399999999999999" x14ac:dyDescent="0.3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399999999999999" x14ac:dyDescent="0.3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399999999999999" x14ac:dyDescent="0.3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399999999999999" x14ac:dyDescent="0.3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399999999999999" x14ac:dyDescent="0.3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399999999999999" x14ac:dyDescent="0.3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399999999999999" x14ac:dyDescent="0.3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399999999999999" x14ac:dyDescent="0.3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399999999999999" x14ac:dyDescent="0.3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399999999999999" x14ac:dyDescent="0.3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399999999999999" x14ac:dyDescent="0.3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399999999999999" x14ac:dyDescent="0.3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399999999999999" x14ac:dyDescent="0.3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399999999999999" x14ac:dyDescent="0.3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399999999999999" x14ac:dyDescent="0.3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399999999999999" x14ac:dyDescent="0.3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399999999999999" x14ac:dyDescent="0.3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399999999999999" x14ac:dyDescent="0.3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399999999999999" x14ac:dyDescent="0.3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399999999999999" x14ac:dyDescent="0.3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399999999999999" x14ac:dyDescent="0.3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399999999999999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399999999999999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399999999999999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399999999999999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399999999999999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399999999999999" x14ac:dyDescent="0.3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399999999999999" x14ac:dyDescent="0.3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399999999999999" x14ac:dyDescent="0.3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399999999999999" x14ac:dyDescent="0.3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399999999999999" x14ac:dyDescent="0.3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399999999999999" x14ac:dyDescent="0.3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399999999999999" x14ac:dyDescent="0.3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399999999999999" x14ac:dyDescent="0.3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399999999999999" x14ac:dyDescent="0.3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399999999999999" x14ac:dyDescent="0.3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399999999999999" x14ac:dyDescent="0.3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399999999999999" x14ac:dyDescent="0.3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399999999999999" x14ac:dyDescent="0.3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399999999999999" x14ac:dyDescent="0.3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399999999999999" x14ac:dyDescent="0.3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399999999999999" x14ac:dyDescent="0.3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399999999999999" x14ac:dyDescent="0.3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399999999999999" x14ac:dyDescent="0.3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399999999999999" x14ac:dyDescent="0.3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399999999999999" x14ac:dyDescent="0.3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399999999999999" x14ac:dyDescent="0.3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399999999999999" x14ac:dyDescent="0.3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399999999999999" x14ac:dyDescent="0.3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399999999999999" x14ac:dyDescent="0.3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399999999999999" x14ac:dyDescent="0.3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399999999999999" x14ac:dyDescent="0.3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399999999999999" x14ac:dyDescent="0.3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399999999999999" x14ac:dyDescent="0.3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399999999999999" x14ac:dyDescent="0.3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399999999999999" x14ac:dyDescent="0.3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399999999999999" x14ac:dyDescent="0.3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399999999999999" x14ac:dyDescent="0.3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399999999999999" x14ac:dyDescent="0.3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399999999999999" x14ac:dyDescent="0.3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399999999999999" x14ac:dyDescent="0.3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399999999999999" x14ac:dyDescent="0.3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399999999999999" x14ac:dyDescent="0.3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399999999999999" x14ac:dyDescent="0.3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399999999999999" x14ac:dyDescent="0.3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399999999999999" x14ac:dyDescent="0.3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399999999999999" x14ac:dyDescent="0.3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399999999999999" x14ac:dyDescent="0.3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399999999999999" x14ac:dyDescent="0.3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399999999999999" x14ac:dyDescent="0.3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399999999999999" x14ac:dyDescent="0.3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399999999999999" x14ac:dyDescent="0.3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399999999999999" x14ac:dyDescent="0.3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399999999999999" x14ac:dyDescent="0.3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399999999999999" x14ac:dyDescent="0.3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399999999999999" x14ac:dyDescent="0.3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399999999999999" x14ac:dyDescent="0.3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399999999999999" x14ac:dyDescent="0.3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399999999999999" x14ac:dyDescent="0.3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399999999999999" x14ac:dyDescent="0.3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399999999999999" x14ac:dyDescent="0.3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399999999999999" x14ac:dyDescent="0.3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399999999999999" x14ac:dyDescent="0.3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399999999999999" x14ac:dyDescent="0.3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399999999999999" x14ac:dyDescent="0.3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399999999999999" x14ac:dyDescent="0.3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399999999999999" x14ac:dyDescent="0.3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399999999999999" x14ac:dyDescent="0.3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399999999999999" x14ac:dyDescent="0.3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399999999999999" x14ac:dyDescent="0.3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399999999999999" x14ac:dyDescent="0.3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399999999999999" x14ac:dyDescent="0.3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399999999999999" x14ac:dyDescent="0.3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399999999999999" x14ac:dyDescent="0.3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399999999999999" x14ac:dyDescent="0.3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399999999999999" x14ac:dyDescent="0.3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399999999999999" x14ac:dyDescent="0.3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399999999999999" x14ac:dyDescent="0.3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399999999999999" x14ac:dyDescent="0.3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399999999999999" x14ac:dyDescent="0.3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399999999999999" x14ac:dyDescent="0.3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399999999999999" x14ac:dyDescent="0.3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399999999999999" x14ac:dyDescent="0.3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399999999999999" x14ac:dyDescent="0.3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399999999999999" x14ac:dyDescent="0.3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399999999999999" x14ac:dyDescent="0.3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399999999999999" x14ac:dyDescent="0.3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399999999999999" x14ac:dyDescent="0.3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399999999999999" x14ac:dyDescent="0.3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399999999999999" x14ac:dyDescent="0.3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399999999999999" x14ac:dyDescent="0.3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399999999999999" x14ac:dyDescent="0.3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399999999999999" x14ac:dyDescent="0.3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399999999999999" x14ac:dyDescent="0.3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399999999999999" x14ac:dyDescent="0.3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399999999999999" x14ac:dyDescent="0.3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399999999999999" x14ac:dyDescent="0.3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399999999999999" x14ac:dyDescent="0.3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399999999999999" x14ac:dyDescent="0.3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399999999999999" x14ac:dyDescent="0.3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399999999999999" x14ac:dyDescent="0.3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399999999999999" x14ac:dyDescent="0.3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399999999999999" x14ac:dyDescent="0.3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399999999999999" x14ac:dyDescent="0.3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399999999999999" x14ac:dyDescent="0.3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399999999999999" x14ac:dyDescent="0.3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399999999999999" x14ac:dyDescent="0.3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399999999999999" x14ac:dyDescent="0.3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399999999999999" x14ac:dyDescent="0.3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399999999999999" x14ac:dyDescent="0.3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399999999999999" x14ac:dyDescent="0.3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399999999999999" x14ac:dyDescent="0.3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399999999999999" x14ac:dyDescent="0.3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399999999999999" x14ac:dyDescent="0.3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399999999999999" x14ac:dyDescent="0.3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399999999999999" x14ac:dyDescent="0.3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399999999999999" x14ac:dyDescent="0.3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399999999999999" x14ac:dyDescent="0.3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399999999999999" x14ac:dyDescent="0.3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399999999999999" x14ac:dyDescent="0.3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399999999999999" x14ac:dyDescent="0.3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399999999999999" x14ac:dyDescent="0.3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399999999999999" x14ac:dyDescent="0.3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399999999999999" x14ac:dyDescent="0.3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399999999999999" x14ac:dyDescent="0.3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399999999999999" x14ac:dyDescent="0.3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399999999999999" x14ac:dyDescent="0.3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399999999999999" x14ac:dyDescent="0.3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399999999999999" x14ac:dyDescent="0.3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399999999999999" x14ac:dyDescent="0.3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399999999999999" x14ac:dyDescent="0.3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399999999999999" x14ac:dyDescent="0.3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399999999999999" x14ac:dyDescent="0.3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399999999999999" x14ac:dyDescent="0.3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399999999999999" x14ac:dyDescent="0.3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399999999999999" x14ac:dyDescent="0.3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399999999999999" x14ac:dyDescent="0.3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399999999999999" x14ac:dyDescent="0.3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399999999999999" x14ac:dyDescent="0.3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399999999999999" x14ac:dyDescent="0.3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399999999999999" x14ac:dyDescent="0.3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399999999999999" x14ac:dyDescent="0.3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399999999999999" x14ac:dyDescent="0.3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399999999999999" x14ac:dyDescent="0.3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399999999999999" x14ac:dyDescent="0.3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399999999999999" x14ac:dyDescent="0.3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399999999999999" x14ac:dyDescent="0.3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399999999999999" x14ac:dyDescent="0.3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399999999999999" x14ac:dyDescent="0.3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399999999999999" x14ac:dyDescent="0.3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399999999999999" x14ac:dyDescent="0.3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399999999999999" x14ac:dyDescent="0.3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399999999999999" x14ac:dyDescent="0.3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399999999999999" x14ac:dyDescent="0.3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399999999999999" x14ac:dyDescent="0.3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399999999999999" x14ac:dyDescent="0.3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399999999999999" x14ac:dyDescent="0.3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399999999999999" x14ac:dyDescent="0.3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399999999999999" x14ac:dyDescent="0.3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399999999999999" x14ac:dyDescent="0.3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399999999999999" x14ac:dyDescent="0.3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399999999999999" x14ac:dyDescent="0.3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399999999999999" x14ac:dyDescent="0.3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399999999999999" x14ac:dyDescent="0.3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399999999999999" x14ac:dyDescent="0.3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399999999999999" x14ac:dyDescent="0.3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399999999999999" x14ac:dyDescent="0.3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399999999999999" x14ac:dyDescent="0.3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399999999999999" x14ac:dyDescent="0.3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399999999999999" x14ac:dyDescent="0.3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399999999999999" x14ac:dyDescent="0.3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399999999999999" x14ac:dyDescent="0.3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399999999999999" x14ac:dyDescent="0.3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399999999999999" x14ac:dyDescent="0.3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399999999999999" x14ac:dyDescent="0.3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399999999999999" x14ac:dyDescent="0.3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399999999999999" x14ac:dyDescent="0.3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399999999999999" x14ac:dyDescent="0.3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399999999999999" x14ac:dyDescent="0.3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399999999999999" x14ac:dyDescent="0.3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399999999999999" x14ac:dyDescent="0.3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399999999999999" x14ac:dyDescent="0.3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399999999999999" x14ac:dyDescent="0.3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399999999999999" x14ac:dyDescent="0.3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399999999999999" x14ac:dyDescent="0.3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399999999999999" x14ac:dyDescent="0.3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399999999999999" x14ac:dyDescent="0.3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399999999999999" x14ac:dyDescent="0.3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399999999999999" x14ac:dyDescent="0.3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399999999999999" x14ac:dyDescent="0.3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399999999999999" x14ac:dyDescent="0.3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399999999999999" x14ac:dyDescent="0.3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399999999999999" x14ac:dyDescent="0.3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399999999999999" x14ac:dyDescent="0.3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399999999999999" x14ac:dyDescent="0.3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399999999999999" x14ac:dyDescent="0.3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399999999999999" x14ac:dyDescent="0.3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399999999999999" x14ac:dyDescent="0.3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399999999999999" x14ac:dyDescent="0.3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399999999999999" x14ac:dyDescent="0.3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399999999999999" x14ac:dyDescent="0.3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399999999999999" x14ac:dyDescent="0.3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399999999999999" x14ac:dyDescent="0.3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399999999999999" x14ac:dyDescent="0.3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399999999999999" x14ac:dyDescent="0.3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399999999999999" x14ac:dyDescent="0.3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399999999999999" x14ac:dyDescent="0.3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399999999999999" x14ac:dyDescent="0.3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399999999999999" x14ac:dyDescent="0.3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399999999999999" x14ac:dyDescent="0.3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399999999999999" x14ac:dyDescent="0.3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399999999999999" x14ac:dyDescent="0.3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399999999999999" x14ac:dyDescent="0.3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399999999999999" x14ac:dyDescent="0.3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399999999999999" x14ac:dyDescent="0.3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399999999999999" x14ac:dyDescent="0.3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399999999999999" x14ac:dyDescent="0.3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399999999999999" x14ac:dyDescent="0.3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399999999999999" x14ac:dyDescent="0.3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399999999999999" x14ac:dyDescent="0.3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399999999999999" x14ac:dyDescent="0.3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399999999999999" x14ac:dyDescent="0.3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399999999999999" x14ac:dyDescent="0.3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399999999999999" x14ac:dyDescent="0.3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399999999999999" x14ac:dyDescent="0.3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399999999999999" x14ac:dyDescent="0.3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399999999999999" x14ac:dyDescent="0.3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399999999999999" x14ac:dyDescent="0.3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399999999999999" x14ac:dyDescent="0.3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399999999999999" x14ac:dyDescent="0.3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399999999999999" x14ac:dyDescent="0.3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399999999999999" x14ac:dyDescent="0.3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399999999999999" x14ac:dyDescent="0.3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399999999999999" x14ac:dyDescent="0.3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399999999999999" x14ac:dyDescent="0.3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399999999999999" x14ac:dyDescent="0.3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399999999999999" x14ac:dyDescent="0.3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399999999999999" x14ac:dyDescent="0.3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399999999999999" x14ac:dyDescent="0.3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399999999999999" x14ac:dyDescent="0.3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399999999999999" x14ac:dyDescent="0.3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399999999999999" x14ac:dyDescent="0.3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399999999999999" x14ac:dyDescent="0.3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399999999999999" x14ac:dyDescent="0.3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399999999999999" x14ac:dyDescent="0.3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399999999999999" x14ac:dyDescent="0.3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399999999999999" x14ac:dyDescent="0.3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399999999999999" x14ac:dyDescent="0.3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399999999999999" x14ac:dyDescent="0.3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399999999999999" x14ac:dyDescent="0.3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399999999999999" x14ac:dyDescent="0.3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399999999999999" x14ac:dyDescent="0.3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399999999999999" x14ac:dyDescent="0.3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399999999999999" x14ac:dyDescent="0.3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399999999999999" x14ac:dyDescent="0.3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399999999999999" x14ac:dyDescent="0.3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399999999999999" x14ac:dyDescent="0.3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399999999999999" x14ac:dyDescent="0.3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399999999999999" x14ac:dyDescent="0.3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399999999999999" x14ac:dyDescent="0.3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399999999999999" x14ac:dyDescent="0.3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399999999999999" x14ac:dyDescent="0.3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399999999999999" x14ac:dyDescent="0.3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399999999999999" x14ac:dyDescent="0.3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399999999999999" x14ac:dyDescent="0.3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399999999999999" x14ac:dyDescent="0.3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399999999999999" x14ac:dyDescent="0.3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399999999999999" x14ac:dyDescent="0.3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399999999999999" x14ac:dyDescent="0.3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399999999999999" x14ac:dyDescent="0.3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399999999999999" x14ac:dyDescent="0.3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399999999999999" x14ac:dyDescent="0.3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399999999999999" x14ac:dyDescent="0.3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399999999999999" x14ac:dyDescent="0.3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399999999999999" x14ac:dyDescent="0.3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399999999999999" x14ac:dyDescent="0.3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399999999999999" x14ac:dyDescent="0.3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399999999999999" x14ac:dyDescent="0.3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399999999999999" x14ac:dyDescent="0.3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399999999999999" x14ac:dyDescent="0.3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399999999999999" x14ac:dyDescent="0.3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399999999999999" x14ac:dyDescent="0.3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399999999999999" x14ac:dyDescent="0.3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399999999999999" x14ac:dyDescent="0.3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399999999999999" x14ac:dyDescent="0.3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399999999999999" x14ac:dyDescent="0.3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399999999999999" x14ac:dyDescent="0.3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399999999999999" x14ac:dyDescent="0.3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399999999999999" x14ac:dyDescent="0.3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399999999999999" x14ac:dyDescent="0.3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399999999999999" x14ac:dyDescent="0.3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399999999999999" x14ac:dyDescent="0.3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399999999999999" x14ac:dyDescent="0.3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399999999999999" x14ac:dyDescent="0.3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399999999999999" x14ac:dyDescent="0.3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399999999999999" x14ac:dyDescent="0.3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399999999999999" x14ac:dyDescent="0.3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399999999999999" x14ac:dyDescent="0.3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399999999999999" x14ac:dyDescent="0.3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399999999999999" x14ac:dyDescent="0.3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399999999999999" x14ac:dyDescent="0.3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399999999999999" x14ac:dyDescent="0.3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399999999999999" x14ac:dyDescent="0.3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399999999999999" x14ac:dyDescent="0.3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399999999999999" x14ac:dyDescent="0.3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399999999999999" x14ac:dyDescent="0.3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399999999999999" x14ac:dyDescent="0.3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399999999999999" x14ac:dyDescent="0.3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399999999999999" x14ac:dyDescent="0.3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399999999999999" x14ac:dyDescent="0.3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399999999999999" x14ac:dyDescent="0.3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399999999999999" x14ac:dyDescent="0.3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399999999999999" x14ac:dyDescent="0.3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399999999999999" x14ac:dyDescent="0.3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399999999999999" x14ac:dyDescent="0.3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399999999999999" x14ac:dyDescent="0.3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399999999999999" x14ac:dyDescent="0.3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399999999999999" x14ac:dyDescent="0.3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399999999999999" x14ac:dyDescent="0.3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399999999999999" x14ac:dyDescent="0.3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399999999999999" x14ac:dyDescent="0.3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399999999999999" x14ac:dyDescent="0.3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399999999999999" x14ac:dyDescent="0.3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399999999999999" x14ac:dyDescent="0.3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399999999999999" x14ac:dyDescent="0.3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399999999999999" x14ac:dyDescent="0.3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399999999999999" x14ac:dyDescent="0.3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399999999999999" x14ac:dyDescent="0.3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399999999999999" x14ac:dyDescent="0.3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399999999999999" x14ac:dyDescent="0.3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399999999999999" x14ac:dyDescent="0.3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399999999999999" x14ac:dyDescent="0.3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399999999999999" x14ac:dyDescent="0.3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399999999999999" x14ac:dyDescent="0.3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399999999999999" x14ac:dyDescent="0.3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399999999999999" x14ac:dyDescent="0.3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399999999999999" x14ac:dyDescent="0.3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399999999999999" x14ac:dyDescent="0.3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399999999999999" x14ac:dyDescent="0.3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399999999999999" x14ac:dyDescent="0.3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399999999999999" x14ac:dyDescent="0.3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399999999999999" x14ac:dyDescent="0.3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399999999999999" x14ac:dyDescent="0.3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399999999999999" x14ac:dyDescent="0.3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399999999999999" x14ac:dyDescent="0.3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399999999999999" x14ac:dyDescent="0.3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399999999999999" x14ac:dyDescent="0.3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399999999999999" x14ac:dyDescent="0.3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399999999999999" x14ac:dyDescent="0.3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399999999999999" x14ac:dyDescent="0.3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399999999999999" x14ac:dyDescent="0.3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399999999999999" x14ac:dyDescent="0.3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399999999999999" x14ac:dyDescent="0.3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399999999999999" x14ac:dyDescent="0.3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399999999999999" x14ac:dyDescent="0.3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399999999999999" x14ac:dyDescent="0.3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399999999999999" x14ac:dyDescent="0.3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399999999999999" x14ac:dyDescent="0.3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399999999999999" x14ac:dyDescent="0.3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399999999999999" x14ac:dyDescent="0.3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399999999999999" x14ac:dyDescent="0.3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399999999999999" x14ac:dyDescent="0.3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399999999999999" x14ac:dyDescent="0.3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399999999999999" x14ac:dyDescent="0.3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399999999999999" x14ac:dyDescent="0.3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399999999999999" x14ac:dyDescent="0.3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399999999999999" x14ac:dyDescent="0.3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399999999999999" x14ac:dyDescent="0.3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399999999999999" x14ac:dyDescent="0.3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399999999999999" x14ac:dyDescent="0.3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3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3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3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3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3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3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3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3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3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3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3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3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3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3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3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3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3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3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3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3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3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3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3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3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3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3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3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3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3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3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3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3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3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3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3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3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3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3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3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3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3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3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3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3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3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3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3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3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3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3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3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3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3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3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3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3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3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3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3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3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3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3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3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3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3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3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3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3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3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3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3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3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3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3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3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3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3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3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3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3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3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3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3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3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3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3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3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3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3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3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3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3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3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3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3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3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3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3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3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3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3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3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3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3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3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3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3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3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3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3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3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3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3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3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3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3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3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3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3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3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3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3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3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399999999999999" x14ac:dyDescent="0.3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399999999999999" x14ac:dyDescent="0.3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399999999999999" x14ac:dyDescent="0.3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399999999999999" x14ac:dyDescent="0.3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399999999999999" x14ac:dyDescent="0.3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399999999999999" x14ac:dyDescent="0.3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399999999999999" x14ac:dyDescent="0.3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399999999999999" x14ac:dyDescent="0.3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399999999999999" x14ac:dyDescent="0.3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399999999999999" x14ac:dyDescent="0.3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399999999999999" x14ac:dyDescent="0.3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399999999999999" x14ac:dyDescent="0.3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399999999999999" x14ac:dyDescent="0.3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399999999999999" x14ac:dyDescent="0.3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399999999999999" x14ac:dyDescent="0.3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399999999999999" x14ac:dyDescent="0.3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399999999999999" x14ac:dyDescent="0.3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399999999999999" x14ac:dyDescent="0.3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399999999999999" x14ac:dyDescent="0.3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399999999999999" x14ac:dyDescent="0.3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399999999999999" x14ac:dyDescent="0.3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399999999999999" x14ac:dyDescent="0.3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399999999999999" x14ac:dyDescent="0.3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399999999999999" x14ac:dyDescent="0.3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399999999999999" x14ac:dyDescent="0.3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399999999999999" x14ac:dyDescent="0.3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399999999999999" x14ac:dyDescent="0.3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399999999999999" x14ac:dyDescent="0.3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399999999999999" x14ac:dyDescent="0.3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399999999999999" x14ac:dyDescent="0.3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399999999999999" x14ac:dyDescent="0.3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399999999999999" x14ac:dyDescent="0.3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399999999999999" x14ac:dyDescent="0.3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399999999999999" x14ac:dyDescent="0.3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399999999999999" x14ac:dyDescent="0.3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399999999999999" x14ac:dyDescent="0.3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399999999999999" x14ac:dyDescent="0.3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399999999999999" x14ac:dyDescent="0.3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399999999999999" x14ac:dyDescent="0.3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399999999999999" x14ac:dyDescent="0.3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399999999999999" x14ac:dyDescent="0.3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399999999999999" x14ac:dyDescent="0.3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399999999999999" x14ac:dyDescent="0.3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399999999999999" x14ac:dyDescent="0.3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399999999999999" x14ac:dyDescent="0.3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399999999999999" x14ac:dyDescent="0.3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399999999999999" x14ac:dyDescent="0.3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399999999999999" x14ac:dyDescent="0.3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399999999999999" x14ac:dyDescent="0.3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399999999999999" x14ac:dyDescent="0.3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399999999999999" x14ac:dyDescent="0.3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399999999999999" x14ac:dyDescent="0.3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399999999999999" x14ac:dyDescent="0.3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399999999999999" x14ac:dyDescent="0.3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399999999999999" x14ac:dyDescent="0.3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399999999999999" x14ac:dyDescent="0.3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399999999999999" x14ac:dyDescent="0.3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399999999999999" x14ac:dyDescent="0.3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399999999999999" x14ac:dyDescent="0.3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399999999999999" x14ac:dyDescent="0.3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399999999999999" x14ac:dyDescent="0.3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399999999999999" x14ac:dyDescent="0.3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399999999999999" x14ac:dyDescent="0.3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399999999999999" x14ac:dyDescent="0.3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399999999999999" x14ac:dyDescent="0.3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399999999999999" x14ac:dyDescent="0.3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399999999999999" x14ac:dyDescent="0.3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399999999999999" x14ac:dyDescent="0.3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399999999999999" x14ac:dyDescent="0.3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399999999999999" x14ac:dyDescent="0.3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399999999999999" x14ac:dyDescent="0.3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399999999999999" x14ac:dyDescent="0.3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399999999999999" x14ac:dyDescent="0.3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399999999999999" x14ac:dyDescent="0.3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399999999999999" x14ac:dyDescent="0.3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399999999999999" x14ac:dyDescent="0.3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399999999999999" x14ac:dyDescent="0.3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399999999999999" x14ac:dyDescent="0.3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399999999999999" x14ac:dyDescent="0.3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399999999999999" x14ac:dyDescent="0.3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399999999999999" x14ac:dyDescent="0.3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399999999999999" x14ac:dyDescent="0.3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399999999999999" x14ac:dyDescent="0.3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399999999999999" x14ac:dyDescent="0.3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399999999999999" x14ac:dyDescent="0.3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399999999999999" x14ac:dyDescent="0.3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399999999999999" x14ac:dyDescent="0.3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399999999999999" x14ac:dyDescent="0.3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399999999999999" x14ac:dyDescent="0.3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399999999999999" x14ac:dyDescent="0.3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399999999999999" x14ac:dyDescent="0.3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399999999999999" x14ac:dyDescent="0.3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399999999999999" x14ac:dyDescent="0.3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399999999999999" x14ac:dyDescent="0.3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399999999999999" x14ac:dyDescent="0.3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399999999999999" x14ac:dyDescent="0.3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399999999999999" x14ac:dyDescent="0.3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399999999999999" x14ac:dyDescent="0.3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399999999999999" x14ac:dyDescent="0.3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399999999999999" x14ac:dyDescent="0.3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399999999999999" x14ac:dyDescent="0.3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399999999999999" x14ac:dyDescent="0.3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399999999999999" x14ac:dyDescent="0.3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399999999999999" x14ac:dyDescent="0.3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399999999999999" x14ac:dyDescent="0.3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399999999999999" x14ac:dyDescent="0.3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399999999999999" x14ac:dyDescent="0.3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399999999999999" x14ac:dyDescent="0.3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399999999999999" x14ac:dyDescent="0.3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399999999999999" x14ac:dyDescent="0.3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399999999999999" x14ac:dyDescent="0.3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399999999999999" x14ac:dyDescent="0.3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399999999999999" x14ac:dyDescent="0.3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399999999999999" x14ac:dyDescent="0.3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399999999999999" x14ac:dyDescent="0.3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399999999999999" x14ac:dyDescent="0.3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399999999999999" x14ac:dyDescent="0.3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399999999999999" x14ac:dyDescent="0.3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399999999999999" x14ac:dyDescent="0.3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399999999999999" x14ac:dyDescent="0.3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399999999999999" x14ac:dyDescent="0.3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399999999999999" x14ac:dyDescent="0.3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399999999999999" x14ac:dyDescent="0.3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399999999999999" x14ac:dyDescent="0.3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399999999999999" x14ac:dyDescent="0.3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399999999999999" x14ac:dyDescent="0.3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399999999999999" x14ac:dyDescent="0.3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399999999999999" x14ac:dyDescent="0.3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399999999999999" x14ac:dyDescent="0.3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399999999999999" x14ac:dyDescent="0.3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399999999999999" x14ac:dyDescent="0.3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399999999999999" x14ac:dyDescent="0.3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399999999999999" x14ac:dyDescent="0.3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399999999999999" x14ac:dyDescent="0.3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399999999999999" x14ac:dyDescent="0.3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399999999999999" x14ac:dyDescent="0.3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399999999999999" x14ac:dyDescent="0.3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399999999999999" x14ac:dyDescent="0.3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399999999999999" x14ac:dyDescent="0.3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399999999999999" x14ac:dyDescent="0.3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399999999999999" x14ac:dyDescent="0.3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399999999999999" x14ac:dyDescent="0.3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399999999999999" x14ac:dyDescent="0.3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399999999999999" x14ac:dyDescent="0.3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399999999999999" x14ac:dyDescent="0.3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399999999999999" x14ac:dyDescent="0.3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399999999999999" x14ac:dyDescent="0.3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399999999999999" x14ac:dyDescent="0.3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399999999999999" x14ac:dyDescent="0.3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399999999999999" x14ac:dyDescent="0.3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399999999999999" x14ac:dyDescent="0.3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399999999999999" x14ac:dyDescent="0.3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399999999999999" x14ac:dyDescent="0.3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399999999999999" x14ac:dyDescent="0.3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399999999999999" x14ac:dyDescent="0.3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399999999999999" x14ac:dyDescent="0.3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399999999999999" x14ac:dyDescent="0.3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399999999999999" x14ac:dyDescent="0.3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399999999999999" x14ac:dyDescent="0.3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399999999999999" x14ac:dyDescent="0.3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399999999999999" x14ac:dyDescent="0.3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399999999999999" x14ac:dyDescent="0.3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399999999999999" x14ac:dyDescent="0.3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399999999999999" x14ac:dyDescent="0.3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399999999999999" x14ac:dyDescent="0.3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399999999999999" x14ac:dyDescent="0.3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399999999999999" x14ac:dyDescent="0.3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399999999999999" x14ac:dyDescent="0.3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399999999999999" x14ac:dyDescent="0.3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399999999999999" x14ac:dyDescent="0.3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399999999999999" x14ac:dyDescent="0.3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399999999999999" x14ac:dyDescent="0.3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399999999999999" x14ac:dyDescent="0.3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399999999999999" x14ac:dyDescent="0.3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399999999999999" x14ac:dyDescent="0.3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399999999999999" x14ac:dyDescent="0.3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399999999999999" x14ac:dyDescent="0.3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399999999999999" x14ac:dyDescent="0.3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399999999999999" x14ac:dyDescent="0.3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399999999999999" x14ac:dyDescent="0.3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399999999999999" x14ac:dyDescent="0.3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399999999999999" x14ac:dyDescent="0.3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399999999999999" x14ac:dyDescent="0.3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399999999999999" x14ac:dyDescent="0.3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399999999999999" x14ac:dyDescent="0.3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399999999999999" x14ac:dyDescent="0.3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399999999999999" x14ac:dyDescent="0.3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399999999999999" x14ac:dyDescent="0.3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399999999999999" x14ac:dyDescent="0.3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399999999999999" x14ac:dyDescent="0.3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399999999999999" x14ac:dyDescent="0.3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399999999999999" x14ac:dyDescent="0.3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399999999999999" x14ac:dyDescent="0.3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399999999999999" x14ac:dyDescent="0.3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399999999999999" x14ac:dyDescent="0.3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399999999999999" x14ac:dyDescent="0.3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399999999999999" x14ac:dyDescent="0.3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399999999999999" x14ac:dyDescent="0.3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399999999999999" x14ac:dyDescent="0.3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399999999999999" x14ac:dyDescent="0.3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399999999999999" x14ac:dyDescent="0.3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399999999999999" x14ac:dyDescent="0.3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399999999999999" x14ac:dyDescent="0.3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399999999999999" x14ac:dyDescent="0.3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399999999999999" x14ac:dyDescent="0.3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399999999999999" x14ac:dyDescent="0.3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399999999999999" x14ac:dyDescent="0.3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399999999999999" x14ac:dyDescent="0.3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399999999999999" x14ac:dyDescent="0.3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399999999999999" x14ac:dyDescent="0.3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399999999999999" x14ac:dyDescent="0.3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399999999999999" x14ac:dyDescent="0.3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399999999999999" x14ac:dyDescent="0.3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399999999999999" x14ac:dyDescent="0.3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399999999999999" x14ac:dyDescent="0.3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399999999999999" x14ac:dyDescent="0.3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399999999999999" x14ac:dyDescent="0.3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399999999999999" x14ac:dyDescent="0.3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399999999999999" x14ac:dyDescent="0.3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399999999999999" x14ac:dyDescent="0.3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399999999999999" x14ac:dyDescent="0.3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399999999999999" x14ac:dyDescent="0.3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399999999999999" x14ac:dyDescent="0.3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399999999999999" x14ac:dyDescent="0.3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399999999999999" x14ac:dyDescent="0.3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399999999999999" x14ac:dyDescent="0.3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399999999999999" x14ac:dyDescent="0.3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399999999999999" x14ac:dyDescent="0.3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399999999999999" x14ac:dyDescent="0.3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399999999999999" x14ac:dyDescent="0.3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399999999999999" x14ac:dyDescent="0.3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399999999999999" x14ac:dyDescent="0.3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399999999999999" x14ac:dyDescent="0.3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399999999999999" x14ac:dyDescent="0.3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399999999999999" x14ac:dyDescent="0.3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399999999999999" x14ac:dyDescent="0.3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399999999999999" x14ac:dyDescent="0.3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399999999999999" x14ac:dyDescent="0.3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399999999999999" x14ac:dyDescent="0.3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399999999999999" x14ac:dyDescent="0.3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399999999999999" x14ac:dyDescent="0.3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399999999999999" x14ac:dyDescent="0.3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399999999999999" x14ac:dyDescent="0.3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399999999999999" x14ac:dyDescent="0.3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399999999999999" x14ac:dyDescent="0.3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399999999999999" x14ac:dyDescent="0.3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399999999999999" x14ac:dyDescent="0.3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399999999999999" x14ac:dyDescent="0.3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399999999999999" x14ac:dyDescent="0.3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399999999999999" x14ac:dyDescent="0.3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399999999999999" x14ac:dyDescent="0.3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399999999999999" x14ac:dyDescent="0.3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399999999999999" x14ac:dyDescent="0.3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399999999999999" x14ac:dyDescent="0.3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399999999999999" x14ac:dyDescent="0.3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399999999999999" x14ac:dyDescent="0.3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399999999999999" x14ac:dyDescent="0.3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399999999999999" x14ac:dyDescent="0.3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399999999999999" x14ac:dyDescent="0.3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399999999999999" x14ac:dyDescent="0.3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399999999999999" x14ac:dyDescent="0.3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399999999999999" x14ac:dyDescent="0.3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399999999999999" x14ac:dyDescent="0.3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399999999999999" x14ac:dyDescent="0.3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399999999999999" x14ac:dyDescent="0.3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399999999999999" x14ac:dyDescent="0.3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399999999999999" x14ac:dyDescent="0.3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399999999999999" x14ac:dyDescent="0.3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399999999999999" x14ac:dyDescent="0.3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399999999999999" x14ac:dyDescent="0.3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399999999999999" x14ac:dyDescent="0.3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399999999999999" x14ac:dyDescent="0.3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399999999999999" x14ac:dyDescent="0.3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399999999999999" x14ac:dyDescent="0.3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399999999999999" x14ac:dyDescent="0.3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399999999999999" x14ac:dyDescent="0.3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399999999999999" x14ac:dyDescent="0.3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399999999999999" x14ac:dyDescent="0.3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399999999999999" x14ac:dyDescent="0.3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399999999999999" x14ac:dyDescent="0.3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399999999999999" x14ac:dyDescent="0.3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399999999999999" x14ac:dyDescent="0.3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399999999999999" x14ac:dyDescent="0.3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399999999999999" x14ac:dyDescent="0.3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399999999999999" x14ac:dyDescent="0.3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399999999999999" x14ac:dyDescent="0.3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399999999999999" x14ac:dyDescent="0.3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399999999999999" x14ac:dyDescent="0.3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399999999999999" x14ac:dyDescent="0.3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399999999999999" x14ac:dyDescent="0.3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399999999999999" x14ac:dyDescent="0.3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399999999999999" x14ac:dyDescent="0.3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399999999999999" x14ac:dyDescent="0.3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399999999999999" x14ac:dyDescent="0.3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399999999999999" x14ac:dyDescent="0.3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399999999999999" x14ac:dyDescent="0.3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399999999999999" x14ac:dyDescent="0.3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399999999999999" x14ac:dyDescent="0.3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399999999999999" x14ac:dyDescent="0.3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399999999999999" x14ac:dyDescent="0.3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399999999999999" x14ac:dyDescent="0.3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399999999999999" x14ac:dyDescent="0.3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399999999999999" x14ac:dyDescent="0.3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399999999999999" x14ac:dyDescent="0.3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399999999999999" x14ac:dyDescent="0.3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399999999999999" x14ac:dyDescent="0.3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399999999999999" x14ac:dyDescent="0.3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399999999999999" x14ac:dyDescent="0.3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399999999999999" x14ac:dyDescent="0.3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399999999999999" x14ac:dyDescent="0.3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399999999999999" x14ac:dyDescent="0.3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399999999999999" x14ac:dyDescent="0.3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399999999999999" x14ac:dyDescent="0.3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399999999999999" x14ac:dyDescent="0.3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399999999999999" x14ac:dyDescent="0.3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399999999999999" x14ac:dyDescent="0.3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399999999999999" x14ac:dyDescent="0.3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399999999999999" x14ac:dyDescent="0.3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399999999999999" x14ac:dyDescent="0.3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399999999999999" x14ac:dyDescent="0.3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399999999999999" x14ac:dyDescent="0.3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399999999999999" x14ac:dyDescent="0.3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399999999999999" x14ac:dyDescent="0.3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399999999999999" x14ac:dyDescent="0.3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399999999999999" x14ac:dyDescent="0.3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399999999999999" x14ac:dyDescent="0.3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399999999999999" x14ac:dyDescent="0.3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399999999999999" x14ac:dyDescent="0.3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399999999999999" x14ac:dyDescent="0.3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399999999999999" x14ac:dyDescent="0.3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399999999999999" x14ac:dyDescent="0.3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399999999999999" x14ac:dyDescent="0.3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399999999999999" x14ac:dyDescent="0.3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399999999999999" x14ac:dyDescent="0.3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399999999999999" x14ac:dyDescent="0.3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399999999999999" x14ac:dyDescent="0.3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399999999999999" x14ac:dyDescent="0.3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399999999999999" x14ac:dyDescent="0.3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399999999999999" x14ac:dyDescent="0.3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399999999999999" x14ac:dyDescent="0.3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399999999999999" x14ac:dyDescent="0.3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399999999999999" x14ac:dyDescent="0.3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399999999999999" x14ac:dyDescent="0.3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399999999999999" x14ac:dyDescent="0.3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399999999999999" x14ac:dyDescent="0.3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399999999999999" x14ac:dyDescent="0.3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399999999999999" x14ac:dyDescent="0.3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399999999999999" x14ac:dyDescent="0.3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399999999999999" x14ac:dyDescent="0.3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399999999999999" x14ac:dyDescent="0.3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399999999999999" x14ac:dyDescent="0.3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399999999999999" x14ac:dyDescent="0.3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399999999999999" x14ac:dyDescent="0.3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399999999999999" x14ac:dyDescent="0.3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399999999999999" x14ac:dyDescent="0.3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399999999999999" x14ac:dyDescent="0.3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399999999999999" x14ac:dyDescent="0.3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399999999999999" x14ac:dyDescent="0.3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399999999999999" x14ac:dyDescent="0.3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399999999999999" x14ac:dyDescent="0.3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399999999999999" x14ac:dyDescent="0.3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399999999999999" x14ac:dyDescent="0.3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399999999999999" x14ac:dyDescent="0.3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399999999999999" x14ac:dyDescent="0.3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399999999999999" x14ac:dyDescent="0.3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399999999999999" x14ac:dyDescent="0.3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399999999999999" x14ac:dyDescent="0.3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399999999999999" x14ac:dyDescent="0.3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399999999999999" x14ac:dyDescent="0.3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399999999999999" x14ac:dyDescent="0.3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399999999999999" x14ac:dyDescent="0.3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399999999999999" x14ac:dyDescent="0.3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399999999999999" x14ac:dyDescent="0.3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399999999999999" x14ac:dyDescent="0.3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399999999999999" x14ac:dyDescent="0.3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399999999999999" x14ac:dyDescent="0.3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399999999999999" x14ac:dyDescent="0.3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399999999999999" x14ac:dyDescent="0.3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399999999999999" x14ac:dyDescent="0.3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399999999999999" x14ac:dyDescent="0.3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399999999999999" x14ac:dyDescent="0.3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399999999999999" x14ac:dyDescent="0.3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399999999999999" x14ac:dyDescent="0.3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399999999999999" x14ac:dyDescent="0.3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399999999999999" x14ac:dyDescent="0.3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399999999999999" x14ac:dyDescent="0.3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399999999999999" x14ac:dyDescent="0.3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399999999999999" x14ac:dyDescent="0.3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399999999999999" x14ac:dyDescent="0.3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399999999999999" x14ac:dyDescent="0.3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399999999999999" x14ac:dyDescent="0.3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399999999999999" x14ac:dyDescent="0.3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399999999999999" x14ac:dyDescent="0.3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399999999999999" x14ac:dyDescent="0.3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399999999999999" x14ac:dyDescent="0.3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399999999999999" x14ac:dyDescent="0.3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399999999999999" x14ac:dyDescent="0.3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399999999999999" x14ac:dyDescent="0.3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399999999999999" x14ac:dyDescent="0.3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399999999999999" x14ac:dyDescent="0.3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399999999999999" x14ac:dyDescent="0.3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399999999999999" x14ac:dyDescent="0.3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399999999999999" x14ac:dyDescent="0.3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399999999999999" x14ac:dyDescent="0.3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399999999999999" x14ac:dyDescent="0.3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399999999999999" x14ac:dyDescent="0.3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399999999999999" x14ac:dyDescent="0.3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399999999999999" x14ac:dyDescent="0.3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399999999999999" x14ac:dyDescent="0.3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399999999999999" x14ac:dyDescent="0.3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399999999999999" x14ac:dyDescent="0.3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399999999999999" x14ac:dyDescent="0.3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399999999999999" x14ac:dyDescent="0.3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399999999999999" x14ac:dyDescent="0.3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399999999999999" x14ac:dyDescent="0.3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399999999999999" x14ac:dyDescent="0.3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399999999999999" x14ac:dyDescent="0.3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399999999999999" x14ac:dyDescent="0.3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399999999999999" x14ac:dyDescent="0.3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399999999999999" x14ac:dyDescent="0.3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399999999999999" x14ac:dyDescent="0.3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399999999999999" x14ac:dyDescent="0.3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399999999999999" x14ac:dyDescent="0.3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399999999999999" x14ac:dyDescent="0.3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399999999999999" x14ac:dyDescent="0.3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399999999999999" x14ac:dyDescent="0.3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399999999999999" x14ac:dyDescent="0.3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399999999999999" x14ac:dyDescent="0.3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399999999999999" x14ac:dyDescent="0.3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399999999999999" x14ac:dyDescent="0.3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399999999999999" x14ac:dyDescent="0.3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399999999999999" x14ac:dyDescent="0.3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399999999999999" x14ac:dyDescent="0.3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399999999999999" x14ac:dyDescent="0.3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399999999999999" x14ac:dyDescent="0.3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399999999999999" x14ac:dyDescent="0.3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399999999999999" x14ac:dyDescent="0.3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399999999999999" x14ac:dyDescent="0.3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399999999999999" x14ac:dyDescent="0.3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399999999999999" x14ac:dyDescent="0.3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399999999999999" x14ac:dyDescent="0.3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399999999999999" x14ac:dyDescent="0.3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399999999999999" x14ac:dyDescent="0.3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399999999999999" x14ac:dyDescent="0.3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399999999999999" x14ac:dyDescent="0.3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399999999999999" x14ac:dyDescent="0.3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399999999999999" x14ac:dyDescent="0.3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399999999999999" x14ac:dyDescent="0.3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399999999999999" x14ac:dyDescent="0.3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399999999999999" x14ac:dyDescent="0.3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399999999999999" x14ac:dyDescent="0.3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399999999999999" x14ac:dyDescent="0.3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399999999999999" x14ac:dyDescent="0.3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399999999999999" x14ac:dyDescent="0.3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399999999999999" x14ac:dyDescent="0.3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399999999999999" x14ac:dyDescent="0.3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399999999999999" x14ac:dyDescent="0.3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399999999999999" x14ac:dyDescent="0.3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399999999999999" x14ac:dyDescent="0.3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399999999999999" x14ac:dyDescent="0.3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399999999999999" x14ac:dyDescent="0.3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399999999999999" x14ac:dyDescent="0.3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399999999999999" x14ac:dyDescent="0.3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399999999999999" x14ac:dyDescent="0.3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399999999999999" x14ac:dyDescent="0.3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399999999999999" x14ac:dyDescent="0.3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399999999999999" x14ac:dyDescent="0.3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399999999999999" x14ac:dyDescent="0.3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399999999999999" x14ac:dyDescent="0.3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399999999999999" x14ac:dyDescent="0.3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399999999999999" x14ac:dyDescent="0.3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3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3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3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3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3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3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3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3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3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3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399999999999999" x14ac:dyDescent="0.3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399999999999999" x14ac:dyDescent="0.3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399999999999999" x14ac:dyDescent="0.3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399999999999999" x14ac:dyDescent="0.3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399999999999999" x14ac:dyDescent="0.3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399999999999999" x14ac:dyDescent="0.3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399999999999999" x14ac:dyDescent="0.3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399999999999999" x14ac:dyDescent="0.3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399999999999999" x14ac:dyDescent="0.3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399999999999999" x14ac:dyDescent="0.3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399999999999999" x14ac:dyDescent="0.3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399999999999999" x14ac:dyDescent="0.3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399999999999999" x14ac:dyDescent="0.3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399999999999999" x14ac:dyDescent="0.3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399999999999999" x14ac:dyDescent="0.3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399999999999999" x14ac:dyDescent="0.3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399999999999999" x14ac:dyDescent="0.3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399999999999999" x14ac:dyDescent="0.3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399999999999999" x14ac:dyDescent="0.3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399999999999999" x14ac:dyDescent="0.3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399999999999999" x14ac:dyDescent="0.3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399999999999999" x14ac:dyDescent="0.3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399999999999999" x14ac:dyDescent="0.3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399999999999999" x14ac:dyDescent="0.3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399999999999999" x14ac:dyDescent="0.3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399999999999999" x14ac:dyDescent="0.3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399999999999999" x14ac:dyDescent="0.3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399999999999999" x14ac:dyDescent="0.3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399999999999999" x14ac:dyDescent="0.3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399999999999999" x14ac:dyDescent="0.3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399999999999999" x14ac:dyDescent="0.3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399999999999999" x14ac:dyDescent="0.3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399999999999999" x14ac:dyDescent="0.3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399999999999999" x14ac:dyDescent="0.3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399999999999999" x14ac:dyDescent="0.3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399999999999999" x14ac:dyDescent="0.3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399999999999999" x14ac:dyDescent="0.3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399999999999999" x14ac:dyDescent="0.3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399999999999999" x14ac:dyDescent="0.3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399999999999999" x14ac:dyDescent="0.3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399999999999999" x14ac:dyDescent="0.3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399999999999999" x14ac:dyDescent="0.3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399999999999999" x14ac:dyDescent="0.3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399999999999999" x14ac:dyDescent="0.3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399999999999999" x14ac:dyDescent="0.3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399999999999999" x14ac:dyDescent="0.3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399999999999999" x14ac:dyDescent="0.3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399999999999999" x14ac:dyDescent="0.3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399999999999999" x14ac:dyDescent="0.3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399999999999999" x14ac:dyDescent="0.3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399999999999999" x14ac:dyDescent="0.3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399999999999999" x14ac:dyDescent="0.3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399999999999999" x14ac:dyDescent="0.3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399999999999999" x14ac:dyDescent="0.3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399999999999999" x14ac:dyDescent="0.3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399999999999999" x14ac:dyDescent="0.3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399999999999999" x14ac:dyDescent="0.3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399999999999999" x14ac:dyDescent="0.3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399999999999999" x14ac:dyDescent="0.3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399999999999999" x14ac:dyDescent="0.3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399999999999999" x14ac:dyDescent="0.3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399999999999999" x14ac:dyDescent="0.3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399999999999999" x14ac:dyDescent="0.3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399999999999999" x14ac:dyDescent="0.3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399999999999999" x14ac:dyDescent="0.3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399999999999999" x14ac:dyDescent="0.3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399999999999999" x14ac:dyDescent="0.3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399999999999999" x14ac:dyDescent="0.3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399999999999999" x14ac:dyDescent="0.3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399999999999999" x14ac:dyDescent="0.3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399999999999999" x14ac:dyDescent="0.3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399999999999999" x14ac:dyDescent="0.3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399999999999999" x14ac:dyDescent="0.3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399999999999999" x14ac:dyDescent="0.3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399999999999999" x14ac:dyDescent="0.3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399999999999999" x14ac:dyDescent="0.3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399999999999999" x14ac:dyDescent="0.3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399999999999999" x14ac:dyDescent="0.3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399999999999999" x14ac:dyDescent="0.3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399999999999999" x14ac:dyDescent="0.3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399999999999999" x14ac:dyDescent="0.3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399999999999999" x14ac:dyDescent="0.3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399999999999999" x14ac:dyDescent="0.3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399999999999999" x14ac:dyDescent="0.3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399999999999999" x14ac:dyDescent="0.3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399999999999999" x14ac:dyDescent="0.3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399999999999999" x14ac:dyDescent="0.3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399999999999999" x14ac:dyDescent="0.3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399999999999999" x14ac:dyDescent="0.3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399999999999999" x14ac:dyDescent="0.3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399999999999999" x14ac:dyDescent="0.3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399999999999999" x14ac:dyDescent="0.3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399999999999999" x14ac:dyDescent="0.3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399999999999999" x14ac:dyDescent="0.3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399999999999999" x14ac:dyDescent="0.3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399999999999999" x14ac:dyDescent="0.3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399999999999999" x14ac:dyDescent="0.3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399999999999999" x14ac:dyDescent="0.3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399999999999999" x14ac:dyDescent="0.3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399999999999999" x14ac:dyDescent="0.3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399999999999999" x14ac:dyDescent="0.3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399999999999999" x14ac:dyDescent="0.3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399999999999999" x14ac:dyDescent="0.3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399999999999999" x14ac:dyDescent="0.3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399999999999999" x14ac:dyDescent="0.3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399999999999999" x14ac:dyDescent="0.3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399999999999999" x14ac:dyDescent="0.3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399999999999999" x14ac:dyDescent="0.3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399999999999999" x14ac:dyDescent="0.3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399999999999999" x14ac:dyDescent="0.3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399999999999999" x14ac:dyDescent="0.3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399999999999999" x14ac:dyDescent="0.3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399999999999999" x14ac:dyDescent="0.3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399999999999999" x14ac:dyDescent="0.3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399999999999999" x14ac:dyDescent="0.3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399999999999999" x14ac:dyDescent="0.3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399999999999999" x14ac:dyDescent="0.3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399999999999999" x14ac:dyDescent="0.3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399999999999999" x14ac:dyDescent="0.3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399999999999999" x14ac:dyDescent="0.3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399999999999999" x14ac:dyDescent="0.3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399999999999999" x14ac:dyDescent="0.3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399999999999999" x14ac:dyDescent="0.3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399999999999999" x14ac:dyDescent="0.3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399999999999999" x14ac:dyDescent="0.3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399999999999999" x14ac:dyDescent="0.3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399999999999999" x14ac:dyDescent="0.3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399999999999999" x14ac:dyDescent="0.3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399999999999999" x14ac:dyDescent="0.3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399999999999999" x14ac:dyDescent="0.3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399999999999999" x14ac:dyDescent="0.3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399999999999999" x14ac:dyDescent="0.3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399999999999999" x14ac:dyDescent="0.3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399999999999999" x14ac:dyDescent="0.3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399999999999999" x14ac:dyDescent="0.3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399999999999999" x14ac:dyDescent="0.3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399999999999999" x14ac:dyDescent="0.3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399999999999999" x14ac:dyDescent="0.3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399999999999999" x14ac:dyDescent="0.3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399999999999999" x14ac:dyDescent="0.3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399999999999999" x14ac:dyDescent="0.3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399999999999999" x14ac:dyDescent="0.3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399999999999999" x14ac:dyDescent="0.3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399999999999999" x14ac:dyDescent="0.3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399999999999999" x14ac:dyDescent="0.3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399999999999999" x14ac:dyDescent="0.3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399999999999999" x14ac:dyDescent="0.3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399999999999999" x14ac:dyDescent="0.3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399999999999999" x14ac:dyDescent="0.3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399999999999999" x14ac:dyDescent="0.3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399999999999999" x14ac:dyDescent="0.3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399999999999999" x14ac:dyDescent="0.3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399999999999999" x14ac:dyDescent="0.3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399999999999999" x14ac:dyDescent="0.3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399999999999999" x14ac:dyDescent="0.3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399999999999999" x14ac:dyDescent="0.3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399999999999999" x14ac:dyDescent="0.3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399999999999999" x14ac:dyDescent="0.3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399999999999999" x14ac:dyDescent="0.3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399999999999999" x14ac:dyDescent="0.3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399999999999999" x14ac:dyDescent="0.3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399999999999999" x14ac:dyDescent="0.3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399999999999999" x14ac:dyDescent="0.3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399999999999999" x14ac:dyDescent="0.3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399999999999999" x14ac:dyDescent="0.3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399999999999999" x14ac:dyDescent="0.3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399999999999999" x14ac:dyDescent="0.3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399999999999999" x14ac:dyDescent="0.3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399999999999999" x14ac:dyDescent="0.3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399999999999999" x14ac:dyDescent="0.3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399999999999999" x14ac:dyDescent="0.3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399999999999999" x14ac:dyDescent="0.3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399999999999999" x14ac:dyDescent="0.3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399999999999999" x14ac:dyDescent="0.3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399999999999999" x14ac:dyDescent="0.3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399999999999999" x14ac:dyDescent="0.3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399999999999999" x14ac:dyDescent="0.3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399999999999999" x14ac:dyDescent="0.3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399999999999999" x14ac:dyDescent="0.3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399999999999999" x14ac:dyDescent="0.3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399999999999999" x14ac:dyDescent="0.3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399999999999999" x14ac:dyDescent="0.3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399999999999999" x14ac:dyDescent="0.3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399999999999999" x14ac:dyDescent="0.3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399999999999999" x14ac:dyDescent="0.3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399999999999999" x14ac:dyDescent="0.3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399999999999999" x14ac:dyDescent="0.3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399999999999999" x14ac:dyDescent="0.3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399999999999999" x14ac:dyDescent="0.3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399999999999999" x14ac:dyDescent="0.3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399999999999999" x14ac:dyDescent="0.3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399999999999999" x14ac:dyDescent="0.3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399999999999999" x14ac:dyDescent="0.3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399999999999999" x14ac:dyDescent="0.3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399999999999999" x14ac:dyDescent="0.3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399999999999999" x14ac:dyDescent="0.3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399999999999999" x14ac:dyDescent="0.3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399999999999999" x14ac:dyDescent="0.3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399999999999999" x14ac:dyDescent="0.3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399999999999999" x14ac:dyDescent="0.3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399999999999999" x14ac:dyDescent="0.3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399999999999999" x14ac:dyDescent="0.3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399999999999999" x14ac:dyDescent="0.3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399999999999999" x14ac:dyDescent="0.3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399999999999999" x14ac:dyDescent="0.3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399999999999999" x14ac:dyDescent="0.3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399999999999999" x14ac:dyDescent="0.3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399999999999999" x14ac:dyDescent="0.3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399999999999999" x14ac:dyDescent="0.3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399999999999999" x14ac:dyDescent="0.3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399999999999999" x14ac:dyDescent="0.3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399999999999999" x14ac:dyDescent="0.3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399999999999999" x14ac:dyDescent="0.3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399999999999999" x14ac:dyDescent="0.3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399999999999999" x14ac:dyDescent="0.3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399999999999999" x14ac:dyDescent="0.3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399999999999999" x14ac:dyDescent="0.3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399999999999999" x14ac:dyDescent="0.3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399999999999999" x14ac:dyDescent="0.3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399999999999999" x14ac:dyDescent="0.3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399999999999999" x14ac:dyDescent="0.3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399999999999999" x14ac:dyDescent="0.3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399999999999999" x14ac:dyDescent="0.3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399999999999999" x14ac:dyDescent="0.3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399999999999999" x14ac:dyDescent="0.3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399999999999999" x14ac:dyDescent="0.3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399999999999999" x14ac:dyDescent="0.3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399999999999999" x14ac:dyDescent="0.3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399999999999999" x14ac:dyDescent="0.3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399999999999999" x14ac:dyDescent="0.3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399999999999999" x14ac:dyDescent="0.3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399999999999999" x14ac:dyDescent="0.3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399999999999999" x14ac:dyDescent="0.3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399999999999999" x14ac:dyDescent="0.3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399999999999999" x14ac:dyDescent="0.3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399999999999999" x14ac:dyDescent="0.3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399999999999999" x14ac:dyDescent="0.3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399999999999999" x14ac:dyDescent="0.3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399999999999999" x14ac:dyDescent="0.3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399999999999999" x14ac:dyDescent="0.3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399999999999999" x14ac:dyDescent="0.3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399999999999999" x14ac:dyDescent="0.3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399999999999999" x14ac:dyDescent="0.3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399999999999999" x14ac:dyDescent="0.3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399999999999999" x14ac:dyDescent="0.3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399999999999999" x14ac:dyDescent="0.3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399999999999999" x14ac:dyDescent="0.3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399999999999999" x14ac:dyDescent="0.3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399999999999999" x14ac:dyDescent="0.3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399999999999999" x14ac:dyDescent="0.3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399999999999999" x14ac:dyDescent="0.3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399999999999999" x14ac:dyDescent="0.3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399999999999999" x14ac:dyDescent="0.3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399999999999999" x14ac:dyDescent="0.3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399999999999999" x14ac:dyDescent="0.3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399999999999999" x14ac:dyDescent="0.3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399999999999999" x14ac:dyDescent="0.3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399999999999999" x14ac:dyDescent="0.3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399999999999999" x14ac:dyDescent="0.3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399999999999999" x14ac:dyDescent="0.3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399999999999999" x14ac:dyDescent="0.3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399999999999999" x14ac:dyDescent="0.3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399999999999999" x14ac:dyDescent="0.3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399999999999999" x14ac:dyDescent="0.3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399999999999999" x14ac:dyDescent="0.3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399999999999999" x14ac:dyDescent="0.3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399999999999999" x14ac:dyDescent="0.3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399999999999999" x14ac:dyDescent="0.3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399999999999999" x14ac:dyDescent="0.3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399999999999999" x14ac:dyDescent="0.3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399999999999999" x14ac:dyDescent="0.3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399999999999999" x14ac:dyDescent="0.3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399999999999999" x14ac:dyDescent="0.3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399999999999999" x14ac:dyDescent="0.3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399999999999999" x14ac:dyDescent="0.3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399999999999999" x14ac:dyDescent="0.3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399999999999999" x14ac:dyDescent="0.3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399999999999999" x14ac:dyDescent="0.3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399999999999999" x14ac:dyDescent="0.3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399999999999999" x14ac:dyDescent="0.3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399999999999999" x14ac:dyDescent="0.3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399999999999999" x14ac:dyDescent="0.3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399999999999999" x14ac:dyDescent="0.3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399999999999999" x14ac:dyDescent="0.3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399999999999999" x14ac:dyDescent="0.3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399999999999999" x14ac:dyDescent="0.3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399999999999999" x14ac:dyDescent="0.3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399999999999999" x14ac:dyDescent="0.3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399999999999999" x14ac:dyDescent="0.3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399999999999999" x14ac:dyDescent="0.3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399999999999999" x14ac:dyDescent="0.3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399999999999999" x14ac:dyDescent="0.3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399999999999999" x14ac:dyDescent="0.3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399999999999999" x14ac:dyDescent="0.3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399999999999999" x14ac:dyDescent="0.3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399999999999999" x14ac:dyDescent="0.3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399999999999999" x14ac:dyDescent="0.3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399999999999999" x14ac:dyDescent="0.3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399999999999999" x14ac:dyDescent="0.3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399999999999999" x14ac:dyDescent="0.3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399999999999999" x14ac:dyDescent="0.3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399999999999999" x14ac:dyDescent="0.3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399999999999999" x14ac:dyDescent="0.3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399999999999999" x14ac:dyDescent="0.3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399999999999999" x14ac:dyDescent="0.3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399999999999999" x14ac:dyDescent="0.3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399999999999999" x14ac:dyDescent="0.3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399999999999999" x14ac:dyDescent="0.3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399999999999999" x14ac:dyDescent="0.3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399999999999999" x14ac:dyDescent="0.3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399999999999999" x14ac:dyDescent="0.3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399999999999999" x14ac:dyDescent="0.3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399999999999999" x14ac:dyDescent="0.3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399999999999999" x14ac:dyDescent="0.3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399999999999999" x14ac:dyDescent="0.3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399999999999999" x14ac:dyDescent="0.3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399999999999999" x14ac:dyDescent="0.3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399999999999999" x14ac:dyDescent="0.3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399999999999999" x14ac:dyDescent="0.3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399999999999999" x14ac:dyDescent="0.3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399999999999999" x14ac:dyDescent="0.3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399999999999999" x14ac:dyDescent="0.3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399999999999999" x14ac:dyDescent="0.3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399999999999999" x14ac:dyDescent="0.3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399999999999999" x14ac:dyDescent="0.3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399999999999999" x14ac:dyDescent="0.3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399999999999999" x14ac:dyDescent="0.3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399999999999999" x14ac:dyDescent="0.3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399999999999999" x14ac:dyDescent="0.3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399999999999999" x14ac:dyDescent="0.3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399999999999999" x14ac:dyDescent="0.3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399999999999999" x14ac:dyDescent="0.3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399999999999999" x14ac:dyDescent="0.3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399999999999999" x14ac:dyDescent="0.3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399999999999999" x14ac:dyDescent="0.3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399999999999999" x14ac:dyDescent="0.3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399999999999999" x14ac:dyDescent="0.3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399999999999999" x14ac:dyDescent="0.3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399999999999999" x14ac:dyDescent="0.3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399999999999999" x14ac:dyDescent="0.3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399999999999999" x14ac:dyDescent="0.3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399999999999999" x14ac:dyDescent="0.3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399999999999999" x14ac:dyDescent="0.3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399999999999999" x14ac:dyDescent="0.3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399999999999999" x14ac:dyDescent="0.3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399999999999999" x14ac:dyDescent="0.3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399999999999999" x14ac:dyDescent="0.3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399999999999999" x14ac:dyDescent="0.3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399999999999999" x14ac:dyDescent="0.3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399999999999999" x14ac:dyDescent="0.3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399999999999999" x14ac:dyDescent="0.3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399999999999999" x14ac:dyDescent="0.3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399999999999999" x14ac:dyDescent="0.3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399999999999999" x14ac:dyDescent="0.3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399999999999999" x14ac:dyDescent="0.3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399999999999999" x14ac:dyDescent="0.3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399999999999999" x14ac:dyDescent="0.3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399999999999999" x14ac:dyDescent="0.3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399999999999999" x14ac:dyDescent="0.3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399999999999999" x14ac:dyDescent="0.3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399999999999999" x14ac:dyDescent="0.3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399999999999999" x14ac:dyDescent="0.3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399999999999999" x14ac:dyDescent="0.3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399999999999999" x14ac:dyDescent="0.3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399999999999999" x14ac:dyDescent="0.3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399999999999999" x14ac:dyDescent="0.3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399999999999999" x14ac:dyDescent="0.3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399999999999999" x14ac:dyDescent="0.3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399999999999999" x14ac:dyDescent="0.3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399999999999999" x14ac:dyDescent="0.3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399999999999999" x14ac:dyDescent="0.3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399999999999999" x14ac:dyDescent="0.3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399999999999999" x14ac:dyDescent="0.3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399999999999999" x14ac:dyDescent="0.3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399999999999999" x14ac:dyDescent="0.3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399999999999999" x14ac:dyDescent="0.3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399999999999999" x14ac:dyDescent="0.3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399999999999999" x14ac:dyDescent="0.3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399999999999999" x14ac:dyDescent="0.3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399999999999999" x14ac:dyDescent="0.3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399999999999999" x14ac:dyDescent="0.3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399999999999999" x14ac:dyDescent="0.3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399999999999999" x14ac:dyDescent="0.3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399999999999999" x14ac:dyDescent="0.3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399999999999999" x14ac:dyDescent="0.3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399999999999999" x14ac:dyDescent="0.3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399999999999999" x14ac:dyDescent="0.3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399999999999999" x14ac:dyDescent="0.3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399999999999999" x14ac:dyDescent="0.3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399999999999999" x14ac:dyDescent="0.3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399999999999999" x14ac:dyDescent="0.3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399999999999999" x14ac:dyDescent="0.3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399999999999999" x14ac:dyDescent="0.3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399999999999999" x14ac:dyDescent="0.3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399999999999999" x14ac:dyDescent="0.3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399999999999999" x14ac:dyDescent="0.3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399999999999999" x14ac:dyDescent="0.3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399999999999999" x14ac:dyDescent="0.3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399999999999999" x14ac:dyDescent="0.3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399999999999999" x14ac:dyDescent="0.3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399999999999999" x14ac:dyDescent="0.3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399999999999999" x14ac:dyDescent="0.3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399999999999999" x14ac:dyDescent="0.3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399999999999999" x14ac:dyDescent="0.3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399999999999999" x14ac:dyDescent="0.3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399999999999999" x14ac:dyDescent="0.3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399999999999999" x14ac:dyDescent="0.3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399999999999999" x14ac:dyDescent="0.3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399999999999999" x14ac:dyDescent="0.3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399999999999999" x14ac:dyDescent="0.3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399999999999999" x14ac:dyDescent="0.3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399999999999999" x14ac:dyDescent="0.3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399999999999999" x14ac:dyDescent="0.3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399999999999999" x14ac:dyDescent="0.3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399999999999999" x14ac:dyDescent="0.3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399999999999999" x14ac:dyDescent="0.3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399999999999999" x14ac:dyDescent="0.3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399999999999999" x14ac:dyDescent="0.3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399999999999999" x14ac:dyDescent="0.3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399999999999999" x14ac:dyDescent="0.3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399999999999999" x14ac:dyDescent="0.3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399999999999999" x14ac:dyDescent="0.3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399999999999999" x14ac:dyDescent="0.3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399999999999999" x14ac:dyDescent="0.3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399999999999999" x14ac:dyDescent="0.3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399999999999999" x14ac:dyDescent="0.3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399999999999999" x14ac:dyDescent="0.3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399999999999999" x14ac:dyDescent="0.3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399999999999999" x14ac:dyDescent="0.3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399999999999999" x14ac:dyDescent="0.3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399999999999999" x14ac:dyDescent="0.3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399999999999999" x14ac:dyDescent="0.3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399999999999999" x14ac:dyDescent="0.3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399999999999999" x14ac:dyDescent="0.3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399999999999999" x14ac:dyDescent="0.3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399999999999999" x14ac:dyDescent="0.3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399999999999999" x14ac:dyDescent="0.3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399999999999999" x14ac:dyDescent="0.3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399999999999999" x14ac:dyDescent="0.3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399999999999999" x14ac:dyDescent="0.3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399999999999999" x14ac:dyDescent="0.3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399999999999999" x14ac:dyDescent="0.3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399999999999999" x14ac:dyDescent="0.3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399999999999999" x14ac:dyDescent="0.3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399999999999999" x14ac:dyDescent="0.3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399999999999999" x14ac:dyDescent="0.3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399999999999999" x14ac:dyDescent="0.3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399999999999999" x14ac:dyDescent="0.3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399999999999999" x14ac:dyDescent="0.3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399999999999999" x14ac:dyDescent="0.3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399999999999999" x14ac:dyDescent="0.3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399999999999999" x14ac:dyDescent="0.3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399999999999999" x14ac:dyDescent="0.3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399999999999999" x14ac:dyDescent="0.3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399999999999999" x14ac:dyDescent="0.3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399999999999999" x14ac:dyDescent="0.3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399999999999999" x14ac:dyDescent="0.3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399999999999999" x14ac:dyDescent="0.3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399999999999999" x14ac:dyDescent="0.3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399999999999999" x14ac:dyDescent="0.3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399999999999999" x14ac:dyDescent="0.3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399999999999999" x14ac:dyDescent="0.3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399999999999999" x14ac:dyDescent="0.3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399999999999999" x14ac:dyDescent="0.3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399999999999999" x14ac:dyDescent="0.3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399999999999999" x14ac:dyDescent="0.3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399999999999999" x14ac:dyDescent="0.3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399999999999999" x14ac:dyDescent="0.3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399999999999999" x14ac:dyDescent="0.3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399999999999999" x14ac:dyDescent="0.3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399999999999999" x14ac:dyDescent="0.3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399999999999999" x14ac:dyDescent="0.3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399999999999999" x14ac:dyDescent="0.3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399999999999999" x14ac:dyDescent="0.3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399999999999999" x14ac:dyDescent="0.3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399999999999999" x14ac:dyDescent="0.3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399999999999999" x14ac:dyDescent="0.3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399999999999999" x14ac:dyDescent="0.3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399999999999999" x14ac:dyDescent="0.3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399999999999999" x14ac:dyDescent="0.3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399999999999999" x14ac:dyDescent="0.3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399999999999999" x14ac:dyDescent="0.3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399999999999999" x14ac:dyDescent="0.3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399999999999999" x14ac:dyDescent="0.3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399999999999999" x14ac:dyDescent="0.3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399999999999999" x14ac:dyDescent="0.3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399999999999999" x14ac:dyDescent="0.3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399999999999999" x14ac:dyDescent="0.3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399999999999999" x14ac:dyDescent="0.3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399999999999999" x14ac:dyDescent="0.3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399999999999999" x14ac:dyDescent="0.3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399999999999999" x14ac:dyDescent="0.3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399999999999999" x14ac:dyDescent="0.3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399999999999999" x14ac:dyDescent="0.3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399999999999999" x14ac:dyDescent="0.3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399999999999999" x14ac:dyDescent="0.3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399999999999999" x14ac:dyDescent="0.3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399999999999999" x14ac:dyDescent="0.3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399999999999999" x14ac:dyDescent="0.3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399999999999999" x14ac:dyDescent="0.3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399999999999999" x14ac:dyDescent="0.3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399999999999999" x14ac:dyDescent="0.3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399999999999999" x14ac:dyDescent="0.3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399999999999999" x14ac:dyDescent="0.3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399999999999999" x14ac:dyDescent="0.3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399999999999999" x14ac:dyDescent="0.3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399999999999999" x14ac:dyDescent="0.3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399999999999999" x14ac:dyDescent="0.3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399999999999999" x14ac:dyDescent="0.3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399999999999999" x14ac:dyDescent="0.3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399999999999999" x14ac:dyDescent="0.3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399999999999999" x14ac:dyDescent="0.3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399999999999999" x14ac:dyDescent="0.3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399999999999999" x14ac:dyDescent="0.3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399999999999999" x14ac:dyDescent="0.3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399999999999999" x14ac:dyDescent="0.3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399999999999999" x14ac:dyDescent="0.3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399999999999999" x14ac:dyDescent="0.3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399999999999999" x14ac:dyDescent="0.3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399999999999999" x14ac:dyDescent="0.3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399999999999999" x14ac:dyDescent="0.3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399999999999999" x14ac:dyDescent="0.3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399999999999999" x14ac:dyDescent="0.3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399999999999999" x14ac:dyDescent="0.3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399999999999999" x14ac:dyDescent="0.3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399999999999999" x14ac:dyDescent="0.3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399999999999999" x14ac:dyDescent="0.3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399999999999999" x14ac:dyDescent="0.3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399999999999999" x14ac:dyDescent="0.3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399999999999999" x14ac:dyDescent="0.3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399999999999999" x14ac:dyDescent="0.3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399999999999999" x14ac:dyDescent="0.3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399999999999999" x14ac:dyDescent="0.3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399999999999999" x14ac:dyDescent="0.3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399999999999999" x14ac:dyDescent="0.3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399999999999999" x14ac:dyDescent="0.3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399999999999999" x14ac:dyDescent="0.3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399999999999999" x14ac:dyDescent="0.3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399999999999999" x14ac:dyDescent="0.3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399999999999999" x14ac:dyDescent="0.3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399999999999999" x14ac:dyDescent="0.3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399999999999999" x14ac:dyDescent="0.3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399999999999999" x14ac:dyDescent="0.3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399999999999999" x14ac:dyDescent="0.3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399999999999999" x14ac:dyDescent="0.3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399999999999999" x14ac:dyDescent="0.3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399999999999999" x14ac:dyDescent="0.3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399999999999999" x14ac:dyDescent="0.3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399999999999999" x14ac:dyDescent="0.3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399999999999999" x14ac:dyDescent="0.3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399999999999999" x14ac:dyDescent="0.3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399999999999999" x14ac:dyDescent="0.3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399999999999999" x14ac:dyDescent="0.3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399999999999999" x14ac:dyDescent="0.3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399999999999999" x14ac:dyDescent="0.3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399999999999999" x14ac:dyDescent="0.3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399999999999999" x14ac:dyDescent="0.3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399999999999999" x14ac:dyDescent="0.3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399999999999999" x14ac:dyDescent="0.3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399999999999999" x14ac:dyDescent="0.3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399999999999999" x14ac:dyDescent="0.3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399999999999999" x14ac:dyDescent="0.3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399999999999999" x14ac:dyDescent="0.3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399999999999999" x14ac:dyDescent="0.3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399999999999999" x14ac:dyDescent="0.3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399999999999999" x14ac:dyDescent="0.3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399999999999999" x14ac:dyDescent="0.3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399999999999999" x14ac:dyDescent="0.3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399999999999999" x14ac:dyDescent="0.3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399999999999999" x14ac:dyDescent="0.3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399999999999999" x14ac:dyDescent="0.3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399999999999999" x14ac:dyDescent="0.3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399999999999999" x14ac:dyDescent="0.3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399999999999999" x14ac:dyDescent="0.3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399999999999999" x14ac:dyDescent="0.3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399999999999999" x14ac:dyDescent="0.3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399999999999999" x14ac:dyDescent="0.3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399999999999999" x14ac:dyDescent="0.3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399999999999999" x14ac:dyDescent="0.3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399999999999999" x14ac:dyDescent="0.3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399999999999999" x14ac:dyDescent="0.3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399999999999999" x14ac:dyDescent="0.3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399999999999999" x14ac:dyDescent="0.3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399999999999999" x14ac:dyDescent="0.3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399999999999999" x14ac:dyDescent="0.3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399999999999999" x14ac:dyDescent="0.3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399999999999999" x14ac:dyDescent="0.3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399999999999999" x14ac:dyDescent="0.3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399999999999999" x14ac:dyDescent="0.3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399999999999999" x14ac:dyDescent="0.3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399999999999999" x14ac:dyDescent="0.3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399999999999999" x14ac:dyDescent="0.3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399999999999999" x14ac:dyDescent="0.3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399999999999999" x14ac:dyDescent="0.3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399999999999999" x14ac:dyDescent="0.3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399999999999999" x14ac:dyDescent="0.3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399999999999999" x14ac:dyDescent="0.3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399999999999999" x14ac:dyDescent="0.3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399999999999999" x14ac:dyDescent="0.3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399999999999999" x14ac:dyDescent="0.3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399999999999999" x14ac:dyDescent="0.3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399999999999999" x14ac:dyDescent="0.3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399999999999999" x14ac:dyDescent="0.3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399999999999999" x14ac:dyDescent="0.3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399999999999999" x14ac:dyDescent="0.3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399999999999999" x14ac:dyDescent="0.3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399999999999999" x14ac:dyDescent="0.3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399999999999999" x14ac:dyDescent="0.3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399999999999999" x14ac:dyDescent="0.3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399999999999999" x14ac:dyDescent="0.3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399999999999999" x14ac:dyDescent="0.3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399999999999999" x14ac:dyDescent="0.3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399999999999999" x14ac:dyDescent="0.3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399999999999999" x14ac:dyDescent="0.3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399999999999999" x14ac:dyDescent="0.3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399999999999999" x14ac:dyDescent="0.3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399999999999999" x14ac:dyDescent="0.3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399999999999999" x14ac:dyDescent="0.3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399999999999999" x14ac:dyDescent="0.3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399999999999999" x14ac:dyDescent="0.3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399999999999999" x14ac:dyDescent="0.3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399999999999999" x14ac:dyDescent="0.3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399999999999999" x14ac:dyDescent="0.3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399999999999999" x14ac:dyDescent="0.3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399999999999999" x14ac:dyDescent="0.3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399999999999999" x14ac:dyDescent="0.3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399999999999999" x14ac:dyDescent="0.3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399999999999999" x14ac:dyDescent="0.3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399999999999999" x14ac:dyDescent="0.3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399999999999999" x14ac:dyDescent="0.3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399999999999999" x14ac:dyDescent="0.3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399999999999999" x14ac:dyDescent="0.3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399999999999999" x14ac:dyDescent="0.3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399999999999999" x14ac:dyDescent="0.3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399999999999999" x14ac:dyDescent="0.3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399999999999999" x14ac:dyDescent="0.3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399999999999999" x14ac:dyDescent="0.3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399999999999999" x14ac:dyDescent="0.3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399999999999999" x14ac:dyDescent="0.3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399999999999999" x14ac:dyDescent="0.3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399999999999999" x14ac:dyDescent="0.3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399999999999999" x14ac:dyDescent="0.3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399999999999999" x14ac:dyDescent="0.3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399999999999999" x14ac:dyDescent="0.3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399999999999999" x14ac:dyDescent="0.3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399999999999999" x14ac:dyDescent="0.3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399999999999999" x14ac:dyDescent="0.3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399999999999999" x14ac:dyDescent="0.3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399999999999999" x14ac:dyDescent="0.3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399999999999999" x14ac:dyDescent="0.3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399999999999999" x14ac:dyDescent="0.3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399999999999999" x14ac:dyDescent="0.3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399999999999999" x14ac:dyDescent="0.3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399999999999999" x14ac:dyDescent="0.3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399999999999999" x14ac:dyDescent="0.3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399999999999999" x14ac:dyDescent="0.3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399999999999999" x14ac:dyDescent="0.3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399999999999999" x14ac:dyDescent="0.3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399999999999999" x14ac:dyDescent="0.3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399999999999999" x14ac:dyDescent="0.3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399999999999999" x14ac:dyDescent="0.3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399999999999999" x14ac:dyDescent="0.3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399999999999999" x14ac:dyDescent="0.3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399999999999999" x14ac:dyDescent="0.3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399999999999999" x14ac:dyDescent="0.3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399999999999999" x14ac:dyDescent="0.3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399999999999999" x14ac:dyDescent="0.3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399999999999999" x14ac:dyDescent="0.3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399999999999999" x14ac:dyDescent="0.3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399999999999999" x14ac:dyDescent="0.3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399999999999999" x14ac:dyDescent="0.3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399999999999999" x14ac:dyDescent="0.3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399999999999999" x14ac:dyDescent="0.3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399999999999999" x14ac:dyDescent="0.3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399999999999999" x14ac:dyDescent="0.3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399999999999999" x14ac:dyDescent="0.3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399999999999999" x14ac:dyDescent="0.3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399999999999999" x14ac:dyDescent="0.3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399999999999999" x14ac:dyDescent="0.3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399999999999999" x14ac:dyDescent="0.3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399999999999999" x14ac:dyDescent="0.3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399999999999999" x14ac:dyDescent="0.3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399999999999999" x14ac:dyDescent="0.3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399999999999999" x14ac:dyDescent="0.3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399999999999999" x14ac:dyDescent="0.3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399999999999999" x14ac:dyDescent="0.3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399999999999999" x14ac:dyDescent="0.3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399999999999999" x14ac:dyDescent="0.3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399999999999999" x14ac:dyDescent="0.3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399999999999999" x14ac:dyDescent="0.3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399999999999999" x14ac:dyDescent="0.3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399999999999999" x14ac:dyDescent="0.3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399999999999999" x14ac:dyDescent="0.3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399999999999999" x14ac:dyDescent="0.3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399999999999999" x14ac:dyDescent="0.3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399999999999999" x14ac:dyDescent="0.3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399999999999999" x14ac:dyDescent="0.3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399999999999999" x14ac:dyDescent="0.3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399999999999999" x14ac:dyDescent="0.3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399999999999999" x14ac:dyDescent="0.3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399999999999999" x14ac:dyDescent="0.3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399999999999999" x14ac:dyDescent="0.3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399999999999999" x14ac:dyDescent="0.3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399999999999999" x14ac:dyDescent="0.3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399999999999999" x14ac:dyDescent="0.3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399999999999999" x14ac:dyDescent="0.3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399999999999999" x14ac:dyDescent="0.3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399999999999999" x14ac:dyDescent="0.3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399999999999999" x14ac:dyDescent="0.3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399999999999999" x14ac:dyDescent="0.3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399999999999999" x14ac:dyDescent="0.3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399999999999999" x14ac:dyDescent="0.3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399999999999999" x14ac:dyDescent="0.3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399999999999999" x14ac:dyDescent="0.3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399999999999999" x14ac:dyDescent="0.3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399999999999999" x14ac:dyDescent="0.3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399999999999999" x14ac:dyDescent="0.3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399999999999999" x14ac:dyDescent="0.3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399999999999999" x14ac:dyDescent="0.3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399999999999999" x14ac:dyDescent="0.3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399999999999999" x14ac:dyDescent="0.3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399999999999999" x14ac:dyDescent="0.3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399999999999999" x14ac:dyDescent="0.3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399999999999999" x14ac:dyDescent="0.3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399999999999999" x14ac:dyDescent="0.3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399999999999999" x14ac:dyDescent="0.3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399999999999999" x14ac:dyDescent="0.3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399999999999999" x14ac:dyDescent="0.3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399999999999999" x14ac:dyDescent="0.3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399999999999999" x14ac:dyDescent="0.3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399999999999999" x14ac:dyDescent="0.3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399999999999999" x14ac:dyDescent="0.3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399999999999999" x14ac:dyDescent="0.3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399999999999999" x14ac:dyDescent="0.3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399999999999999" x14ac:dyDescent="0.3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399999999999999" x14ac:dyDescent="0.3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399999999999999" x14ac:dyDescent="0.3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399999999999999" x14ac:dyDescent="0.3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399999999999999" x14ac:dyDescent="0.3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399999999999999" x14ac:dyDescent="0.3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399999999999999" x14ac:dyDescent="0.3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399999999999999" x14ac:dyDescent="0.3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399999999999999" x14ac:dyDescent="0.3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399999999999999" x14ac:dyDescent="0.3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399999999999999" x14ac:dyDescent="0.3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399999999999999" x14ac:dyDescent="0.3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399999999999999" x14ac:dyDescent="0.3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399999999999999" x14ac:dyDescent="0.3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399999999999999" x14ac:dyDescent="0.3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399999999999999" x14ac:dyDescent="0.3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399999999999999" x14ac:dyDescent="0.3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399999999999999" x14ac:dyDescent="0.3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399999999999999" x14ac:dyDescent="0.3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399999999999999" x14ac:dyDescent="0.3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399999999999999" x14ac:dyDescent="0.3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399999999999999" x14ac:dyDescent="0.3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399999999999999" x14ac:dyDescent="0.3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399999999999999" x14ac:dyDescent="0.3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399999999999999" x14ac:dyDescent="0.3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399999999999999" x14ac:dyDescent="0.3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399999999999999" x14ac:dyDescent="0.3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399999999999999" x14ac:dyDescent="0.3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399999999999999" x14ac:dyDescent="0.3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399999999999999" x14ac:dyDescent="0.3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399999999999999" x14ac:dyDescent="0.3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399999999999999" x14ac:dyDescent="0.3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399999999999999" x14ac:dyDescent="0.3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399999999999999" x14ac:dyDescent="0.3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399999999999999" x14ac:dyDescent="0.3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399999999999999" x14ac:dyDescent="0.3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399999999999999" x14ac:dyDescent="0.3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399999999999999" x14ac:dyDescent="0.3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399999999999999" x14ac:dyDescent="0.3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399999999999999" x14ac:dyDescent="0.3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399999999999999" x14ac:dyDescent="0.3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399999999999999" x14ac:dyDescent="0.3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399999999999999" x14ac:dyDescent="0.3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399999999999999" x14ac:dyDescent="0.3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399999999999999" x14ac:dyDescent="0.3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399999999999999" x14ac:dyDescent="0.3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399999999999999" x14ac:dyDescent="0.3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399999999999999" x14ac:dyDescent="0.3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399999999999999" x14ac:dyDescent="0.3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399999999999999" x14ac:dyDescent="0.3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399999999999999" x14ac:dyDescent="0.3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399999999999999" x14ac:dyDescent="0.3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399999999999999" x14ac:dyDescent="0.3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399999999999999" x14ac:dyDescent="0.3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399999999999999" x14ac:dyDescent="0.3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399999999999999" x14ac:dyDescent="0.3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399999999999999" x14ac:dyDescent="0.3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399999999999999" x14ac:dyDescent="0.3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399999999999999" x14ac:dyDescent="0.3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399999999999999" x14ac:dyDescent="0.3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399999999999999" x14ac:dyDescent="0.3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399999999999999" x14ac:dyDescent="0.3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399999999999999" x14ac:dyDescent="0.3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399999999999999" x14ac:dyDescent="0.3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399999999999999" x14ac:dyDescent="0.3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399999999999999" x14ac:dyDescent="0.3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399999999999999" x14ac:dyDescent="0.3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399999999999999" x14ac:dyDescent="0.3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399999999999999" x14ac:dyDescent="0.3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399999999999999" x14ac:dyDescent="0.3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399999999999999" x14ac:dyDescent="0.3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399999999999999" x14ac:dyDescent="0.3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399999999999999" x14ac:dyDescent="0.3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399999999999999" x14ac:dyDescent="0.3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399999999999999" x14ac:dyDescent="0.3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399999999999999" x14ac:dyDescent="0.3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399999999999999" x14ac:dyDescent="0.3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399999999999999" x14ac:dyDescent="0.3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399999999999999" x14ac:dyDescent="0.3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399999999999999" x14ac:dyDescent="0.3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399999999999999" x14ac:dyDescent="0.3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399999999999999" x14ac:dyDescent="0.3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399999999999999" x14ac:dyDescent="0.3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399999999999999" x14ac:dyDescent="0.3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399999999999999" x14ac:dyDescent="0.3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399999999999999" x14ac:dyDescent="0.3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399999999999999" x14ac:dyDescent="0.3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399999999999999" x14ac:dyDescent="0.3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399999999999999" x14ac:dyDescent="0.3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399999999999999" x14ac:dyDescent="0.3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399999999999999" x14ac:dyDescent="0.3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399999999999999" x14ac:dyDescent="0.3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399999999999999" x14ac:dyDescent="0.3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399999999999999" x14ac:dyDescent="0.3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399999999999999" x14ac:dyDescent="0.3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399999999999999" x14ac:dyDescent="0.3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399999999999999" x14ac:dyDescent="0.3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399999999999999" x14ac:dyDescent="0.3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399999999999999" x14ac:dyDescent="0.3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399999999999999" x14ac:dyDescent="0.3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399999999999999" x14ac:dyDescent="0.3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399999999999999" x14ac:dyDescent="0.3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399999999999999" x14ac:dyDescent="0.3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399999999999999" x14ac:dyDescent="0.3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399999999999999" x14ac:dyDescent="0.3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399999999999999" x14ac:dyDescent="0.3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399999999999999" x14ac:dyDescent="0.3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399999999999999" x14ac:dyDescent="0.3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399999999999999" x14ac:dyDescent="0.3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399999999999999" x14ac:dyDescent="0.3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399999999999999" x14ac:dyDescent="0.3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399999999999999" x14ac:dyDescent="0.3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399999999999999" x14ac:dyDescent="0.3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399999999999999" x14ac:dyDescent="0.3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399999999999999" x14ac:dyDescent="0.3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399999999999999" x14ac:dyDescent="0.3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399999999999999" x14ac:dyDescent="0.3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399999999999999" x14ac:dyDescent="0.3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399999999999999" x14ac:dyDescent="0.3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399999999999999" x14ac:dyDescent="0.3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399999999999999" x14ac:dyDescent="0.3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399999999999999" x14ac:dyDescent="0.3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399999999999999" x14ac:dyDescent="0.3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399999999999999" x14ac:dyDescent="0.3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399999999999999" x14ac:dyDescent="0.3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399999999999999" x14ac:dyDescent="0.3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399999999999999" x14ac:dyDescent="0.3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399999999999999" x14ac:dyDescent="0.3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399999999999999" x14ac:dyDescent="0.3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399999999999999" x14ac:dyDescent="0.3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399999999999999" x14ac:dyDescent="0.3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399999999999999" x14ac:dyDescent="0.3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399999999999999" x14ac:dyDescent="0.3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399999999999999" x14ac:dyDescent="0.3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399999999999999" x14ac:dyDescent="0.3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399999999999999" x14ac:dyDescent="0.3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399999999999999" x14ac:dyDescent="0.3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399999999999999" x14ac:dyDescent="0.3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399999999999999" x14ac:dyDescent="0.3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399999999999999" x14ac:dyDescent="0.3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399999999999999" x14ac:dyDescent="0.3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399999999999999" x14ac:dyDescent="0.3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399999999999999" x14ac:dyDescent="0.3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399999999999999" x14ac:dyDescent="0.3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399999999999999" x14ac:dyDescent="0.3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399999999999999" x14ac:dyDescent="0.3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399999999999999" x14ac:dyDescent="0.3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399999999999999" x14ac:dyDescent="0.3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399999999999999" x14ac:dyDescent="0.3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399999999999999" x14ac:dyDescent="0.3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399999999999999" x14ac:dyDescent="0.3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399999999999999" x14ac:dyDescent="0.3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399999999999999" x14ac:dyDescent="0.3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399999999999999" x14ac:dyDescent="0.3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399999999999999" x14ac:dyDescent="0.3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399999999999999" x14ac:dyDescent="0.3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399999999999999" x14ac:dyDescent="0.3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399999999999999" x14ac:dyDescent="0.3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399999999999999" x14ac:dyDescent="0.3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399999999999999" x14ac:dyDescent="0.3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399999999999999" x14ac:dyDescent="0.3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399999999999999" x14ac:dyDescent="0.3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399999999999999" x14ac:dyDescent="0.3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399999999999999" x14ac:dyDescent="0.3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399999999999999" x14ac:dyDescent="0.3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399999999999999" x14ac:dyDescent="0.3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399999999999999" x14ac:dyDescent="0.3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399999999999999" x14ac:dyDescent="0.3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399999999999999" x14ac:dyDescent="0.3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399999999999999" x14ac:dyDescent="0.3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399999999999999" x14ac:dyDescent="0.3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399999999999999" x14ac:dyDescent="0.3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399999999999999" x14ac:dyDescent="0.3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399999999999999" x14ac:dyDescent="0.3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399999999999999" x14ac:dyDescent="0.3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399999999999999" x14ac:dyDescent="0.3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399999999999999" x14ac:dyDescent="0.3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399999999999999" x14ac:dyDescent="0.3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399999999999999" x14ac:dyDescent="0.3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399999999999999" x14ac:dyDescent="0.3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399999999999999" x14ac:dyDescent="0.3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399999999999999" x14ac:dyDescent="0.3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399999999999999" x14ac:dyDescent="0.3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399999999999999" x14ac:dyDescent="0.3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399999999999999" x14ac:dyDescent="0.3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399999999999999" x14ac:dyDescent="0.3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399999999999999" x14ac:dyDescent="0.3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399999999999999" x14ac:dyDescent="0.3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399999999999999" x14ac:dyDescent="0.3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399999999999999" x14ac:dyDescent="0.3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399999999999999" x14ac:dyDescent="0.3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399999999999999" x14ac:dyDescent="0.3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399999999999999" x14ac:dyDescent="0.3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399999999999999" x14ac:dyDescent="0.3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399999999999999" x14ac:dyDescent="0.3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399999999999999" x14ac:dyDescent="0.3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399999999999999" x14ac:dyDescent="0.3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399999999999999" x14ac:dyDescent="0.3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399999999999999" x14ac:dyDescent="0.3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399999999999999" x14ac:dyDescent="0.3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399999999999999" x14ac:dyDescent="0.3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399999999999999" x14ac:dyDescent="0.3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399999999999999" x14ac:dyDescent="0.3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399999999999999" x14ac:dyDescent="0.3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399999999999999" x14ac:dyDescent="0.3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399999999999999" x14ac:dyDescent="0.3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399999999999999" x14ac:dyDescent="0.3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399999999999999" x14ac:dyDescent="0.3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399999999999999" x14ac:dyDescent="0.3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399999999999999" x14ac:dyDescent="0.3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399999999999999" x14ac:dyDescent="0.3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399999999999999" x14ac:dyDescent="0.3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399999999999999" x14ac:dyDescent="0.3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399999999999999" x14ac:dyDescent="0.3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399999999999999" x14ac:dyDescent="0.3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399999999999999" x14ac:dyDescent="0.3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399999999999999" x14ac:dyDescent="0.3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399999999999999" x14ac:dyDescent="0.3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399999999999999" x14ac:dyDescent="0.3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399999999999999" x14ac:dyDescent="0.3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399999999999999" x14ac:dyDescent="0.3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399999999999999" x14ac:dyDescent="0.3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399999999999999" x14ac:dyDescent="0.3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399999999999999" x14ac:dyDescent="0.3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399999999999999" x14ac:dyDescent="0.3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399999999999999" x14ac:dyDescent="0.3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399999999999999" x14ac:dyDescent="0.3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399999999999999" x14ac:dyDescent="0.3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399999999999999" x14ac:dyDescent="0.3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399999999999999" x14ac:dyDescent="0.3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399999999999999" x14ac:dyDescent="0.3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399999999999999" x14ac:dyDescent="0.3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399999999999999" x14ac:dyDescent="0.3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399999999999999" x14ac:dyDescent="0.3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399999999999999" x14ac:dyDescent="0.3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399999999999999" x14ac:dyDescent="0.3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399999999999999" x14ac:dyDescent="0.3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399999999999999" x14ac:dyDescent="0.3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399999999999999" x14ac:dyDescent="0.3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399999999999999" x14ac:dyDescent="0.3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399999999999999" x14ac:dyDescent="0.3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399999999999999" x14ac:dyDescent="0.3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399999999999999" x14ac:dyDescent="0.3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399999999999999" x14ac:dyDescent="0.3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399999999999999" x14ac:dyDescent="0.3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399999999999999" x14ac:dyDescent="0.3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399999999999999" x14ac:dyDescent="0.3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399999999999999" x14ac:dyDescent="0.3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399999999999999" x14ac:dyDescent="0.3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399999999999999" x14ac:dyDescent="0.3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399999999999999" x14ac:dyDescent="0.3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399999999999999" x14ac:dyDescent="0.3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399999999999999" x14ac:dyDescent="0.3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399999999999999" x14ac:dyDescent="0.3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399999999999999" x14ac:dyDescent="0.3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399999999999999" x14ac:dyDescent="0.3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399999999999999" x14ac:dyDescent="0.3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399999999999999" x14ac:dyDescent="0.3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399999999999999" x14ac:dyDescent="0.3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399999999999999" x14ac:dyDescent="0.3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399999999999999" x14ac:dyDescent="0.3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399999999999999" x14ac:dyDescent="0.3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399999999999999" x14ac:dyDescent="0.3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399999999999999" x14ac:dyDescent="0.3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399999999999999" x14ac:dyDescent="0.3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399999999999999" x14ac:dyDescent="0.3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399999999999999" x14ac:dyDescent="0.3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399999999999999" x14ac:dyDescent="0.3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399999999999999" x14ac:dyDescent="0.3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399999999999999" x14ac:dyDescent="0.3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399999999999999" x14ac:dyDescent="0.3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399999999999999" x14ac:dyDescent="0.3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399999999999999" x14ac:dyDescent="0.3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399999999999999" x14ac:dyDescent="0.3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399999999999999" x14ac:dyDescent="0.3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399999999999999" x14ac:dyDescent="0.3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399999999999999" x14ac:dyDescent="0.3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399999999999999" x14ac:dyDescent="0.3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399999999999999" x14ac:dyDescent="0.3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399999999999999" x14ac:dyDescent="0.3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399999999999999" x14ac:dyDescent="0.3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399999999999999" x14ac:dyDescent="0.3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399999999999999" x14ac:dyDescent="0.3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399999999999999" x14ac:dyDescent="0.3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399999999999999" x14ac:dyDescent="0.3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399999999999999" x14ac:dyDescent="0.3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399999999999999" x14ac:dyDescent="0.3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399999999999999" x14ac:dyDescent="0.3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399999999999999" x14ac:dyDescent="0.3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399999999999999" x14ac:dyDescent="0.3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399999999999999" x14ac:dyDescent="0.3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399999999999999" x14ac:dyDescent="0.3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399999999999999" x14ac:dyDescent="0.3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399999999999999" x14ac:dyDescent="0.3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399999999999999" x14ac:dyDescent="0.3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399999999999999" x14ac:dyDescent="0.3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399999999999999" x14ac:dyDescent="0.3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399999999999999" x14ac:dyDescent="0.3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399999999999999" x14ac:dyDescent="0.3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399999999999999" x14ac:dyDescent="0.3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399999999999999" x14ac:dyDescent="0.3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399999999999999" x14ac:dyDescent="0.3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399999999999999" x14ac:dyDescent="0.3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399999999999999" x14ac:dyDescent="0.3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399999999999999" x14ac:dyDescent="0.3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399999999999999" x14ac:dyDescent="0.3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399999999999999" x14ac:dyDescent="0.3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399999999999999" x14ac:dyDescent="0.3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399999999999999" x14ac:dyDescent="0.3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399999999999999" x14ac:dyDescent="0.3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399999999999999" x14ac:dyDescent="0.3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399999999999999" x14ac:dyDescent="0.3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399999999999999" x14ac:dyDescent="0.3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399999999999999" x14ac:dyDescent="0.3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399999999999999" x14ac:dyDescent="0.3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399999999999999" x14ac:dyDescent="0.3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399999999999999" x14ac:dyDescent="0.3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399999999999999" x14ac:dyDescent="0.3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399999999999999" x14ac:dyDescent="0.3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399999999999999" x14ac:dyDescent="0.3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399999999999999" x14ac:dyDescent="0.3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399999999999999" x14ac:dyDescent="0.3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399999999999999" x14ac:dyDescent="0.3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399999999999999" x14ac:dyDescent="0.3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399999999999999" x14ac:dyDescent="0.3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399999999999999" x14ac:dyDescent="0.3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399999999999999" x14ac:dyDescent="0.3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399999999999999" x14ac:dyDescent="0.3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399999999999999" x14ac:dyDescent="0.3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399999999999999" x14ac:dyDescent="0.3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399999999999999" x14ac:dyDescent="0.3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399999999999999" x14ac:dyDescent="0.3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399999999999999" x14ac:dyDescent="0.3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399999999999999" x14ac:dyDescent="0.3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399999999999999" x14ac:dyDescent="0.3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399999999999999" x14ac:dyDescent="0.3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399999999999999" x14ac:dyDescent="0.3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399999999999999" x14ac:dyDescent="0.3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399999999999999" x14ac:dyDescent="0.3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399999999999999" x14ac:dyDescent="0.3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399999999999999" x14ac:dyDescent="0.3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399999999999999" x14ac:dyDescent="0.3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399999999999999" x14ac:dyDescent="0.3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399999999999999" x14ac:dyDescent="0.3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399999999999999" x14ac:dyDescent="0.3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399999999999999" x14ac:dyDescent="0.3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399999999999999" x14ac:dyDescent="0.3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399999999999999" x14ac:dyDescent="0.3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399999999999999" x14ac:dyDescent="0.3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399999999999999" x14ac:dyDescent="0.3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399999999999999" x14ac:dyDescent="0.3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399999999999999" x14ac:dyDescent="0.3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399999999999999" x14ac:dyDescent="0.3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399999999999999" x14ac:dyDescent="0.3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399999999999999" x14ac:dyDescent="0.3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399999999999999" x14ac:dyDescent="0.3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399999999999999" x14ac:dyDescent="0.3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399999999999999" x14ac:dyDescent="0.3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399999999999999" x14ac:dyDescent="0.3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399999999999999" x14ac:dyDescent="0.3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399999999999999" x14ac:dyDescent="0.3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399999999999999" x14ac:dyDescent="0.3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399999999999999" x14ac:dyDescent="0.3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399999999999999" x14ac:dyDescent="0.3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399999999999999" x14ac:dyDescent="0.3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399999999999999" x14ac:dyDescent="0.3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399999999999999" x14ac:dyDescent="0.3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399999999999999" x14ac:dyDescent="0.3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399999999999999" x14ac:dyDescent="0.3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399999999999999" x14ac:dyDescent="0.3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399999999999999" x14ac:dyDescent="0.3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399999999999999" x14ac:dyDescent="0.3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399999999999999" x14ac:dyDescent="0.3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399999999999999" x14ac:dyDescent="0.3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399999999999999" x14ac:dyDescent="0.3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399999999999999" x14ac:dyDescent="0.3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399999999999999" x14ac:dyDescent="0.3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399999999999999" x14ac:dyDescent="0.3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399999999999999" x14ac:dyDescent="0.3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399999999999999" x14ac:dyDescent="0.3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399999999999999" x14ac:dyDescent="0.3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399999999999999" x14ac:dyDescent="0.3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399999999999999" x14ac:dyDescent="0.3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399999999999999" x14ac:dyDescent="0.3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399999999999999" x14ac:dyDescent="0.3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399999999999999" x14ac:dyDescent="0.3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399999999999999" x14ac:dyDescent="0.3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399999999999999" x14ac:dyDescent="0.3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399999999999999" x14ac:dyDescent="0.3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399999999999999" x14ac:dyDescent="0.3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399999999999999" x14ac:dyDescent="0.3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399999999999999" x14ac:dyDescent="0.3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399999999999999" x14ac:dyDescent="0.3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399999999999999" x14ac:dyDescent="0.3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399999999999999" x14ac:dyDescent="0.3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399999999999999" x14ac:dyDescent="0.3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399999999999999" x14ac:dyDescent="0.3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399999999999999" x14ac:dyDescent="0.3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399999999999999" x14ac:dyDescent="0.3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399999999999999" x14ac:dyDescent="0.3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399999999999999" x14ac:dyDescent="0.3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399999999999999" x14ac:dyDescent="0.3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399999999999999" x14ac:dyDescent="0.3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399999999999999" x14ac:dyDescent="0.3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399999999999999" x14ac:dyDescent="0.3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399999999999999" x14ac:dyDescent="0.3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399999999999999" x14ac:dyDescent="0.3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399999999999999" x14ac:dyDescent="0.3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399999999999999" x14ac:dyDescent="0.3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399999999999999" x14ac:dyDescent="0.3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399999999999999" x14ac:dyDescent="0.3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399999999999999" x14ac:dyDescent="0.3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399999999999999" x14ac:dyDescent="0.3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399999999999999" x14ac:dyDescent="0.3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399999999999999" x14ac:dyDescent="0.3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399999999999999" x14ac:dyDescent="0.3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399999999999999" x14ac:dyDescent="0.3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399999999999999" x14ac:dyDescent="0.3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399999999999999" x14ac:dyDescent="0.3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399999999999999" x14ac:dyDescent="0.3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399999999999999" x14ac:dyDescent="0.3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399999999999999" x14ac:dyDescent="0.3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399999999999999" x14ac:dyDescent="0.3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399999999999999" x14ac:dyDescent="0.3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399999999999999" x14ac:dyDescent="0.3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399999999999999" x14ac:dyDescent="0.3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399999999999999" x14ac:dyDescent="0.3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399999999999999" x14ac:dyDescent="0.3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399999999999999" x14ac:dyDescent="0.3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399999999999999" x14ac:dyDescent="0.3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399999999999999" x14ac:dyDescent="0.3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399999999999999" x14ac:dyDescent="0.3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399999999999999" x14ac:dyDescent="0.3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399999999999999" x14ac:dyDescent="0.3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399999999999999" x14ac:dyDescent="0.3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399999999999999" x14ac:dyDescent="0.3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399999999999999" x14ac:dyDescent="0.3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399999999999999" x14ac:dyDescent="0.3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399999999999999" x14ac:dyDescent="0.3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399999999999999" x14ac:dyDescent="0.3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399999999999999" x14ac:dyDescent="0.3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399999999999999" x14ac:dyDescent="0.3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399999999999999" x14ac:dyDescent="0.3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399999999999999" x14ac:dyDescent="0.3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399999999999999" x14ac:dyDescent="0.3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399999999999999" x14ac:dyDescent="0.3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399999999999999" x14ac:dyDescent="0.3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399999999999999" x14ac:dyDescent="0.3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399999999999999" x14ac:dyDescent="0.3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399999999999999" x14ac:dyDescent="0.3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399999999999999" x14ac:dyDescent="0.3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399999999999999" x14ac:dyDescent="0.3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399999999999999" x14ac:dyDescent="0.3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399999999999999" x14ac:dyDescent="0.3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399999999999999" x14ac:dyDescent="0.3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399999999999999" x14ac:dyDescent="0.3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399999999999999" x14ac:dyDescent="0.3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399999999999999" x14ac:dyDescent="0.3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399999999999999" x14ac:dyDescent="0.3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399999999999999" x14ac:dyDescent="0.3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399999999999999" x14ac:dyDescent="0.3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399999999999999" x14ac:dyDescent="0.3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399999999999999" x14ac:dyDescent="0.3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399999999999999" x14ac:dyDescent="0.3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399999999999999" x14ac:dyDescent="0.3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399999999999999" x14ac:dyDescent="0.3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399999999999999" x14ac:dyDescent="0.3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399999999999999" x14ac:dyDescent="0.3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399999999999999" x14ac:dyDescent="0.3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399999999999999" x14ac:dyDescent="0.3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399999999999999" x14ac:dyDescent="0.3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399999999999999" x14ac:dyDescent="0.3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399999999999999" x14ac:dyDescent="0.3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399999999999999" x14ac:dyDescent="0.3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399999999999999" x14ac:dyDescent="0.3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399999999999999" x14ac:dyDescent="0.3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399999999999999" x14ac:dyDescent="0.3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399999999999999" x14ac:dyDescent="0.3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399999999999999" x14ac:dyDescent="0.3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399999999999999" x14ac:dyDescent="0.3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399999999999999" x14ac:dyDescent="0.3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399999999999999" x14ac:dyDescent="0.3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399999999999999" x14ac:dyDescent="0.3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399999999999999" x14ac:dyDescent="0.3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399999999999999" x14ac:dyDescent="0.3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399999999999999" x14ac:dyDescent="0.3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399999999999999" x14ac:dyDescent="0.3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399999999999999" x14ac:dyDescent="0.3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399999999999999" x14ac:dyDescent="0.3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399999999999999" x14ac:dyDescent="0.3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399999999999999" x14ac:dyDescent="0.3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399999999999999" x14ac:dyDescent="0.3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399999999999999" x14ac:dyDescent="0.3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399999999999999" x14ac:dyDescent="0.3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399999999999999" x14ac:dyDescent="0.3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399999999999999" x14ac:dyDescent="0.3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399999999999999" x14ac:dyDescent="0.3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399999999999999" x14ac:dyDescent="0.3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399999999999999" x14ac:dyDescent="0.3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399999999999999" x14ac:dyDescent="0.3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399999999999999" x14ac:dyDescent="0.3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399999999999999" x14ac:dyDescent="0.3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399999999999999" x14ac:dyDescent="0.3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399999999999999" x14ac:dyDescent="0.3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399999999999999" x14ac:dyDescent="0.3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399999999999999" x14ac:dyDescent="0.3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399999999999999" x14ac:dyDescent="0.3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399999999999999" x14ac:dyDescent="0.3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399999999999999" x14ac:dyDescent="0.3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399999999999999" x14ac:dyDescent="0.3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399999999999999" x14ac:dyDescent="0.3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399999999999999" x14ac:dyDescent="0.3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399999999999999" x14ac:dyDescent="0.3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399999999999999" x14ac:dyDescent="0.3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399999999999999" x14ac:dyDescent="0.3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399999999999999" x14ac:dyDescent="0.3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399999999999999" x14ac:dyDescent="0.3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399999999999999" x14ac:dyDescent="0.3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399999999999999" x14ac:dyDescent="0.3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399999999999999" x14ac:dyDescent="0.3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399999999999999" x14ac:dyDescent="0.3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399999999999999" x14ac:dyDescent="0.3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399999999999999" x14ac:dyDescent="0.3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399999999999999" x14ac:dyDescent="0.3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399999999999999" x14ac:dyDescent="0.3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399999999999999" x14ac:dyDescent="0.3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399999999999999" x14ac:dyDescent="0.3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399999999999999" x14ac:dyDescent="0.3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399999999999999" x14ac:dyDescent="0.3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399999999999999" x14ac:dyDescent="0.3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399999999999999" x14ac:dyDescent="0.3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399999999999999" x14ac:dyDescent="0.3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399999999999999" x14ac:dyDescent="0.3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399999999999999" x14ac:dyDescent="0.3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399999999999999" x14ac:dyDescent="0.3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399999999999999" x14ac:dyDescent="0.3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399999999999999" x14ac:dyDescent="0.3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399999999999999" x14ac:dyDescent="0.3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399999999999999" x14ac:dyDescent="0.3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399999999999999" x14ac:dyDescent="0.3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399999999999999" x14ac:dyDescent="0.3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399999999999999" x14ac:dyDescent="0.3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399999999999999" x14ac:dyDescent="0.3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399999999999999" x14ac:dyDescent="0.3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399999999999999" x14ac:dyDescent="0.3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399999999999999" x14ac:dyDescent="0.3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399999999999999" x14ac:dyDescent="0.3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399999999999999" x14ac:dyDescent="0.3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399999999999999" x14ac:dyDescent="0.3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399999999999999" x14ac:dyDescent="0.3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399999999999999" x14ac:dyDescent="0.3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399999999999999" x14ac:dyDescent="0.3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399999999999999" x14ac:dyDescent="0.3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399999999999999" x14ac:dyDescent="0.3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399999999999999" x14ac:dyDescent="0.3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399999999999999" x14ac:dyDescent="0.3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399999999999999" x14ac:dyDescent="0.3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399999999999999" x14ac:dyDescent="0.3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399999999999999" x14ac:dyDescent="0.3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399999999999999" x14ac:dyDescent="0.3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399999999999999" x14ac:dyDescent="0.3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399999999999999" x14ac:dyDescent="0.3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399999999999999" x14ac:dyDescent="0.3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399999999999999" x14ac:dyDescent="0.3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399999999999999" x14ac:dyDescent="0.3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399999999999999" x14ac:dyDescent="0.3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399999999999999" x14ac:dyDescent="0.3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399999999999999" x14ac:dyDescent="0.3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399999999999999" x14ac:dyDescent="0.3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399999999999999" x14ac:dyDescent="0.3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399999999999999" x14ac:dyDescent="0.3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399999999999999" x14ac:dyDescent="0.3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399999999999999" x14ac:dyDescent="0.3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399999999999999" x14ac:dyDescent="0.3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399999999999999" x14ac:dyDescent="0.3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399999999999999" x14ac:dyDescent="0.3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399999999999999" x14ac:dyDescent="0.3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399999999999999" x14ac:dyDescent="0.3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399999999999999" x14ac:dyDescent="0.3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399999999999999" x14ac:dyDescent="0.3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399999999999999" x14ac:dyDescent="0.3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399999999999999" x14ac:dyDescent="0.3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399999999999999" x14ac:dyDescent="0.3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399999999999999" x14ac:dyDescent="0.3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399999999999999" x14ac:dyDescent="0.3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399999999999999" x14ac:dyDescent="0.3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399999999999999" x14ac:dyDescent="0.3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399999999999999" x14ac:dyDescent="0.3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399999999999999" x14ac:dyDescent="0.3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399999999999999" x14ac:dyDescent="0.3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399999999999999" x14ac:dyDescent="0.3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399999999999999" x14ac:dyDescent="0.3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399999999999999" x14ac:dyDescent="0.3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399999999999999" x14ac:dyDescent="0.3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399999999999999" x14ac:dyDescent="0.3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399999999999999" x14ac:dyDescent="0.3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399999999999999" x14ac:dyDescent="0.3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399999999999999" x14ac:dyDescent="0.3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399999999999999" x14ac:dyDescent="0.3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399999999999999" x14ac:dyDescent="0.3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399999999999999" x14ac:dyDescent="0.3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399999999999999" x14ac:dyDescent="0.3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399999999999999" x14ac:dyDescent="0.3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399999999999999" x14ac:dyDescent="0.3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399999999999999" x14ac:dyDescent="0.3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399999999999999" x14ac:dyDescent="0.3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399999999999999" x14ac:dyDescent="0.3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399999999999999" x14ac:dyDescent="0.3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399999999999999" x14ac:dyDescent="0.3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399999999999999" x14ac:dyDescent="0.3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399999999999999" x14ac:dyDescent="0.3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399999999999999" x14ac:dyDescent="0.3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399999999999999" x14ac:dyDescent="0.3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399999999999999" x14ac:dyDescent="0.3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399999999999999" x14ac:dyDescent="0.3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399999999999999" x14ac:dyDescent="0.3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399999999999999" x14ac:dyDescent="0.3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399999999999999" x14ac:dyDescent="0.3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399999999999999" x14ac:dyDescent="0.3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399999999999999" x14ac:dyDescent="0.3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399999999999999" x14ac:dyDescent="0.3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399999999999999" x14ac:dyDescent="0.3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399999999999999" x14ac:dyDescent="0.3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399999999999999" x14ac:dyDescent="0.3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399999999999999" x14ac:dyDescent="0.3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399999999999999" x14ac:dyDescent="0.3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399999999999999" x14ac:dyDescent="0.3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399999999999999" x14ac:dyDescent="0.3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399999999999999" x14ac:dyDescent="0.3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399999999999999" x14ac:dyDescent="0.3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399999999999999" x14ac:dyDescent="0.3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399999999999999" x14ac:dyDescent="0.3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399999999999999" x14ac:dyDescent="0.3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399999999999999" x14ac:dyDescent="0.3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399999999999999" x14ac:dyDescent="0.3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399999999999999" x14ac:dyDescent="0.3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399999999999999" x14ac:dyDescent="0.3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399999999999999" x14ac:dyDescent="0.3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399999999999999" x14ac:dyDescent="0.3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399999999999999" x14ac:dyDescent="0.3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399999999999999" x14ac:dyDescent="0.3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399999999999999" x14ac:dyDescent="0.3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399999999999999" x14ac:dyDescent="0.3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399999999999999" x14ac:dyDescent="0.3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399999999999999" x14ac:dyDescent="0.3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399999999999999" x14ac:dyDescent="0.3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399999999999999" x14ac:dyDescent="0.3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399999999999999" x14ac:dyDescent="0.3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399999999999999" x14ac:dyDescent="0.3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399999999999999" x14ac:dyDescent="0.3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399999999999999" x14ac:dyDescent="0.3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399999999999999" x14ac:dyDescent="0.3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399999999999999" x14ac:dyDescent="0.3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399999999999999" x14ac:dyDescent="0.3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399999999999999" x14ac:dyDescent="0.3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399999999999999" x14ac:dyDescent="0.3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399999999999999" x14ac:dyDescent="0.3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399999999999999" x14ac:dyDescent="0.3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399999999999999" x14ac:dyDescent="0.3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399999999999999" x14ac:dyDescent="0.3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399999999999999" x14ac:dyDescent="0.3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399999999999999" x14ac:dyDescent="0.3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399999999999999" x14ac:dyDescent="0.3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399999999999999" x14ac:dyDescent="0.3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399999999999999" x14ac:dyDescent="0.3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399999999999999" x14ac:dyDescent="0.3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399999999999999" x14ac:dyDescent="0.3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399999999999999" x14ac:dyDescent="0.3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399999999999999" x14ac:dyDescent="0.3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399999999999999" x14ac:dyDescent="0.3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399999999999999" x14ac:dyDescent="0.3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399999999999999" x14ac:dyDescent="0.3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399999999999999" x14ac:dyDescent="0.3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399999999999999" x14ac:dyDescent="0.3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399999999999999" x14ac:dyDescent="0.3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399999999999999" x14ac:dyDescent="0.3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399999999999999" x14ac:dyDescent="0.3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399999999999999" x14ac:dyDescent="0.3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399999999999999" x14ac:dyDescent="0.3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399999999999999" x14ac:dyDescent="0.3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399999999999999" x14ac:dyDescent="0.3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399999999999999" x14ac:dyDescent="0.3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399999999999999" x14ac:dyDescent="0.3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399999999999999" x14ac:dyDescent="0.3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399999999999999" x14ac:dyDescent="0.3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399999999999999" x14ac:dyDescent="0.3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399999999999999" x14ac:dyDescent="0.3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399999999999999" x14ac:dyDescent="0.3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399999999999999" x14ac:dyDescent="0.3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399999999999999" x14ac:dyDescent="0.3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399999999999999" x14ac:dyDescent="0.3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399999999999999" x14ac:dyDescent="0.3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399999999999999" x14ac:dyDescent="0.3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399999999999999" x14ac:dyDescent="0.3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399999999999999" x14ac:dyDescent="0.3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399999999999999" x14ac:dyDescent="0.3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399999999999999" x14ac:dyDescent="0.3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399999999999999" x14ac:dyDescent="0.3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399999999999999" x14ac:dyDescent="0.3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399999999999999" x14ac:dyDescent="0.3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399999999999999" x14ac:dyDescent="0.3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399999999999999" x14ac:dyDescent="0.3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399999999999999" x14ac:dyDescent="0.3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399999999999999" x14ac:dyDescent="0.3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399999999999999" x14ac:dyDescent="0.3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399999999999999" x14ac:dyDescent="0.3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399999999999999" x14ac:dyDescent="0.3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399999999999999" x14ac:dyDescent="0.3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399999999999999" x14ac:dyDescent="0.3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399999999999999" x14ac:dyDescent="0.3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399999999999999" x14ac:dyDescent="0.3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399999999999999" x14ac:dyDescent="0.3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399999999999999" x14ac:dyDescent="0.3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399999999999999" x14ac:dyDescent="0.3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399999999999999" x14ac:dyDescent="0.3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399999999999999" x14ac:dyDescent="0.3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399999999999999" x14ac:dyDescent="0.3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399999999999999" x14ac:dyDescent="0.3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399999999999999" x14ac:dyDescent="0.3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399999999999999" x14ac:dyDescent="0.3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399999999999999" x14ac:dyDescent="0.3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399999999999999" x14ac:dyDescent="0.3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399999999999999" x14ac:dyDescent="0.3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399999999999999" x14ac:dyDescent="0.3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399999999999999" x14ac:dyDescent="0.3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399999999999999" x14ac:dyDescent="0.3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399999999999999" x14ac:dyDescent="0.3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399999999999999" x14ac:dyDescent="0.3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399999999999999" x14ac:dyDescent="0.3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399999999999999" x14ac:dyDescent="0.3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399999999999999" x14ac:dyDescent="0.3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399999999999999" x14ac:dyDescent="0.3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399999999999999" x14ac:dyDescent="0.3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399999999999999" x14ac:dyDescent="0.3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399999999999999" x14ac:dyDescent="0.3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399999999999999" x14ac:dyDescent="0.3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399999999999999" x14ac:dyDescent="0.3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399999999999999" x14ac:dyDescent="0.3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399999999999999" x14ac:dyDescent="0.3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399999999999999" x14ac:dyDescent="0.3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399999999999999" x14ac:dyDescent="0.3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399999999999999" x14ac:dyDescent="0.3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399999999999999" x14ac:dyDescent="0.3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399999999999999" x14ac:dyDescent="0.3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399999999999999" x14ac:dyDescent="0.3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399999999999999" x14ac:dyDescent="0.3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399999999999999" x14ac:dyDescent="0.3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399999999999999" x14ac:dyDescent="0.3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399999999999999" x14ac:dyDescent="0.3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399999999999999" x14ac:dyDescent="0.3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399999999999999" x14ac:dyDescent="0.3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399999999999999" x14ac:dyDescent="0.3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399999999999999" x14ac:dyDescent="0.3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399999999999999" x14ac:dyDescent="0.3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399999999999999" x14ac:dyDescent="0.3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399999999999999" x14ac:dyDescent="0.3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399999999999999" x14ac:dyDescent="0.3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399999999999999" x14ac:dyDescent="0.3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399999999999999" x14ac:dyDescent="0.3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399999999999999" x14ac:dyDescent="0.3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399999999999999" x14ac:dyDescent="0.3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399999999999999" x14ac:dyDescent="0.3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399999999999999" x14ac:dyDescent="0.3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399999999999999" x14ac:dyDescent="0.3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399999999999999" x14ac:dyDescent="0.3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399999999999999" x14ac:dyDescent="0.3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399999999999999" x14ac:dyDescent="0.3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399999999999999" x14ac:dyDescent="0.3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399999999999999" x14ac:dyDescent="0.3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399999999999999" x14ac:dyDescent="0.3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399999999999999" x14ac:dyDescent="0.3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399999999999999" x14ac:dyDescent="0.3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399999999999999" x14ac:dyDescent="0.3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399999999999999" x14ac:dyDescent="0.3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399999999999999" x14ac:dyDescent="0.3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399999999999999" x14ac:dyDescent="0.3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399999999999999" x14ac:dyDescent="0.3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399999999999999" x14ac:dyDescent="0.3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399999999999999" x14ac:dyDescent="0.3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399999999999999" x14ac:dyDescent="0.3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399999999999999" x14ac:dyDescent="0.3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399999999999999" x14ac:dyDescent="0.3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399999999999999" x14ac:dyDescent="0.3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399999999999999" x14ac:dyDescent="0.3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399999999999999" x14ac:dyDescent="0.3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399999999999999" x14ac:dyDescent="0.3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399999999999999" x14ac:dyDescent="0.3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399999999999999" x14ac:dyDescent="0.3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399999999999999" x14ac:dyDescent="0.3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399999999999999" x14ac:dyDescent="0.3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399999999999999" x14ac:dyDescent="0.3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399999999999999" x14ac:dyDescent="0.3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399999999999999" x14ac:dyDescent="0.3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399999999999999" x14ac:dyDescent="0.3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399999999999999" x14ac:dyDescent="0.3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399999999999999" x14ac:dyDescent="0.3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399999999999999" x14ac:dyDescent="0.3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399999999999999" x14ac:dyDescent="0.3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399999999999999" x14ac:dyDescent="0.3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399999999999999" x14ac:dyDescent="0.3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399999999999999" x14ac:dyDescent="0.3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399999999999999" x14ac:dyDescent="0.3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399999999999999" x14ac:dyDescent="0.3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399999999999999" x14ac:dyDescent="0.3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399999999999999" x14ac:dyDescent="0.3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399999999999999" x14ac:dyDescent="0.3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399999999999999" x14ac:dyDescent="0.3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399999999999999" x14ac:dyDescent="0.3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399999999999999" x14ac:dyDescent="0.3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399999999999999" x14ac:dyDescent="0.3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399999999999999" x14ac:dyDescent="0.3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399999999999999" x14ac:dyDescent="0.3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399999999999999" x14ac:dyDescent="0.3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399999999999999" x14ac:dyDescent="0.3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399999999999999" x14ac:dyDescent="0.3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399999999999999" x14ac:dyDescent="0.3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399999999999999" x14ac:dyDescent="0.3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399999999999999" x14ac:dyDescent="0.3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399999999999999" x14ac:dyDescent="0.3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399999999999999" x14ac:dyDescent="0.3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399999999999999" x14ac:dyDescent="0.3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399999999999999" x14ac:dyDescent="0.3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399999999999999" x14ac:dyDescent="0.3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399999999999999" x14ac:dyDescent="0.3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399999999999999" x14ac:dyDescent="0.3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399999999999999" x14ac:dyDescent="0.3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399999999999999" x14ac:dyDescent="0.3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399999999999999" x14ac:dyDescent="0.3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399999999999999" x14ac:dyDescent="0.3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399999999999999" x14ac:dyDescent="0.3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399999999999999" x14ac:dyDescent="0.3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399999999999999" x14ac:dyDescent="0.3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399999999999999" x14ac:dyDescent="0.3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399999999999999" x14ac:dyDescent="0.3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399999999999999" x14ac:dyDescent="0.3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399999999999999" x14ac:dyDescent="0.3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399999999999999" x14ac:dyDescent="0.3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399999999999999" x14ac:dyDescent="0.3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399999999999999" x14ac:dyDescent="0.3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399999999999999" x14ac:dyDescent="0.3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399999999999999" x14ac:dyDescent="0.3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399999999999999" x14ac:dyDescent="0.3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399999999999999" x14ac:dyDescent="0.3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399999999999999" x14ac:dyDescent="0.3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399999999999999" x14ac:dyDescent="0.3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399999999999999" x14ac:dyDescent="0.3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399999999999999" x14ac:dyDescent="0.3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399999999999999" x14ac:dyDescent="0.3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399999999999999" x14ac:dyDescent="0.3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399999999999999" x14ac:dyDescent="0.3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399999999999999" x14ac:dyDescent="0.3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399999999999999" x14ac:dyDescent="0.3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399999999999999" x14ac:dyDescent="0.3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399999999999999" x14ac:dyDescent="0.3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399999999999999" x14ac:dyDescent="0.3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399999999999999" x14ac:dyDescent="0.3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399999999999999" x14ac:dyDescent="0.3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399999999999999" x14ac:dyDescent="0.3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399999999999999" x14ac:dyDescent="0.3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399999999999999" x14ac:dyDescent="0.3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399999999999999" x14ac:dyDescent="0.3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399999999999999" x14ac:dyDescent="0.3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399999999999999" x14ac:dyDescent="0.3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399999999999999" x14ac:dyDescent="0.3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399999999999999" x14ac:dyDescent="0.3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399999999999999" x14ac:dyDescent="0.3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399999999999999" x14ac:dyDescent="0.3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399999999999999" x14ac:dyDescent="0.3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399999999999999" x14ac:dyDescent="0.3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399999999999999" x14ac:dyDescent="0.3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399999999999999" x14ac:dyDescent="0.3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399999999999999" x14ac:dyDescent="0.3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399999999999999" x14ac:dyDescent="0.3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399999999999999" x14ac:dyDescent="0.3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399999999999999" x14ac:dyDescent="0.3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399999999999999" x14ac:dyDescent="0.3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399999999999999" x14ac:dyDescent="0.3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399999999999999" x14ac:dyDescent="0.3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399999999999999" x14ac:dyDescent="0.3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399999999999999" x14ac:dyDescent="0.3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399999999999999" x14ac:dyDescent="0.3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399999999999999" x14ac:dyDescent="0.3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399999999999999" x14ac:dyDescent="0.3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399999999999999" x14ac:dyDescent="0.3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399999999999999" x14ac:dyDescent="0.3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399999999999999" x14ac:dyDescent="0.3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399999999999999" x14ac:dyDescent="0.3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399999999999999" x14ac:dyDescent="0.3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399999999999999" x14ac:dyDescent="0.3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399999999999999" x14ac:dyDescent="0.3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399999999999999" x14ac:dyDescent="0.3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399999999999999" x14ac:dyDescent="0.3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399999999999999" x14ac:dyDescent="0.3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399999999999999" x14ac:dyDescent="0.3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399999999999999" x14ac:dyDescent="0.3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399999999999999" x14ac:dyDescent="0.3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399999999999999" x14ac:dyDescent="0.3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399999999999999" x14ac:dyDescent="0.3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399999999999999" x14ac:dyDescent="0.3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399999999999999" x14ac:dyDescent="0.3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399999999999999" x14ac:dyDescent="0.3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399999999999999" x14ac:dyDescent="0.3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399999999999999" x14ac:dyDescent="0.3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399999999999999" x14ac:dyDescent="0.3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399999999999999" x14ac:dyDescent="0.3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399999999999999" x14ac:dyDescent="0.3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399999999999999" x14ac:dyDescent="0.3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399999999999999" x14ac:dyDescent="0.3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399999999999999" x14ac:dyDescent="0.3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399999999999999" x14ac:dyDescent="0.3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399999999999999" x14ac:dyDescent="0.3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399999999999999" x14ac:dyDescent="0.3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399999999999999" x14ac:dyDescent="0.3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399999999999999" x14ac:dyDescent="0.3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399999999999999" x14ac:dyDescent="0.3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399999999999999" x14ac:dyDescent="0.3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399999999999999" x14ac:dyDescent="0.3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399999999999999" x14ac:dyDescent="0.3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399999999999999" x14ac:dyDescent="0.3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399999999999999" x14ac:dyDescent="0.3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399999999999999" x14ac:dyDescent="0.3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399999999999999" x14ac:dyDescent="0.3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399999999999999" x14ac:dyDescent="0.3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399999999999999" x14ac:dyDescent="0.3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399999999999999" x14ac:dyDescent="0.3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399999999999999" x14ac:dyDescent="0.3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399999999999999" x14ac:dyDescent="0.3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399999999999999" x14ac:dyDescent="0.3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399999999999999" x14ac:dyDescent="0.3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399999999999999" x14ac:dyDescent="0.3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399999999999999" x14ac:dyDescent="0.3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399999999999999" x14ac:dyDescent="0.3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399999999999999" x14ac:dyDescent="0.3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399999999999999" x14ac:dyDescent="0.3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399999999999999" x14ac:dyDescent="0.3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399999999999999" x14ac:dyDescent="0.3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399999999999999" x14ac:dyDescent="0.3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399999999999999" x14ac:dyDescent="0.3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399999999999999" x14ac:dyDescent="0.3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399999999999999" x14ac:dyDescent="0.3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399999999999999" x14ac:dyDescent="0.3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399999999999999" x14ac:dyDescent="0.3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399999999999999" x14ac:dyDescent="0.3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399999999999999" x14ac:dyDescent="0.3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399999999999999" x14ac:dyDescent="0.3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399999999999999" x14ac:dyDescent="0.3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399999999999999" x14ac:dyDescent="0.3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399999999999999" x14ac:dyDescent="0.3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399999999999999" x14ac:dyDescent="0.3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399999999999999" x14ac:dyDescent="0.3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399999999999999" x14ac:dyDescent="0.3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399999999999999" x14ac:dyDescent="0.3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399999999999999" x14ac:dyDescent="0.3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399999999999999" x14ac:dyDescent="0.3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399999999999999" x14ac:dyDescent="0.3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399999999999999" x14ac:dyDescent="0.3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399999999999999" x14ac:dyDescent="0.3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399999999999999" x14ac:dyDescent="0.3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399999999999999" x14ac:dyDescent="0.3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399999999999999" x14ac:dyDescent="0.3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399999999999999" x14ac:dyDescent="0.3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399999999999999" x14ac:dyDescent="0.3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399999999999999" x14ac:dyDescent="0.3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399999999999999" x14ac:dyDescent="0.3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399999999999999" x14ac:dyDescent="0.3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399999999999999" x14ac:dyDescent="0.3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399999999999999" x14ac:dyDescent="0.3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399999999999999" x14ac:dyDescent="0.3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399999999999999" x14ac:dyDescent="0.3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399999999999999" x14ac:dyDescent="0.3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399999999999999" x14ac:dyDescent="0.3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399999999999999" x14ac:dyDescent="0.3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399999999999999" x14ac:dyDescent="0.3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399999999999999" x14ac:dyDescent="0.3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399999999999999" x14ac:dyDescent="0.3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399999999999999" x14ac:dyDescent="0.3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399999999999999" x14ac:dyDescent="0.3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399999999999999" x14ac:dyDescent="0.3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399999999999999" x14ac:dyDescent="0.3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399999999999999" x14ac:dyDescent="0.3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399999999999999" x14ac:dyDescent="0.3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399999999999999" x14ac:dyDescent="0.3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399999999999999" x14ac:dyDescent="0.3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399999999999999" x14ac:dyDescent="0.3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399999999999999" x14ac:dyDescent="0.3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399999999999999" x14ac:dyDescent="0.3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399999999999999" x14ac:dyDescent="0.3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399999999999999" x14ac:dyDescent="0.3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399999999999999" x14ac:dyDescent="0.3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399999999999999" x14ac:dyDescent="0.3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399999999999999" x14ac:dyDescent="0.3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399999999999999" x14ac:dyDescent="0.3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399999999999999" x14ac:dyDescent="0.3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399999999999999" x14ac:dyDescent="0.3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399999999999999" x14ac:dyDescent="0.3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399999999999999" x14ac:dyDescent="0.3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399999999999999" x14ac:dyDescent="0.3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399999999999999" x14ac:dyDescent="0.3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399999999999999" x14ac:dyDescent="0.3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399999999999999" x14ac:dyDescent="0.3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399999999999999" x14ac:dyDescent="0.3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399999999999999" x14ac:dyDescent="0.3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399999999999999" x14ac:dyDescent="0.3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399999999999999" x14ac:dyDescent="0.3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399999999999999" x14ac:dyDescent="0.3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399999999999999" x14ac:dyDescent="0.3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399999999999999" x14ac:dyDescent="0.3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399999999999999" x14ac:dyDescent="0.3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399999999999999" x14ac:dyDescent="0.3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399999999999999" x14ac:dyDescent="0.3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399999999999999" x14ac:dyDescent="0.3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399999999999999" x14ac:dyDescent="0.3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399999999999999" x14ac:dyDescent="0.3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399999999999999" x14ac:dyDescent="0.3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399999999999999" x14ac:dyDescent="0.3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399999999999999" x14ac:dyDescent="0.3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399999999999999" x14ac:dyDescent="0.3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399999999999999" x14ac:dyDescent="0.3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399999999999999" x14ac:dyDescent="0.3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399999999999999" x14ac:dyDescent="0.3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399999999999999" x14ac:dyDescent="0.3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399999999999999" x14ac:dyDescent="0.3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399999999999999" x14ac:dyDescent="0.3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399999999999999" x14ac:dyDescent="0.3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399999999999999" x14ac:dyDescent="0.3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399999999999999" x14ac:dyDescent="0.3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399999999999999" x14ac:dyDescent="0.3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399999999999999" x14ac:dyDescent="0.3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399999999999999" x14ac:dyDescent="0.3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399999999999999" x14ac:dyDescent="0.3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399999999999999" x14ac:dyDescent="0.3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399999999999999" x14ac:dyDescent="0.3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399999999999999" x14ac:dyDescent="0.3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399999999999999" x14ac:dyDescent="0.3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399999999999999" x14ac:dyDescent="0.3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399999999999999" x14ac:dyDescent="0.3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399999999999999" x14ac:dyDescent="0.3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399999999999999" x14ac:dyDescent="0.3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399999999999999" x14ac:dyDescent="0.3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399999999999999" x14ac:dyDescent="0.3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399999999999999" x14ac:dyDescent="0.3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399999999999999" x14ac:dyDescent="0.3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399999999999999" x14ac:dyDescent="0.3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399999999999999" x14ac:dyDescent="0.3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399999999999999" x14ac:dyDescent="0.3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399999999999999" x14ac:dyDescent="0.3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399999999999999" x14ac:dyDescent="0.3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399999999999999" x14ac:dyDescent="0.3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399999999999999" x14ac:dyDescent="0.3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399999999999999" x14ac:dyDescent="0.3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399999999999999" x14ac:dyDescent="0.3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399999999999999" x14ac:dyDescent="0.3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399999999999999" x14ac:dyDescent="0.3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399999999999999" x14ac:dyDescent="0.3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399999999999999" x14ac:dyDescent="0.3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399999999999999" x14ac:dyDescent="0.3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399999999999999" x14ac:dyDescent="0.3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399999999999999" x14ac:dyDescent="0.3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399999999999999" x14ac:dyDescent="0.3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399999999999999" x14ac:dyDescent="0.3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399999999999999" x14ac:dyDescent="0.3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399999999999999" x14ac:dyDescent="0.3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399999999999999" x14ac:dyDescent="0.3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399999999999999" x14ac:dyDescent="0.3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399999999999999" x14ac:dyDescent="0.3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399999999999999" x14ac:dyDescent="0.3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399999999999999" x14ac:dyDescent="0.3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399999999999999" x14ac:dyDescent="0.3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399999999999999" x14ac:dyDescent="0.3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399999999999999" x14ac:dyDescent="0.3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399999999999999" x14ac:dyDescent="0.3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399999999999999" x14ac:dyDescent="0.3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399999999999999" x14ac:dyDescent="0.3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399999999999999" x14ac:dyDescent="0.3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399999999999999" x14ac:dyDescent="0.3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399999999999999" x14ac:dyDescent="0.3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399999999999999" x14ac:dyDescent="0.3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399999999999999" x14ac:dyDescent="0.3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399999999999999" x14ac:dyDescent="0.3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399999999999999" x14ac:dyDescent="0.3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399999999999999" x14ac:dyDescent="0.3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399999999999999" x14ac:dyDescent="0.3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399999999999999" x14ac:dyDescent="0.3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399999999999999" x14ac:dyDescent="0.3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399999999999999" x14ac:dyDescent="0.3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399999999999999" x14ac:dyDescent="0.3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399999999999999" x14ac:dyDescent="0.3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399999999999999" x14ac:dyDescent="0.3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399999999999999" x14ac:dyDescent="0.3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399999999999999" x14ac:dyDescent="0.3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399999999999999" x14ac:dyDescent="0.3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399999999999999" x14ac:dyDescent="0.3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399999999999999" x14ac:dyDescent="0.3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399999999999999" x14ac:dyDescent="0.3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399999999999999" x14ac:dyDescent="0.3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399999999999999" x14ac:dyDescent="0.3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399999999999999" x14ac:dyDescent="0.3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399999999999999" x14ac:dyDescent="0.3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399999999999999" x14ac:dyDescent="0.3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399999999999999" x14ac:dyDescent="0.3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399999999999999" x14ac:dyDescent="0.3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399999999999999" x14ac:dyDescent="0.3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399999999999999" x14ac:dyDescent="0.3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399999999999999" x14ac:dyDescent="0.3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399999999999999" x14ac:dyDescent="0.3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399999999999999" x14ac:dyDescent="0.3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399999999999999" x14ac:dyDescent="0.3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399999999999999" x14ac:dyDescent="0.3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399999999999999" x14ac:dyDescent="0.3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399999999999999" x14ac:dyDescent="0.3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399999999999999" x14ac:dyDescent="0.3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399999999999999" x14ac:dyDescent="0.3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399999999999999" x14ac:dyDescent="0.3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399999999999999" x14ac:dyDescent="0.3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399999999999999" x14ac:dyDescent="0.3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399999999999999" x14ac:dyDescent="0.3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399999999999999" x14ac:dyDescent="0.3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399999999999999" x14ac:dyDescent="0.3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399999999999999" x14ac:dyDescent="0.3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399999999999999" x14ac:dyDescent="0.3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399999999999999" x14ac:dyDescent="0.3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399999999999999" x14ac:dyDescent="0.3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399999999999999" x14ac:dyDescent="0.3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399999999999999" x14ac:dyDescent="0.3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399999999999999" x14ac:dyDescent="0.3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399999999999999" x14ac:dyDescent="0.3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399999999999999" x14ac:dyDescent="0.3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399999999999999" x14ac:dyDescent="0.3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399999999999999" x14ac:dyDescent="0.3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399999999999999" x14ac:dyDescent="0.3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399999999999999" x14ac:dyDescent="0.3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399999999999999" x14ac:dyDescent="0.3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399999999999999" x14ac:dyDescent="0.3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399999999999999" x14ac:dyDescent="0.3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399999999999999" x14ac:dyDescent="0.3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399999999999999" x14ac:dyDescent="0.3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399999999999999" x14ac:dyDescent="0.3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399999999999999" x14ac:dyDescent="0.3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399999999999999" x14ac:dyDescent="0.3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399999999999999" x14ac:dyDescent="0.3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399999999999999" x14ac:dyDescent="0.3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399999999999999" x14ac:dyDescent="0.3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399999999999999" x14ac:dyDescent="0.3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399999999999999" x14ac:dyDescent="0.3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399999999999999" x14ac:dyDescent="0.3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399999999999999" x14ac:dyDescent="0.3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399999999999999" x14ac:dyDescent="0.3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399999999999999" x14ac:dyDescent="0.3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399999999999999" x14ac:dyDescent="0.3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399999999999999" x14ac:dyDescent="0.3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399999999999999" x14ac:dyDescent="0.3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399999999999999" x14ac:dyDescent="0.3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399999999999999" x14ac:dyDescent="0.3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399999999999999" x14ac:dyDescent="0.3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399999999999999" x14ac:dyDescent="0.3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399999999999999" x14ac:dyDescent="0.3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399999999999999" x14ac:dyDescent="0.3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399999999999999" x14ac:dyDescent="0.3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399999999999999" x14ac:dyDescent="0.3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399999999999999" x14ac:dyDescent="0.3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399999999999999" x14ac:dyDescent="0.3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399999999999999" x14ac:dyDescent="0.3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399999999999999" x14ac:dyDescent="0.3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399999999999999" x14ac:dyDescent="0.3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399999999999999" x14ac:dyDescent="0.3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399999999999999" x14ac:dyDescent="0.3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399999999999999" x14ac:dyDescent="0.3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399999999999999" x14ac:dyDescent="0.3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399999999999999" x14ac:dyDescent="0.3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399999999999999" x14ac:dyDescent="0.3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399999999999999" x14ac:dyDescent="0.3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399999999999999" x14ac:dyDescent="0.3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399999999999999" x14ac:dyDescent="0.3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399999999999999" x14ac:dyDescent="0.3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399999999999999" x14ac:dyDescent="0.3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399999999999999" x14ac:dyDescent="0.3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399999999999999" x14ac:dyDescent="0.3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399999999999999" x14ac:dyDescent="0.3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399999999999999" x14ac:dyDescent="0.3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399999999999999" x14ac:dyDescent="0.3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399999999999999" x14ac:dyDescent="0.3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399999999999999" x14ac:dyDescent="0.3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399999999999999" x14ac:dyDescent="0.3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399999999999999" x14ac:dyDescent="0.3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399999999999999" x14ac:dyDescent="0.3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399999999999999" x14ac:dyDescent="0.3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399999999999999" x14ac:dyDescent="0.3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399999999999999" x14ac:dyDescent="0.3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399999999999999" x14ac:dyDescent="0.3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399999999999999" x14ac:dyDescent="0.3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399999999999999" x14ac:dyDescent="0.3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399999999999999" x14ac:dyDescent="0.3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399999999999999" x14ac:dyDescent="0.3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399999999999999" x14ac:dyDescent="0.3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399999999999999" x14ac:dyDescent="0.3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399999999999999" x14ac:dyDescent="0.3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399999999999999" x14ac:dyDescent="0.3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399999999999999" x14ac:dyDescent="0.3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399999999999999" x14ac:dyDescent="0.3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399999999999999" x14ac:dyDescent="0.3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399999999999999" x14ac:dyDescent="0.3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399999999999999" x14ac:dyDescent="0.3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399999999999999" x14ac:dyDescent="0.3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399999999999999" x14ac:dyDescent="0.3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399999999999999" x14ac:dyDescent="0.3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399999999999999" x14ac:dyDescent="0.3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399999999999999" x14ac:dyDescent="0.3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399999999999999" x14ac:dyDescent="0.3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399999999999999" x14ac:dyDescent="0.3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399999999999999" x14ac:dyDescent="0.3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399999999999999" x14ac:dyDescent="0.3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399999999999999" x14ac:dyDescent="0.3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399999999999999" x14ac:dyDescent="0.3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399999999999999" x14ac:dyDescent="0.3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399999999999999" x14ac:dyDescent="0.3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399999999999999" x14ac:dyDescent="0.3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399999999999999" x14ac:dyDescent="0.3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399999999999999" x14ac:dyDescent="0.3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399999999999999" x14ac:dyDescent="0.3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399999999999999" x14ac:dyDescent="0.3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399999999999999" x14ac:dyDescent="0.3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399999999999999" x14ac:dyDescent="0.3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399999999999999" x14ac:dyDescent="0.3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399999999999999" x14ac:dyDescent="0.3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399999999999999" x14ac:dyDescent="0.3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399999999999999" x14ac:dyDescent="0.3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399999999999999" x14ac:dyDescent="0.3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399999999999999" x14ac:dyDescent="0.3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399999999999999" x14ac:dyDescent="0.3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399999999999999" x14ac:dyDescent="0.3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399999999999999" x14ac:dyDescent="0.3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399999999999999" x14ac:dyDescent="0.3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399999999999999" x14ac:dyDescent="0.3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399999999999999" x14ac:dyDescent="0.3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399999999999999" x14ac:dyDescent="0.3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399999999999999" x14ac:dyDescent="0.3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399999999999999" x14ac:dyDescent="0.3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399999999999999" x14ac:dyDescent="0.3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399999999999999" x14ac:dyDescent="0.3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399999999999999" x14ac:dyDescent="0.3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399999999999999" x14ac:dyDescent="0.3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399999999999999" x14ac:dyDescent="0.3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399999999999999" x14ac:dyDescent="0.3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399999999999999" x14ac:dyDescent="0.3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399999999999999" x14ac:dyDescent="0.3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399999999999999" x14ac:dyDescent="0.3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399999999999999" x14ac:dyDescent="0.3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399999999999999" x14ac:dyDescent="0.3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399999999999999" x14ac:dyDescent="0.3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399999999999999" x14ac:dyDescent="0.3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399999999999999" x14ac:dyDescent="0.3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399999999999999" x14ac:dyDescent="0.3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399999999999999" x14ac:dyDescent="0.3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399999999999999" x14ac:dyDescent="0.3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399999999999999" x14ac:dyDescent="0.3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399999999999999" x14ac:dyDescent="0.3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399999999999999" x14ac:dyDescent="0.3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399999999999999" x14ac:dyDescent="0.3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399999999999999" x14ac:dyDescent="0.3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399999999999999" x14ac:dyDescent="0.3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399999999999999" x14ac:dyDescent="0.3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399999999999999" x14ac:dyDescent="0.3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399999999999999" x14ac:dyDescent="0.3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399999999999999" x14ac:dyDescent="0.3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399999999999999" x14ac:dyDescent="0.3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399999999999999" x14ac:dyDescent="0.3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399999999999999" x14ac:dyDescent="0.3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399999999999999" x14ac:dyDescent="0.3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399999999999999" x14ac:dyDescent="0.3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399999999999999" x14ac:dyDescent="0.3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399999999999999" x14ac:dyDescent="0.3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399999999999999" x14ac:dyDescent="0.3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399999999999999" x14ac:dyDescent="0.3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399999999999999" x14ac:dyDescent="0.3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399999999999999" x14ac:dyDescent="0.3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399999999999999" x14ac:dyDescent="0.3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399999999999999" x14ac:dyDescent="0.3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399999999999999" x14ac:dyDescent="0.3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399999999999999" x14ac:dyDescent="0.3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399999999999999" x14ac:dyDescent="0.3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399999999999999" x14ac:dyDescent="0.3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399999999999999" x14ac:dyDescent="0.3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399999999999999" x14ac:dyDescent="0.3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399999999999999" x14ac:dyDescent="0.3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399999999999999" x14ac:dyDescent="0.3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399999999999999" x14ac:dyDescent="0.3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399999999999999" x14ac:dyDescent="0.3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399999999999999" x14ac:dyDescent="0.3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399999999999999" x14ac:dyDescent="0.3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399999999999999" x14ac:dyDescent="0.3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399999999999999" x14ac:dyDescent="0.3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399999999999999" x14ac:dyDescent="0.3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399999999999999" x14ac:dyDescent="0.3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399999999999999" x14ac:dyDescent="0.3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399999999999999" x14ac:dyDescent="0.3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399999999999999" x14ac:dyDescent="0.3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399999999999999" x14ac:dyDescent="0.3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399999999999999" x14ac:dyDescent="0.3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399999999999999" x14ac:dyDescent="0.3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399999999999999" x14ac:dyDescent="0.3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399999999999999" x14ac:dyDescent="0.3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399999999999999" x14ac:dyDescent="0.3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399999999999999" x14ac:dyDescent="0.3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399999999999999" x14ac:dyDescent="0.3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399999999999999" x14ac:dyDescent="0.3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399999999999999" x14ac:dyDescent="0.3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399999999999999" x14ac:dyDescent="0.3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399999999999999" x14ac:dyDescent="0.3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399999999999999" x14ac:dyDescent="0.3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399999999999999" x14ac:dyDescent="0.3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399999999999999" x14ac:dyDescent="0.3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399999999999999" x14ac:dyDescent="0.3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399999999999999" x14ac:dyDescent="0.3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399999999999999" x14ac:dyDescent="0.3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399999999999999" x14ac:dyDescent="0.3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399999999999999" x14ac:dyDescent="0.3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399999999999999" x14ac:dyDescent="0.3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399999999999999" x14ac:dyDescent="0.3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399999999999999" x14ac:dyDescent="0.3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399999999999999" x14ac:dyDescent="0.3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399999999999999" x14ac:dyDescent="0.3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399999999999999" x14ac:dyDescent="0.3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399999999999999" x14ac:dyDescent="0.3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399999999999999" x14ac:dyDescent="0.3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399999999999999" x14ac:dyDescent="0.3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399999999999999" x14ac:dyDescent="0.3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399999999999999" x14ac:dyDescent="0.3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399999999999999" x14ac:dyDescent="0.3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399999999999999" x14ac:dyDescent="0.3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399999999999999" x14ac:dyDescent="0.3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399999999999999" x14ac:dyDescent="0.3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399999999999999" x14ac:dyDescent="0.3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399999999999999" x14ac:dyDescent="0.3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399999999999999" x14ac:dyDescent="0.3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399999999999999" x14ac:dyDescent="0.3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399999999999999" x14ac:dyDescent="0.3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399999999999999" x14ac:dyDescent="0.3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399999999999999" x14ac:dyDescent="0.3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399999999999999" x14ac:dyDescent="0.3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399999999999999" x14ac:dyDescent="0.3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399999999999999" x14ac:dyDescent="0.3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399999999999999" x14ac:dyDescent="0.3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399999999999999" x14ac:dyDescent="0.3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399999999999999" x14ac:dyDescent="0.3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399999999999999" x14ac:dyDescent="0.3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399999999999999" x14ac:dyDescent="0.3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399999999999999" x14ac:dyDescent="0.3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399999999999999" x14ac:dyDescent="0.3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399999999999999" x14ac:dyDescent="0.3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399999999999999" x14ac:dyDescent="0.3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399999999999999" x14ac:dyDescent="0.3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399999999999999" x14ac:dyDescent="0.3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399999999999999" x14ac:dyDescent="0.3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399999999999999" x14ac:dyDescent="0.3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399999999999999" x14ac:dyDescent="0.3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399999999999999" x14ac:dyDescent="0.3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399999999999999" x14ac:dyDescent="0.3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399999999999999" x14ac:dyDescent="0.3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399999999999999" x14ac:dyDescent="0.3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399999999999999" x14ac:dyDescent="0.3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399999999999999" x14ac:dyDescent="0.3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399999999999999" x14ac:dyDescent="0.3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399999999999999" x14ac:dyDescent="0.3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399999999999999" x14ac:dyDescent="0.3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399999999999999" x14ac:dyDescent="0.3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399999999999999" x14ac:dyDescent="0.3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399999999999999" x14ac:dyDescent="0.3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399999999999999" x14ac:dyDescent="0.3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399999999999999" x14ac:dyDescent="0.3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399999999999999" x14ac:dyDescent="0.3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399999999999999" x14ac:dyDescent="0.3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399999999999999" x14ac:dyDescent="0.3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399999999999999" x14ac:dyDescent="0.3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399999999999999" x14ac:dyDescent="0.3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399999999999999" x14ac:dyDescent="0.3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399999999999999" x14ac:dyDescent="0.3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399999999999999" x14ac:dyDescent="0.3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399999999999999" x14ac:dyDescent="0.3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399999999999999" x14ac:dyDescent="0.3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399999999999999" x14ac:dyDescent="0.3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399999999999999" x14ac:dyDescent="0.3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399999999999999" x14ac:dyDescent="0.3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399999999999999" x14ac:dyDescent="0.3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399999999999999" x14ac:dyDescent="0.3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399999999999999" x14ac:dyDescent="0.3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399999999999999" x14ac:dyDescent="0.3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399999999999999" x14ac:dyDescent="0.3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399999999999999" x14ac:dyDescent="0.3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399999999999999" x14ac:dyDescent="0.3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399999999999999" x14ac:dyDescent="0.3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399999999999999" x14ac:dyDescent="0.3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399999999999999" x14ac:dyDescent="0.3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399999999999999" x14ac:dyDescent="0.3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399999999999999" x14ac:dyDescent="0.3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399999999999999" x14ac:dyDescent="0.3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399999999999999" x14ac:dyDescent="0.3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399999999999999" x14ac:dyDescent="0.3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399999999999999" x14ac:dyDescent="0.3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399999999999999" x14ac:dyDescent="0.3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399999999999999" x14ac:dyDescent="0.3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399999999999999" x14ac:dyDescent="0.3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399999999999999" x14ac:dyDescent="0.3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399999999999999" x14ac:dyDescent="0.3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399999999999999" x14ac:dyDescent="0.3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399999999999999" x14ac:dyDescent="0.3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399999999999999" x14ac:dyDescent="0.3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399999999999999" x14ac:dyDescent="0.3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399999999999999" x14ac:dyDescent="0.3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399999999999999" x14ac:dyDescent="0.3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399999999999999" x14ac:dyDescent="0.3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399999999999999" x14ac:dyDescent="0.3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399999999999999" x14ac:dyDescent="0.3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399999999999999" x14ac:dyDescent="0.3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399999999999999" x14ac:dyDescent="0.3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399999999999999" x14ac:dyDescent="0.3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399999999999999" x14ac:dyDescent="0.3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399999999999999" x14ac:dyDescent="0.3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399999999999999" x14ac:dyDescent="0.3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399999999999999" x14ac:dyDescent="0.3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399999999999999" x14ac:dyDescent="0.3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399999999999999" x14ac:dyDescent="0.3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399999999999999" x14ac:dyDescent="0.3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399999999999999" x14ac:dyDescent="0.3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399999999999999" x14ac:dyDescent="0.3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399999999999999" x14ac:dyDescent="0.3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399999999999999" x14ac:dyDescent="0.3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399999999999999" x14ac:dyDescent="0.3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399999999999999" x14ac:dyDescent="0.3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399999999999999" x14ac:dyDescent="0.3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399999999999999" x14ac:dyDescent="0.3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399999999999999" x14ac:dyDescent="0.3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399999999999999" x14ac:dyDescent="0.3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399999999999999" x14ac:dyDescent="0.3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399999999999999" x14ac:dyDescent="0.3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399999999999999" x14ac:dyDescent="0.3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399999999999999" x14ac:dyDescent="0.3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399999999999999" x14ac:dyDescent="0.3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399999999999999" x14ac:dyDescent="0.3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399999999999999" x14ac:dyDescent="0.3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399999999999999" x14ac:dyDescent="0.3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399999999999999" x14ac:dyDescent="0.3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399999999999999" x14ac:dyDescent="0.3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399999999999999" x14ac:dyDescent="0.3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399999999999999" x14ac:dyDescent="0.3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399999999999999" x14ac:dyDescent="0.3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399999999999999" x14ac:dyDescent="0.3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399999999999999" x14ac:dyDescent="0.3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399999999999999" x14ac:dyDescent="0.3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399999999999999" x14ac:dyDescent="0.3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399999999999999" x14ac:dyDescent="0.3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399999999999999" x14ac:dyDescent="0.3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399999999999999" x14ac:dyDescent="0.3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399999999999999" x14ac:dyDescent="0.3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399999999999999" x14ac:dyDescent="0.3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399999999999999" x14ac:dyDescent="0.3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399999999999999" x14ac:dyDescent="0.3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399999999999999" x14ac:dyDescent="0.3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399999999999999" x14ac:dyDescent="0.3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399999999999999" x14ac:dyDescent="0.3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399999999999999" x14ac:dyDescent="0.3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399999999999999" x14ac:dyDescent="0.3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399999999999999" x14ac:dyDescent="0.3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399999999999999" x14ac:dyDescent="0.3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399999999999999" x14ac:dyDescent="0.3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399999999999999" x14ac:dyDescent="0.3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399999999999999" x14ac:dyDescent="0.3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399999999999999" x14ac:dyDescent="0.3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399999999999999" x14ac:dyDescent="0.3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399999999999999" x14ac:dyDescent="0.3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399999999999999" x14ac:dyDescent="0.3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399999999999999" x14ac:dyDescent="0.3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399999999999999" x14ac:dyDescent="0.3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399999999999999" x14ac:dyDescent="0.3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399999999999999" x14ac:dyDescent="0.3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399999999999999" x14ac:dyDescent="0.3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399999999999999" x14ac:dyDescent="0.3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399999999999999" x14ac:dyDescent="0.3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399999999999999" x14ac:dyDescent="0.3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399999999999999" x14ac:dyDescent="0.3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399999999999999" x14ac:dyDescent="0.3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399999999999999" x14ac:dyDescent="0.3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399999999999999" x14ac:dyDescent="0.3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399999999999999" x14ac:dyDescent="0.3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399999999999999" x14ac:dyDescent="0.3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399999999999999" x14ac:dyDescent="0.3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399999999999999" x14ac:dyDescent="0.3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399999999999999" x14ac:dyDescent="0.3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399999999999999" x14ac:dyDescent="0.3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399999999999999" x14ac:dyDescent="0.3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399999999999999" x14ac:dyDescent="0.3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399999999999999" x14ac:dyDescent="0.3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399999999999999" x14ac:dyDescent="0.3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399999999999999" x14ac:dyDescent="0.3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399999999999999" x14ac:dyDescent="0.3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399999999999999" x14ac:dyDescent="0.3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399999999999999" x14ac:dyDescent="0.3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399999999999999" x14ac:dyDescent="0.3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399999999999999" x14ac:dyDescent="0.3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399999999999999" x14ac:dyDescent="0.3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399999999999999" x14ac:dyDescent="0.3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399999999999999" x14ac:dyDescent="0.3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399999999999999" x14ac:dyDescent="0.3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399999999999999" x14ac:dyDescent="0.3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399999999999999" x14ac:dyDescent="0.3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399999999999999" x14ac:dyDescent="0.3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399999999999999" x14ac:dyDescent="0.3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399999999999999" x14ac:dyDescent="0.3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399999999999999" x14ac:dyDescent="0.3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399999999999999" x14ac:dyDescent="0.3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399999999999999" x14ac:dyDescent="0.3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399999999999999" x14ac:dyDescent="0.3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399999999999999" x14ac:dyDescent="0.3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399999999999999" x14ac:dyDescent="0.3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399999999999999" x14ac:dyDescent="0.3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399999999999999" x14ac:dyDescent="0.3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399999999999999" x14ac:dyDescent="0.3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399999999999999" x14ac:dyDescent="0.3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399999999999999" x14ac:dyDescent="0.3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399999999999999" x14ac:dyDescent="0.3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399999999999999" x14ac:dyDescent="0.3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399999999999999" x14ac:dyDescent="0.3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399999999999999" x14ac:dyDescent="0.3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399999999999999" x14ac:dyDescent="0.3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399999999999999" x14ac:dyDescent="0.3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399999999999999" x14ac:dyDescent="0.3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399999999999999" x14ac:dyDescent="0.3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399999999999999" x14ac:dyDescent="0.3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399999999999999" x14ac:dyDescent="0.3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399999999999999" x14ac:dyDescent="0.3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399999999999999" x14ac:dyDescent="0.3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399999999999999" x14ac:dyDescent="0.3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399999999999999" x14ac:dyDescent="0.3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399999999999999" x14ac:dyDescent="0.3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399999999999999" x14ac:dyDescent="0.3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399999999999999" x14ac:dyDescent="0.3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399999999999999" x14ac:dyDescent="0.3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399999999999999" x14ac:dyDescent="0.3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399999999999999" x14ac:dyDescent="0.3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399999999999999" x14ac:dyDescent="0.3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399999999999999" x14ac:dyDescent="0.3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399999999999999" x14ac:dyDescent="0.3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399999999999999" x14ac:dyDescent="0.3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399999999999999" x14ac:dyDescent="0.3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399999999999999" x14ac:dyDescent="0.3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399999999999999" x14ac:dyDescent="0.3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399999999999999" x14ac:dyDescent="0.3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399999999999999" x14ac:dyDescent="0.3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399999999999999" x14ac:dyDescent="0.3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399999999999999" x14ac:dyDescent="0.3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399999999999999" x14ac:dyDescent="0.3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399999999999999" x14ac:dyDescent="0.3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399999999999999" x14ac:dyDescent="0.3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399999999999999" x14ac:dyDescent="0.3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399999999999999" x14ac:dyDescent="0.3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399999999999999" x14ac:dyDescent="0.3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399999999999999" x14ac:dyDescent="0.3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399999999999999" x14ac:dyDescent="0.3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399999999999999" x14ac:dyDescent="0.3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399999999999999" x14ac:dyDescent="0.3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399999999999999" x14ac:dyDescent="0.3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399999999999999" x14ac:dyDescent="0.3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399999999999999" x14ac:dyDescent="0.3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399999999999999" x14ac:dyDescent="0.3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399999999999999" x14ac:dyDescent="0.3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399999999999999" x14ac:dyDescent="0.3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399999999999999" x14ac:dyDescent="0.3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399999999999999" x14ac:dyDescent="0.3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399999999999999" x14ac:dyDescent="0.3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399999999999999" x14ac:dyDescent="0.3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399999999999999" x14ac:dyDescent="0.3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399999999999999" x14ac:dyDescent="0.3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399999999999999" x14ac:dyDescent="0.3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399999999999999" x14ac:dyDescent="0.3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399999999999999" x14ac:dyDescent="0.3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399999999999999" x14ac:dyDescent="0.3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399999999999999" x14ac:dyDescent="0.3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399999999999999" x14ac:dyDescent="0.3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399999999999999" x14ac:dyDescent="0.3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399999999999999" x14ac:dyDescent="0.3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399999999999999" x14ac:dyDescent="0.3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399999999999999" x14ac:dyDescent="0.3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399999999999999" x14ac:dyDescent="0.3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399999999999999" x14ac:dyDescent="0.3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399999999999999" x14ac:dyDescent="0.3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399999999999999" x14ac:dyDescent="0.3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399999999999999" x14ac:dyDescent="0.3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399999999999999" x14ac:dyDescent="0.3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399999999999999" x14ac:dyDescent="0.3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399999999999999" x14ac:dyDescent="0.3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399999999999999" x14ac:dyDescent="0.3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399999999999999" x14ac:dyDescent="0.3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399999999999999" x14ac:dyDescent="0.3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399999999999999" x14ac:dyDescent="0.3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399999999999999" x14ac:dyDescent="0.3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399999999999999" x14ac:dyDescent="0.3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399999999999999" x14ac:dyDescent="0.3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399999999999999" x14ac:dyDescent="0.3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399999999999999" x14ac:dyDescent="0.3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399999999999999" x14ac:dyDescent="0.3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399999999999999" x14ac:dyDescent="0.3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399999999999999" x14ac:dyDescent="0.3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399999999999999" x14ac:dyDescent="0.3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399999999999999" x14ac:dyDescent="0.3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399999999999999" x14ac:dyDescent="0.3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399999999999999" x14ac:dyDescent="0.3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399999999999999" x14ac:dyDescent="0.3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399999999999999" x14ac:dyDescent="0.3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399999999999999" x14ac:dyDescent="0.3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399999999999999" x14ac:dyDescent="0.3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399999999999999" x14ac:dyDescent="0.3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399999999999999" x14ac:dyDescent="0.3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399999999999999" x14ac:dyDescent="0.3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399999999999999" x14ac:dyDescent="0.3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399999999999999" x14ac:dyDescent="0.3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399999999999999" x14ac:dyDescent="0.3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399999999999999" x14ac:dyDescent="0.3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399999999999999" x14ac:dyDescent="0.3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399999999999999" x14ac:dyDescent="0.3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399999999999999" x14ac:dyDescent="0.3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399999999999999" x14ac:dyDescent="0.3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399999999999999" x14ac:dyDescent="0.3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399999999999999" x14ac:dyDescent="0.3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399999999999999" x14ac:dyDescent="0.3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399999999999999" x14ac:dyDescent="0.3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399999999999999" x14ac:dyDescent="0.3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399999999999999" x14ac:dyDescent="0.3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399999999999999" x14ac:dyDescent="0.3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399999999999999" x14ac:dyDescent="0.3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399999999999999" x14ac:dyDescent="0.3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399999999999999" x14ac:dyDescent="0.3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399999999999999" x14ac:dyDescent="0.3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399999999999999" x14ac:dyDescent="0.3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399999999999999" x14ac:dyDescent="0.3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399999999999999" x14ac:dyDescent="0.3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399999999999999" x14ac:dyDescent="0.3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399999999999999" x14ac:dyDescent="0.3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399999999999999" x14ac:dyDescent="0.3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399999999999999" x14ac:dyDescent="0.3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399999999999999" x14ac:dyDescent="0.3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399999999999999" x14ac:dyDescent="0.3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399999999999999" x14ac:dyDescent="0.3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399999999999999" x14ac:dyDescent="0.3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399999999999999" x14ac:dyDescent="0.3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399999999999999" x14ac:dyDescent="0.3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399999999999999" x14ac:dyDescent="0.3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399999999999999" x14ac:dyDescent="0.3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399999999999999" x14ac:dyDescent="0.3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399999999999999" x14ac:dyDescent="0.3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399999999999999" x14ac:dyDescent="0.3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399999999999999" x14ac:dyDescent="0.3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399999999999999" x14ac:dyDescent="0.3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399999999999999" x14ac:dyDescent="0.3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399999999999999" x14ac:dyDescent="0.3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399999999999999" x14ac:dyDescent="0.3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399999999999999" x14ac:dyDescent="0.3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399999999999999" x14ac:dyDescent="0.3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399999999999999" x14ac:dyDescent="0.3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399999999999999" x14ac:dyDescent="0.3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399999999999999" x14ac:dyDescent="0.3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399999999999999" x14ac:dyDescent="0.3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399999999999999" x14ac:dyDescent="0.3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399999999999999" x14ac:dyDescent="0.3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399999999999999" x14ac:dyDescent="0.3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399999999999999" x14ac:dyDescent="0.3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399999999999999" x14ac:dyDescent="0.3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399999999999999" x14ac:dyDescent="0.3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399999999999999" x14ac:dyDescent="0.3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399999999999999" x14ac:dyDescent="0.3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399999999999999" x14ac:dyDescent="0.3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399999999999999" x14ac:dyDescent="0.3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399999999999999" x14ac:dyDescent="0.3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399999999999999" x14ac:dyDescent="0.3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399999999999999" x14ac:dyDescent="0.3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399999999999999" x14ac:dyDescent="0.3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399999999999999" x14ac:dyDescent="0.3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399999999999999" x14ac:dyDescent="0.3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399999999999999" x14ac:dyDescent="0.3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399999999999999" x14ac:dyDescent="0.3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399999999999999" x14ac:dyDescent="0.3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399999999999999" x14ac:dyDescent="0.3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399999999999999" x14ac:dyDescent="0.3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399999999999999" x14ac:dyDescent="0.3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399999999999999" x14ac:dyDescent="0.3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399999999999999" x14ac:dyDescent="0.3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399999999999999" x14ac:dyDescent="0.3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399999999999999" x14ac:dyDescent="0.3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399999999999999" x14ac:dyDescent="0.3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399999999999999" x14ac:dyDescent="0.3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399999999999999" x14ac:dyDescent="0.3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399999999999999" x14ac:dyDescent="0.3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399999999999999" x14ac:dyDescent="0.3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399999999999999" x14ac:dyDescent="0.3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399999999999999" x14ac:dyDescent="0.3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399999999999999" x14ac:dyDescent="0.3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399999999999999" x14ac:dyDescent="0.3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399999999999999" x14ac:dyDescent="0.3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399999999999999" x14ac:dyDescent="0.3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399999999999999" x14ac:dyDescent="0.3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399999999999999" x14ac:dyDescent="0.3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399999999999999" x14ac:dyDescent="0.3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399999999999999" x14ac:dyDescent="0.3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399999999999999" x14ac:dyDescent="0.3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399999999999999" x14ac:dyDescent="0.3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399999999999999" x14ac:dyDescent="0.3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399999999999999" x14ac:dyDescent="0.3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399999999999999" x14ac:dyDescent="0.3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399999999999999" x14ac:dyDescent="0.3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399999999999999" x14ac:dyDescent="0.3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399999999999999" x14ac:dyDescent="0.3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399999999999999" x14ac:dyDescent="0.3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399999999999999" x14ac:dyDescent="0.3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399999999999999" x14ac:dyDescent="0.3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399999999999999" x14ac:dyDescent="0.3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399999999999999" x14ac:dyDescent="0.3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399999999999999" x14ac:dyDescent="0.3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399999999999999" x14ac:dyDescent="0.3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399999999999999" x14ac:dyDescent="0.3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399999999999999" x14ac:dyDescent="0.3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399999999999999" x14ac:dyDescent="0.3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399999999999999" x14ac:dyDescent="0.3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399999999999999" x14ac:dyDescent="0.3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399999999999999" x14ac:dyDescent="0.3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399999999999999" x14ac:dyDescent="0.3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399999999999999" x14ac:dyDescent="0.3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399999999999999" x14ac:dyDescent="0.3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399999999999999" x14ac:dyDescent="0.3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399999999999999" x14ac:dyDescent="0.3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399999999999999" x14ac:dyDescent="0.3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399999999999999" x14ac:dyDescent="0.3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399999999999999" x14ac:dyDescent="0.3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399999999999999" x14ac:dyDescent="0.3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399999999999999" x14ac:dyDescent="0.3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399999999999999" x14ac:dyDescent="0.3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399999999999999" x14ac:dyDescent="0.3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399999999999999" x14ac:dyDescent="0.3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399999999999999" x14ac:dyDescent="0.3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399999999999999" x14ac:dyDescent="0.3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399999999999999" x14ac:dyDescent="0.3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399999999999999" x14ac:dyDescent="0.3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399999999999999" x14ac:dyDescent="0.3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399999999999999" x14ac:dyDescent="0.3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399999999999999" x14ac:dyDescent="0.3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399999999999999" x14ac:dyDescent="0.3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399999999999999" x14ac:dyDescent="0.3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399999999999999" x14ac:dyDescent="0.3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399999999999999" x14ac:dyDescent="0.3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399999999999999" x14ac:dyDescent="0.3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399999999999999" x14ac:dyDescent="0.3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399999999999999" x14ac:dyDescent="0.3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399999999999999" x14ac:dyDescent="0.3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399999999999999" x14ac:dyDescent="0.3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399999999999999" x14ac:dyDescent="0.3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399999999999999" x14ac:dyDescent="0.3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399999999999999" x14ac:dyDescent="0.3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399999999999999" x14ac:dyDescent="0.3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399999999999999" x14ac:dyDescent="0.3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399999999999999" x14ac:dyDescent="0.3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399999999999999" x14ac:dyDescent="0.3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399999999999999" x14ac:dyDescent="0.3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399999999999999" x14ac:dyDescent="0.3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399999999999999" x14ac:dyDescent="0.3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399999999999999" x14ac:dyDescent="0.3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399999999999999" x14ac:dyDescent="0.3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399999999999999" x14ac:dyDescent="0.3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399999999999999" x14ac:dyDescent="0.3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399999999999999" x14ac:dyDescent="0.3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399999999999999" x14ac:dyDescent="0.3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399999999999999" x14ac:dyDescent="0.3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399999999999999" x14ac:dyDescent="0.3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399999999999999" x14ac:dyDescent="0.3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399999999999999" x14ac:dyDescent="0.3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399999999999999" x14ac:dyDescent="0.3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399999999999999" x14ac:dyDescent="0.3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399999999999999" x14ac:dyDescent="0.3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399999999999999" x14ac:dyDescent="0.3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399999999999999" x14ac:dyDescent="0.3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399999999999999" x14ac:dyDescent="0.3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399999999999999" x14ac:dyDescent="0.3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399999999999999" x14ac:dyDescent="0.3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399999999999999" x14ac:dyDescent="0.3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399999999999999" x14ac:dyDescent="0.3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399999999999999" x14ac:dyDescent="0.3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399999999999999" x14ac:dyDescent="0.3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399999999999999" x14ac:dyDescent="0.3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399999999999999" x14ac:dyDescent="0.3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399999999999999" x14ac:dyDescent="0.3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399999999999999" x14ac:dyDescent="0.3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399999999999999" x14ac:dyDescent="0.3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399999999999999" x14ac:dyDescent="0.3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399999999999999" x14ac:dyDescent="0.3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399999999999999" x14ac:dyDescent="0.3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399999999999999" x14ac:dyDescent="0.3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399999999999999" x14ac:dyDescent="0.3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399999999999999" x14ac:dyDescent="0.3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399999999999999" x14ac:dyDescent="0.3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399999999999999" x14ac:dyDescent="0.3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399999999999999" x14ac:dyDescent="0.3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399999999999999" x14ac:dyDescent="0.3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399999999999999" x14ac:dyDescent="0.3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399999999999999" x14ac:dyDescent="0.3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399999999999999" x14ac:dyDescent="0.3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399999999999999" x14ac:dyDescent="0.3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399999999999999" x14ac:dyDescent="0.3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399999999999999" x14ac:dyDescent="0.3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399999999999999" x14ac:dyDescent="0.3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399999999999999" x14ac:dyDescent="0.3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399999999999999" x14ac:dyDescent="0.3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399999999999999" x14ac:dyDescent="0.3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399999999999999" x14ac:dyDescent="0.3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399999999999999" x14ac:dyDescent="0.3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399999999999999" x14ac:dyDescent="0.3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399999999999999" x14ac:dyDescent="0.3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399999999999999" x14ac:dyDescent="0.3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399999999999999" x14ac:dyDescent="0.3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399999999999999" x14ac:dyDescent="0.3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399999999999999" x14ac:dyDescent="0.3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399999999999999" x14ac:dyDescent="0.3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399999999999999" x14ac:dyDescent="0.3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399999999999999" x14ac:dyDescent="0.3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399999999999999" x14ac:dyDescent="0.3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399999999999999" x14ac:dyDescent="0.3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399999999999999" x14ac:dyDescent="0.3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399999999999999" x14ac:dyDescent="0.3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399999999999999" x14ac:dyDescent="0.3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399999999999999" x14ac:dyDescent="0.3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399999999999999" x14ac:dyDescent="0.3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399999999999999" x14ac:dyDescent="0.3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399999999999999" x14ac:dyDescent="0.3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399999999999999" x14ac:dyDescent="0.3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399999999999999" x14ac:dyDescent="0.3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399999999999999" x14ac:dyDescent="0.3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399999999999999" x14ac:dyDescent="0.3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399999999999999" x14ac:dyDescent="0.3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399999999999999" x14ac:dyDescent="0.3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399999999999999" x14ac:dyDescent="0.3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399999999999999" x14ac:dyDescent="0.3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399999999999999" x14ac:dyDescent="0.3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399999999999999" x14ac:dyDescent="0.3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399999999999999" x14ac:dyDescent="0.3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399999999999999" x14ac:dyDescent="0.3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399999999999999" x14ac:dyDescent="0.3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399999999999999" x14ac:dyDescent="0.3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399999999999999" x14ac:dyDescent="0.3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399999999999999" x14ac:dyDescent="0.3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399999999999999" x14ac:dyDescent="0.3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399999999999999" x14ac:dyDescent="0.3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399999999999999" x14ac:dyDescent="0.3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399999999999999" x14ac:dyDescent="0.3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399999999999999" x14ac:dyDescent="0.3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399999999999999" x14ac:dyDescent="0.3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399999999999999" x14ac:dyDescent="0.3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399999999999999" x14ac:dyDescent="0.3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399999999999999" x14ac:dyDescent="0.3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399999999999999" x14ac:dyDescent="0.3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399999999999999" x14ac:dyDescent="0.3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399999999999999" x14ac:dyDescent="0.3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399999999999999" x14ac:dyDescent="0.3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399999999999999" x14ac:dyDescent="0.3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399999999999999" x14ac:dyDescent="0.3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399999999999999" x14ac:dyDescent="0.3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399999999999999" x14ac:dyDescent="0.3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399999999999999" x14ac:dyDescent="0.3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399999999999999" x14ac:dyDescent="0.3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399999999999999" x14ac:dyDescent="0.3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399999999999999" x14ac:dyDescent="0.3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399999999999999" x14ac:dyDescent="0.3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399999999999999" x14ac:dyDescent="0.3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399999999999999" x14ac:dyDescent="0.3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399999999999999" x14ac:dyDescent="0.3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399999999999999" x14ac:dyDescent="0.3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399999999999999" x14ac:dyDescent="0.3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399999999999999" x14ac:dyDescent="0.3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399999999999999" x14ac:dyDescent="0.3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399999999999999" x14ac:dyDescent="0.3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399999999999999" x14ac:dyDescent="0.3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399999999999999" x14ac:dyDescent="0.3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399999999999999" x14ac:dyDescent="0.3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399999999999999" x14ac:dyDescent="0.3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399999999999999" x14ac:dyDescent="0.3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399999999999999" x14ac:dyDescent="0.3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399999999999999" x14ac:dyDescent="0.3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399999999999999" x14ac:dyDescent="0.3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399999999999999" x14ac:dyDescent="0.3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399999999999999" x14ac:dyDescent="0.3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399999999999999" x14ac:dyDescent="0.3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399999999999999" x14ac:dyDescent="0.3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399999999999999" x14ac:dyDescent="0.3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399999999999999" x14ac:dyDescent="0.3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399999999999999" x14ac:dyDescent="0.3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399999999999999" x14ac:dyDescent="0.3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399999999999999" x14ac:dyDescent="0.3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399999999999999" x14ac:dyDescent="0.3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399999999999999" x14ac:dyDescent="0.3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399999999999999" x14ac:dyDescent="0.3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399999999999999" x14ac:dyDescent="0.3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399999999999999" x14ac:dyDescent="0.3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399999999999999" x14ac:dyDescent="0.3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399999999999999" x14ac:dyDescent="0.3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399999999999999" x14ac:dyDescent="0.3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399999999999999" x14ac:dyDescent="0.3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399999999999999" x14ac:dyDescent="0.3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399999999999999" x14ac:dyDescent="0.3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399999999999999" x14ac:dyDescent="0.3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399999999999999" x14ac:dyDescent="0.3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399999999999999" x14ac:dyDescent="0.3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399999999999999" x14ac:dyDescent="0.3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399999999999999" x14ac:dyDescent="0.3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399999999999999" x14ac:dyDescent="0.3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399999999999999" x14ac:dyDescent="0.3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399999999999999" x14ac:dyDescent="0.3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399999999999999" x14ac:dyDescent="0.3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399999999999999" x14ac:dyDescent="0.3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399999999999999" x14ac:dyDescent="0.3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399999999999999" x14ac:dyDescent="0.3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399999999999999" x14ac:dyDescent="0.3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399999999999999" x14ac:dyDescent="0.3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399999999999999" x14ac:dyDescent="0.3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399999999999999" x14ac:dyDescent="0.3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399999999999999" x14ac:dyDescent="0.3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399999999999999" x14ac:dyDescent="0.3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399999999999999" x14ac:dyDescent="0.3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399999999999999" x14ac:dyDescent="0.3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399999999999999" x14ac:dyDescent="0.3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399999999999999" x14ac:dyDescent="0.3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399999999999999" x14ac:dyDescent="0.3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399999999999999" x14ac:dyDescent="0.3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399999999999999" x14ac:dyDescent="0.3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399999999999999" x14ac:dyDescent="0.3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399999999999999" x14ac:dyDescent="0.3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399999999999999" x14ac:dyDescent="0.3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399999999999999" x14ac:dyDescent="0.3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399999999999999" x14ac:dyDescent="0.3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399999999999999" x14ac:dyDescent="0.3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399999999999999" x14ac:dyDescent="0.3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399999999999999" x14ac:dyDescent="0.3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399999999999999" x14ac:dyDescent="0.3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399999999999999" x14ac:dyDescent="0.3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399999999999999" x14ac:dyDescent="0.3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399999999999999" x14ac:dyDescent="0.3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399999999999999" x14ac:dyDescent="0.3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399999999999999" x14ac:dyDescent="0.3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399999999999999" x14ac:dyDescent="0.3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399999999999999" x14ac:dyDescent="0.3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399999999999999" x14ac:dyDescent="0.3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399999999999999" x14ac:dyDescent="0.3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399999999999999" x14ac:dyDescent="0.3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399999999999999" x14ac:dyDescent="0.3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399999999999999" x14ac:dyDescent="0.3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399999999999999" x14ac:dyDescent="0.3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399999999999999" x14ac:dyDescent="0.3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399999999999999" x14ac:dyDescent="0.3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399999999999999" x14ac:dyDescent="0.3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399999999999999" x14ac:dyDescent="0.3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399999999999999" x14ac:dyDescent="0.3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399999999999999" x14ac:dyDescent="0.3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399999999999999" x14ac:dyDescent="0.3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399999999999999" x14ac:dyDescent="0.3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399999999999999" x14ac:dyDescent="0.3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399999999999999" x14ac:dyDescent="0.3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399999999999999" x14ac:dyDescent="0.3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399999999999999" x14ac:dyDescent="0.3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399999999999999" x14ac:dyDescent="0.3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399999999999999" x14ac:dyDescent="0.3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399999999999999" x14ac:dyDescent="0.3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399999999999999" x14ac:dyDescent="0.3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399999999999999" x14ac:dyDescent="0.3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399999999999999" x14ac:dyDescent="0.3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399999999999999" x14ac:dyDescent="0.3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399999999999999" x14ac:dyDescent="0.3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399999999999999" x14ac:dyDescent="0.3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399999999999999" x14ac:dyDescent="0.3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399999999999999" x14ac:dyDescent="0.3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399999999999999" x14ac:dyDescent="0.3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399999999999999" x14ac:dyDescent="0.3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399999999999999" x14ac:dyDescent="0.3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399999999999999" x14ac:dyDescent="0.3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399999999999999" x14ac:dyDescent="0.3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399999999999999" x14ac:dyDescent="0.3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399999999999999" x14ac:dyDescent="0.3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399999999999999" x14ac:dyDescent="0.3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399999999999999" x14ac:dyDescent="0.3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399999999999999" x14ac:dyDescent="0.3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399999999999999" x14ac:dyDescent="0.3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399999999999999" x14ac:dyDescent="0.3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399999999999999" x14ac:dyDescent="0.3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399999999999999" x14ac:dyDescent="0.3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399999999999999" x14ac:dyDescent="0.3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399999999999999" x14ac:dyDescent="0.3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399999999999999" x14ac:dyDescent="0.3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399999999999999" x14ac:dyDescent="0.3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399999999999999" x14ac:dyDescent="0.3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399999999999999" x14ac:dyDescent="0.3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399999999999999" x14ac:dyDescent="0.3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399999999999999" x14ac:dyDescent="0.3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399999999999999" x14ac:dyDescent="0.3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399999999999999" x14ac:dyDescent="0.3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399999999999999" x14ac:dyDescent="0.3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399999999999999" x14ac:dyDescent="0.3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399999999999999" x14ac:dyDescent="0.3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399999999999999" x14ac:dyDescent="0.3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399999999999999" x14ac:dyDescent="0.3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399999999999999" x14ac:dyDescent="0.3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399999999999999" x14ac:dyDescent="0.3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399999999999999" x14ac:dyDescent="0.3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399999999999999" x14ac:dyDescent="0.3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399999999999999" x14ac:dyDescent="0.3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399999999999999" x14ac:dyDescent="0.3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399999999999999" x14ac:dyDescent="0.3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399999999999999" x14ac:dyDescent="0.3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399999999999999" x14ac:dyDescent="0.3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399999999999999" x14ac:dyDescent="0.3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399999999999999" x14ac:dyDescent="0.3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399999999999999" x14ac:dyDescent="0.3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399999999999999" x14ac:dyDescent="0.3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399999999999999" x14ac:dyDescent="0.3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399999999999999" x14ac:dyDescent="0.3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399999999999999" x14ac:dyDescent="0.3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399999999999999" x14ac:dyDescent="0.3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399999999999999" x14ac:dyDescent="0.3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399999999999999" x14ac:dyDescent="0.3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399999999999999" x14ac:dyDescent="0.3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399999999999999" x14ac:dyDescent="0.3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399999999999999" x14ac:dyDescent="0.3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399999999999999" x14ac:dyDescent="0.3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399999999999999" x14ac:dyDescent="0.3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399999999999999" x14ac:dyDescent="0.3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399999999999999" x14ac:dyDescent="0.3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399999999999999" x14ac:dyDescent="0.3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399999999999999" x14ac:dyDescent="0.3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399999999999999" x14ac:dyDescent="0.3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399999999999999" x14ac:dyDescent="0.3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399999999999999" x14ac:dyDescent="0.3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399999999999999" x14ac:dyDescent="0.3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399999999999999" x14ac:dyDescent="0.3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399999999999999" x14ac:dyDescent="0.3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399999999999999" x14ac:dyDescent="0.3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399999999999999" x14ac:dyDescent="0.3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399999999999999" x14ac:dyDescent="0.3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399999999999999" x14ac:dyDescent="0.3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399999999999999" x14ac:dyDescent="0.3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399999999999999" x14ac:dyDescent="0.3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399999999999999" x14ac:dyDescent="0.3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399999999999999" x14ac:dyDescent="0.3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399999999999999" x14ac:dyDescent="0.3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399999999999999" x14ac:dyDescent="0.3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399999999999999" x14ac:dyDescent="0.3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399999999999999" x14ac:dyDescent="0.3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399999999999999" x14ac:dyDescent="0.3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399999999999999" x14ac:dyDescent="0.3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399999999999999" x14ac:dyDescent="0.3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399999999999999" x14ac:dyDescent="0.3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399999999999999" x14ac:dyDescent="0.3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399999999999999" x14ac:dyDescent="0.3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399999999999999" x14ac:dyDescent="0.3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399999999999999" x14ac:dyDescent="0.3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399999999999999" x14ac:dyDescent="0.3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399999999999999" x14ac:dyDescent="0.3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399999999999999" x14ac:dyDescent="0.3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399999999999999" x14ac:dyDescent="0.3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399999999999999" x14ac:dyDescent="0.3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399999999999999" x14ac:dyDescent="0.3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399999999999999" x14ac:dyDescent="0.3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399999999999999" x14ac:dyDescent="0.3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399999999999999" x14ac:dyDescent="0.3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399999999999999" x14ac:dyDescent="0.3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399999999999999" x14ac:dyDescent="0.3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399999999999999" x14ac:dyDescent="0.3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399999999999999" x14ac:dyDescent="0.3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399999999999999" x14ac:dyDescent="0.3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399999999999999" x14ac:dyDescent="0.3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399999999999999" x14ac:dyDescent="0.3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399999999999999" x14ac:dyDescent="0.3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399999999999999" x14ac:dyDescent="0.3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399999999999999" x14ac:dyDescent="0.3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399999999999999" x14ac:dyDescent="0.3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399999999999999" x14ac:dyDescent="0.3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399999999999999" x14ac:dyDescent="0.3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399999999999999" x14ac:dyDescent="0.3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399999999999999" x14ac:dyDescent="0.3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399999999999999" x14ac:dyDescent="0.3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399999999999999" x14ac:dyDescent="0.3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399999999999999" x14ac:dyDescent="0.3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399999999999999" x14ac:dyDescent="0.3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399999999999999" x14ac:dyDescent="0.3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399999999999999" x14ac:dyDescent="0.3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399999999999999" x14ac:dyDescent="0.3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399999999999999" x14ac:dyDescent="0.3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399999999999999" x14ac:dyDescent="0.3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399999999999999" x14ac:dyDescent="0.3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399999999999999" x14ac:dyDescent="0.3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399999999999999" x14ac:dyDescent="0.3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399999999999999" x14ac:dyDescent="0.3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399999999999999" x14ac:dyDescent="0.3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399999999999999" x14ac:dyDescent="0.3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399999999999999" x14ac:dyDescent="0.3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399999999999999" x14ac:dyDescent="0.3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399999999999999" x14ac:dyDescent="0.3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399999999999999" x14ac:dyDescent="0.3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399999999999999" x14ac:dyDescent="0.3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399999999999999" x14ac:dyDescent="0.3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399999999999999" x14ac:dyDescent="0.3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399999999999999" x14ac:dyDescent="0.3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399999999999999" x14ac:dyDescent="0.3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399999999999999" x14ac:dyDescent="0.3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399999999999999" x14ac:dyDescent="0.3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399999999999999" x14ac:dyDescent="0.3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399999999999999" x14ac:dyDescent="0.3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399999999999999" x14ac:dyDescent="0.3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399999999999999" x14ac:dyDescent="0.3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399999999999999" x14ac:dyDescent="0.3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399999999999999" x14ac:dyDescent="0.3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399999999999999" x14ac:dyDescent="0.3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399999999999999" x14ac:dyDescent="0.3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399999999999999" x14ac:dyDescent="0.3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399999999999999" x14ac:dyDescent="0.3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399999999999999" x14ac:dyDescent="0.3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399999999999999" x14ac:dyDescent="0.3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399999999999999" x14ac:dyDescent="0.3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399999999999999" x14ac:dyDescent="0.3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399999999999999" x14ac:dyDescent="0.3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399999999999999" x14ac:dyDescent="0.3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399999999999999" x14ac:dyDescent="0.3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399999999999999" x14ac:dyDescent="0.3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399999999999999" x14ac:dyDescent="0.3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399999999999999" x14ac:dyDescent="0.3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399999999999999" x14ac:dyDescent="0.3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399999999999999" x14ac:dyDescent="0.3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399999999999999" x14ac:dyDescent="0.3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399999999999999" x14ac:dyDescent="0.3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399999999999999" x14ac:dyDescent="0.3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399999999999999" x14ac:dyDescent="0.3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399999999999999" x14ac:dyDescent="0.3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399999999999999" x14ac:dyDescent="0.3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399999999999999" x14ac:dyDescent="0.3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399999999999999" x14ac:dyDescent="0.3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399999999999999" x14ac:dyDescent="0.3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399999999999999" x14ac:dyDescent="0.3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399999999999999" x14ac:dyDescent="0.3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399999999999999" x14ac:dyDescent="0.3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399999999999999" x14ac:dyDescent="0.3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399999999999999" x14ac:dyDescent="0.3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399999999999999" x14ac:dyDescent="0.3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399999999999999" x14ac:dyDescent="0.3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399999999999999" x14ac:dyDescent="0.3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399999999999999" x14ac:dyDescent="0.3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399999999999999" x14ac:dyDescent="0.3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399999999999999" x14ac:dyDescent="0.3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399999999999999" x14ac:dyDescent="0.3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399999999999999" x14ac:dyDescent="0.3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399999999999999" x14ac:dyDescent="0.3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399999999999999" x14ac:dyDescent="0.3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399999999999999" x14ac:dyDescent="0.3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399999999999999" x14ac:dyDescent="0.3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399999999999999" x14ac:dyDescent="0.3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399999999999999" x14ac:dyDescent="0.3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399999999999999" x14ac:dyDescent="0.3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399999999999999" x14ac:dyDescent="0.3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399999999999999" x14ac:dyDescent="0.3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399999999999999" x14ac:dyDescent="0.3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399999999999999" x14ac:dyDescent="0.3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399999999999999" x14ac:dyDescent="0.3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399999999999999" x14ac:dyDescent="0.3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399999999999999" x14ac:dyDescent="0.3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399999999999999" x14ac:dyDescent="0.3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399999999999999" x14ac:dyDescent="0.3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399999999999999" x14ac:dyDescent="0.3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399999999999999" x14ac:dyDescent="0.3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399999999999999" x14ac:dyDescent="0.3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399999999999999" x14ac:dyDescent="0.3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399999999999999" x14ac:dyDescent="0.3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399999999999999" x14ac:dyDescent="0.3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399999999999999" x14ac:dyDescent="0.3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399999999999999" x14ac:dyDescent="0.3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399999999999999" x14ac:dyDescent="0.3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399999999999999" x14ac:dyDescent="0.3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399999999999999" x14ac:dyDescent="0.3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399999999999999" x14ac:dyDescent="0.3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399999999999999" x14ac:dyDescent="0.3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399999999999999" x14ac:dyDescent="0.3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399999999999999" x14ac:dyDescent="0.3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399999999999999" x14ac:dyDescent="0.3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399999999999999" x14ac:dyDescent="0.3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399999999999999" x14ac:dyDescent="0.3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399999999999999" x14ac:dyDescent="0.3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399999999999999" x14ac:dyDescent="0.3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399999999999999" x14ac:dyDescent="0.3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399999999999999" x14ac:dyDescent="0.3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399999999999999" x14ac:dyDescent="0.3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399999999999999" x14ac:dyDescent="0.3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399999999999999" x14ac:dyDescent="0.3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399999999999999" x14ac:dyDescent="0.3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399999999999999" x14ac:dyDescent="0.3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399999999999999" x14ac:dyDescent="0.3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399999999999999" x14ac:dyDescent="0.3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399999999999999" x14ac:dyDescent="0.3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399999999999999" x14ac:dyDescent="0.3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399999999999999" x14ac:dyDescent="0.3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399999999999999" x14ac:dyDescent="0.3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399999999999999" x14ac:dyDescent="0.3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399999999999999" x14ac:dyDescent="0.3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399999999999999" x14ac:dyDescent="0.3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399999999999999" x14ac:dyDescent="0.3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399999999999999" x14ac:dyDescent="0.3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399999999999999" x14ac:dyDescent="0.3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399999999999999" x14ac:dyDescent="0.3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399999999999999" x14ac:dyDescent="0.3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399999999999999" x14ac:dyDescent="0.3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399999999999999" x14ac:dyDescent="0.3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399999999999999" x14ac:dyDescent="0.3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399999999999999" x14ac:dyDescent="0.3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399999999999999" x14ac:dyDescent="0.3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399999999999999" x14ac:dyDescent="0.3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399999999999999" x14ac:dyDescent="0.3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399999999999999" x14ac:dyDescent="0.3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399999999999999" x14ac:dyDescent="0.3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399999999999999" x14ac:dyDescent="0.3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399999999999999" x14ac:dyDescent="0.3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399999999999999" x14ac:dyDescent="0.3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399999999999999" x14ac:dyDescent="0.3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399999999999999" x14ac:dyDescent="0.3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399999999999999" x14ac:dyDescent="0.3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399999999999999" x14ac:dyDescent="0.3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399999999999999" x14ac:dyDescent="0.3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399999999999999" x14ac:dyDescent="0.3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399999999999999" x14ac:dyDescent="0.3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399999999999999" x14ac:dyDescent="0.3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399999999999999" x14ac:dyDescent="0.3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399999999999999" x14ac:dyDescent="0.3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399999999999999" x14ac:dyDescent="0.3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399999999999999" x14ac:dyDescent="0.3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399999999999999" x14ac:dyDescent="0.3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399999999999999" x14ac:dyDescent="0.3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399999999999999" x14ac:dyDescent="0.3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399999999999999" x14ac:dyDescent="0.3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399999999999999" x14ac:dyDescent="0.3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399999999999999" x14ac:dyDescent="0.3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399999999999999" x14ac:dyDescent="0.3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399999999999999" x14ac:dyDescent="0.3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399999999999999" x14ac:dyDescent="0.3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399999999999999" x14ac:dyDescent="0.3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399999999999999" x14ac:dyDescent="0.3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399999999999999" x14ac:dyDescent="0.3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399999999999999" x14ac:dyDescent="0.3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399999999999999" x14ac:dyDescent="0.3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399999999999999" x14ac:dyDescent="0.3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399999999999999" x14ac:dyDescent="0.3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399999999999999" x14ac:dyDescent="0.3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399999999999999" x14ac:dyDescent="0.3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399999999999999" x14ac:dyDescent="0.3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399999999999999" x14ac:dyDescent="0.3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399999999999999" x14ac:dyDescent="0.3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399999999999999" x14ac:dyDescent="0.3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399999999999999" x14ac:dyDescent="0.3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399999999999999" x14ac:dyDescent="0.3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399999999999999" x14ac:dyDescent="0.3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399999999999999" x14ac:dyDescent="0.3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399999999999999" x14ac:dyDescent="0.3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399999999999999" x14ac:dyDescent="0.3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399999999999999" x14ac:dyDescent="0.3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399999999999999" x14ac:dyDescent="0.3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399999999999999" x14ac:dyDescent="0.3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399999999999999" x14ac:dyDescent="0.3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399999999999999" x14ac:dyDescent="0.3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399999999999999" x14ac:dyDescent="0.3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399999999999999" x14ac:dyDescent="0.3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399999999999999" x14ac:dyDescent="0.3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399999999999999" x14ac:dyDescent="0.3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399999999999999" x14ac:dyDescent="0.3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399999999999999" x14ac:dyDescent="0.3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399999999999999" x14ac:dyDescent="0.3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399999999999999" x14ac:dyDescent="0.3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399999999999999" x14ac:dyDescent="0.3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399999999999999" x14ac:dyDescent="0.3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399999999999999" x14ac:dyDescent="0.3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399999999999999" x14ac:dyDescent="0.3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399999999999999" x14ac:dyDescent="0.3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399999999999999" x14ac:dyDescent="0.3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399999999999999" x14ac:dyDescent="0.3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399999999999999" x14ac:dyDescent="0.3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399999999999999" x14ac:dyDescent="0.3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399999999999999" x14ac:dyDescent="0.3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399999999999999" x14ac:dyDescent="0.3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399999999999999" x14ac:dyDescent="0.3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399999999999999" x14ac:dyDescent="0.3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399999999999999" x14ac:dyDescent="0.3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399999999999999" x14ac:dyDescent="0.3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399999999999999" x14ac:dyDescent="0.3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399999999999999" x14ac:dyDescent="0.3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399999999999999" x14ac:dyDescent="0.3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399999999999999" x14ac:dyDescent="0.3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399999999999999" x14ac:dyDescent="0.3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399999999999999" x14ac:dyDescent="0.3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399999999999999" x14ac:dyDescent="0.3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399999999999999" x14ac:dyDescent="0.3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399999999999999" x14ac:dyDescent="0.3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399999999999999" x14ac:dyDescent="0.3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399999999999999" x14ac:dyDescent="0.3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399999999999999" x14ac:dyDescent="0.3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399999999999999" x14ac:dyDescent="0.3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399999999999999" x14ac:dyDescent="0.3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399999999999999" x14ac:dyDescent="0.3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399999999999999" x14ac:dyDescent="0.3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399999999999999" x14ac:dyDescent="0.3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399999999999999" x14ac:dyDescent="0.3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399999999999999" x14ac:dyDescent="0.3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399999999999999" x14ac:dyDescent="0.3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399999999999999" x14ac:dyDescent="0.3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399999999999999" x14ac:dyDescent="0.3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399999999999999" x14ac:dyDescent="0.3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399999999999999" x14ac:dyDescent="0.3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399999999999999" x14ac:dyDescent="0.3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399999999999999" x14ac:dyDescent="0.3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399999999999999" x14ac:dyDescent="0.3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399999999999999" x14ac:dyDescent="0.3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399999999999999" x14ac:dyDescent="0.3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399999999999999" x14ac:dyDescent="0.3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399999999999999" x14ac:dyDescent="0.3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399999999999999" x14ac:dyDescent="0.3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399999999999999" x14ac:dyDescent="0.3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399999999999999" x14ac:dyDescent="0.3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399999999999999" x14ac:dyDescent="0.3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399999999999999" x14ac:dyDescent="0.3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399999999999999" x14ac:dyDescent="0.3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399999999999999" x14ac:dyDescent="0.3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399999999999999" x14ac:dyDescent="0.3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399999999999999" x14ac:dyDescent="0.3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399999999999999" x14ac:dyDescent="0.3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399999999999999" x14ac:dyDescent="0.3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399999999999999" x14ac:dyDescent="0.3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399999999999999" x14ac:dyDescent="0.3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399999999999999" x14ac:dyDescent="0.3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399999999999999" x14ac:dyDescent="0.3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399999999999999" x14ac:dyDescent="0.3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399999999999999" x14ac:dyDescent="0.3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399999999999999" x14ac:dyDescent="0.3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399999999999999" x14ac:dyDescent="0.3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399999999999999" x14ac:dyDescent="0.3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399999999999999" x14ac:dyDescent="0.3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399999999999999" x14ac:dyDescent="0.3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399999999999999" x14ac:dyDescent="0.3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399999999999999" x14ac:dyDescent="0.3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399999999999999" x14ac:dyDescent="0.3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399999999999999" x14ac:dyDescent="0.3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399999999999999" x14ac:dyDescent="0.3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399999999999999" x14ac:dyDescent="0.3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399999999999999" x14ac:dyDescent="0.3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399999999999999" x14ac:dyDescent="0.3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399999999999999" x14ac:dyDescent="0.3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399999999999999" x14ac:dyDescent="0.3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399999999999999" x14ac:dyDescent="0.3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399999999999999" x14ac:dyDescent="0.3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399999999999999" x14ac:dyDescent="0.3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399999999999999" x14ac:dyDescent="0.3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399999999999999" x14ac:dyDescent="0.3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399999999999999" x14ac:dyDescent="0.3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399999999999999" x14ac:dyDescent="0.3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399999999999999" x14ac:dyDescent="0.3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399999999999999" x14ac:dyDescent="0.3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399999999999999" x14ac:dyDescent="0.3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399999999999999" x14ac:dyDescent="0.3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399999999999999" x14ac:dyDescent="0.3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399999999999999" x14ac:dyDescent="0.3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399999999999999" x14ac:dyDescent="0.3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399999999999999" x14ac:dyDescent="0.3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399999999999999" x14ac:dyDescent="0.3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399999999999999" x14ac:dyDescent="0.3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399999999999999" x14ac:dyDescent="0.3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399999999999999" x14ac:dyDescent="0.3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399999999999999" x14ac:dyDescent="0.3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399999999999999" x14ac:dyDescent="0.3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399999999999999" x14ac:dyDescent="0.3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399999999999999" x14ac:dyDescent="0.3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399999999999999" x14ac:dyDescent="0.3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399999999999999" x14ac:dyDescent="0.3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399999999999999" x14ac:dyDescent="0.3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399999999999999" x14ac:dyDescent="0.3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399999999999999" x14ac:dyDescent="0.3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399999999999999" x14ac:dyDescent="0.3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399999999999999" x14ac:dyDescent="0.3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399999999999999" x14ac:dyDescent="0.3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399999999999999" x14ac:dyDescent="0.3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399999999999999" x14ac:dyDescent="0.3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399999999999999" x14ac:dyDescent="0.3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399999999999999" x14ac:dyDescent="0.3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399999999999999" x14ac:dyDescent="0.3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399999999999999" x14ac:dyDescent="0.3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399999999999999" x14ac:dyDescent="0.3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399999999999999" x14ac:dyDescent="0.3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399999999999999" x14ac:dyDescent="0.3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399999999999999" x14ac:dyDescent="0.3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399999999999999" x14ac:dyDescent="0.3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399999999999999" x14ac:dyDescent="0.3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399999999999999" x14ac:dyDescent="0.3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399999999999999" x14ac:dyDescent="0.3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399999999999999" x14ac:dyDescent="0.3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399999999999999" x14ac:dyDescent="0.3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399999999999999" x14ac:dyDescent="0.3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399999999999999" x14ac:dyDescent="0.3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399999999999999" x14ac:dyDescent="0.3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399999999999999" x14ac:dyDescent="0.3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399999999999999" x14ac:dyDescent="0.3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399999999999999" x14ac:dyDescent="0.3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399999999999999" x14ac:dyDescent="0.3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399999999999999" x14ac:dyDescent="0.3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399999999999999" x14ac:dyDescent="0.3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399999999999999" x14ac:dyDescent="0.3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399999999999999" x14ac:dyDescent="0.3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399999999999999" x14ac:dyDescent="0.3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399999999999999" x14ac:dyDescent="0.3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399999999999999" x14ac:dyDescent="0.3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399999999999999" x14ac:dyDescent="0.3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399999999999999" x14ac:dyDescent="0.3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399999999999999" x14ac:dyDescent="0.3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399999999999999" x14ac:dyDescent="0.3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399999999999999" x14ac:dyDescent="0.3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399999999999999" x14ac:dyDescent="0.3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399999999999999" x14ac:dyDescent="0.3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399999999999999" x14ac:dyDescent="0.3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399999999999999" x14ac:dyDescent="0.3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399999999999999" x14ac:dyDescent="0.3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399999999999999" x14ac:dyDescent="0.3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399999999999999" x14ac:dyDescent="0.3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399999999999999" x14ac:dyDescent="0.3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399999999999999" x14ac:dyDescent="0.3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399999999999999" x14ac:dyDescent="0.3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399999999999999" x14ac:dyDescent="0.3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399999999999999" x14ac:dyDescent="0.3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399999999999999" x14ac:dyDescent="0.3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399999999999999" x14ac:dyDescent="0.3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399999999999999" x14ac:dyDescent="0.3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399999999999999" x14ac:dyDescent="0.3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399999999999999" x14ac:dyDescent="0.3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399999999999999" x14ac:dyDescent="0.3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399999999999999" x14ac:dyDescent="0.3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399999999999999" x14ac:dyDescent="0.3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399999999999999" x14ac:dyDescent="0.3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399999999999999" x14ac:dyDescent="0.3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399999999999999" x14ac:dyDescent="0.3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399999999999999" x14ac:dyDescent="0.3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399999999999999" x14ac:dyDescent="0.3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399999999999999" x14ac:dyDescent="0.3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399999999999999" x14ac:dyDescent="0.3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399999999999999" x14ac:dyDescent="0.3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399999999999999" x14ac:dyDescent="0.3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399999999999999" x14ac:dyDescent="0.3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399999999999999" x14ac:dyDescent="0.3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399999999999999" x14ac:dyDescent="0.3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399999999999999" x14ac:dyDescent="0.3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399999999999999" x14ac:dyDescent="0.3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399999999999999" x14ac:dyDescent="0.3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399999999999999" x14ac:dyDescent="0.3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399999999999999" x14ac:dyDescent="0.3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399999999999999" x14ac:dyDescent="0.3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399999999999999" x14ac:dyDescent="0.3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399999999999999" x14ac:dyDescent="0.3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399999999999999" x14ac:dyDescent="0.3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399999999999999" x14ac:dyDescent="0.3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399999999999999" x14ac:dyDescent="0.3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399999999999999" x14ac:dyDescent="0.3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399999999999999" x14ac:dyDescent="0.3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399999999999999" x14ac:dyDescent="0.3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399999999999999" x14ac:dyDescent="0.3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399999999999999" x14ac:dyDescent="0.3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399999999999999" x14ac:dyDescent="0.3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399999999999999" x14ac:dyDescent="0.3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399999999999999" x14ac:dyDescent="0.3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399999999999999" x14ac:dyDescent="0.3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399999999999999" x14ac:dyDescent="0.3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399999999999999" x14ac:dyDescent="0.3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399999999999999" x14ac:dyDescent="0.3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399999999999999" x14ac:dyDescent="0.3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399999999999999" x14ac:dyDescent="0.3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399999999999999" x14ac:dyDescent="0.3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399999999999999" x14ac:dyDescent="0.3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399999999999999" x14ac:dyDescent="0.3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399999999999999" x14ac:dyDescent="0.3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399999999999999" x14ac:dyDescent="0.3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399999999999999" x14ac:dyDescent="0.3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399999999999999" x14ac:dyDescent="0.3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399999999999999" x14ac:dyDescent="0.3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399999999999999" x14ac:dyDescent="0.3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399999999999999" x14ac:dyDescent="0.3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399999999999999" x14ac:dyDescent="0.3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399999999999999" x14ac:dyDescent="0.3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399999999999999" x14ac:dyDescent="0.3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399999999999999" x14ac:dyDescent="0.3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399999999999999" x14ac:dyDescent="0.3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399999999999999" x14ac:dyDescent="0.3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399999999999999" x14ac:dyDescent="0.3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399999999999999" x14ac:dyDescent="0.3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399999999999999" x14ac:dyDescent="0.3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399999999999999" x14ac:dyDescent="0.3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399999999999999" x14ac:dyDescent="0.3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399999999999999" x14ac:dyDescent="0.3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399999999999999" x14ac:dyDescent="0.3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399999999999999" x14ac:dyDescent="0.3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399999999999999" x14ac:dyDescent="0.3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399999999999999" x14ac:dyDescent="0.3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399999999999999" x14ac:dyDescent="0.3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399999999999999" x14ac:dyDescent="0.3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399999999999999" x14ac:dyDescent="0.3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399999999999999" x14ac:dyDescent="0.3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399999999999999" x14ac:dyDescent="0.3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399999999999999" x14ac:dyDescent="0.3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399999999999999" x14ac:dyDescent="0.3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399999999999999" x14ac:dyDescent="0.3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399999999999999" x14ac:dyDescent="0.3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399999999999999" x14ac:dyDescent="0.3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399999999999999" x14ac:dyDescent="0.3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399999999999999" x14ac:dyDescent="0.3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399999999999999" x14ac:dyDescent="0.3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399999999999999" x14ac:dyDescent="0.3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399999999999999" x14ac:dyDescent="0.3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399999999999999" x14ac:dyDescent="0.3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399999999999999" x14ac:dyDescent="0.3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399999999999999" x14ac:dyDescent="0.3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399999999999999" x14ac:dyDescent="0.3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399999999999999" x14ac:dyDescent="0.3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399999999999999" x14ac:dyDescent="0.3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399999999999999" x14ac:dyDescent="0.3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399999999999999" x14ac:dyDescent="0.3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399999999999999" x14ac:dyDescent="0.3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399999999999999" x14ac:dyDescent="0.3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399999999999999" x14ac:dyDescent="0.3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399999999999999" x14ac:dyDescent="0.3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399999999999999" x14ac:dyDescent="0.3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399999999999999" x14ac:dyDescent="0.3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399999999999999" x14ac:dyDescent="0.3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399999999999999" x14ac:dyDescent="0.3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399999999999999" x14ac:dyDescent="0.3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399999999999999" x14ac:dyDescent="0.3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399999999999999" x14ac:dyDescent="0.3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399999999999999" x14ac:dyDescent="0.3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399999999999999" x14ac:dyDescent="0.3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399999999999999" x14ac:dyDescent="0.3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399999999999999" x14ac:dyDescent="0.3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399999999999999" x14ac:dyDescent="0.3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399999999999999" x14ac:dyDescent="0.3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399999999999999" x14ac:dyDescent="0.3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399999999999999" x14ac:dyDescent="0.3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399999999999999" x14ac:dyDescent="0.3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399999999999999" x14ac:dyDescent="0.3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399999999999999" x14ac:dyDescent="0.3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399999999999999" x14ac:dyDescent="0.3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399999999999999" x14ac:dyDescent="0.3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399999999999999" x14ac:dyDescent="0.3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399999999999999" x14ac:dyDescent="0.3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399999999999999" x14ac:dyDescent="0.3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399999999999999" x14ac:dyDescent="0.3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399999999999999" x14ac:dyDescent="0.3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399999999999999" x14ac:dyDescent="0.3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399999999999999" x14ac:dyDescent="0.3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399999999999999" x14ac:dyDescent="0.3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399999999999999" x14ac:dyDescent="0.3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399999999999999" x14ac:dyDescent="0.3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399999999999999" x14ac:dyDescent="0.3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399999999999999" x14ac:dyDescent="0.3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399999999999999" x14ac:dyDescent="0.3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399999999999999" x14ac:dyDescent="0.3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399999999999999" x14ac:dyDescent="0.3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399999999999999" x14ac:dyDescent="0.3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399999999999999" x14ac:dyDescent="0.3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399999999999999" x14ac:dyDescent="0.3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399999999999999" x14ac:dyDescent="0.3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399999999999999" x14ac:dyDescent="0.3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399999999999999" x14ac:dyDescent="0.3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399999999999999" x14ac:dyDescent="0.3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399999999999999" x14ac:dyDescent="0.3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399999999999999" x14ac:dyDescent="0.3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399999999999999" x14ac:dyDescent="0.3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399999999999999" x14ac:dyDescent="0.3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399999999999999" x14ac:dyDescent="0.3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399999999999999" x14ac:dyDescent="0.3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399999999999999" x14ac:dyDescent="0.3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399999999999999" x14ac:dyDescent="0.3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399999999999999" x14ac:dyDescent="0.3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399999999999999" x14ac:dyDescent="0.3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399999999999999" x14ac:dyDescent="0.3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399999999999999" x14ac:dyDescent="0.3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399999999999999" x14ac:dyDescent="0.3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399999999999999" x14ac:dyDescent="0.3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399999999999999" x14ac:dyDescent="0.3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399999999999999" x14ac:dyDescent="0.3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399999999999999" x14ac:dyDescent="0.3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399999999999999" x14ac:dyDescent="0.3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399999999999999" x14ac:dyDescent="0.3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399999999999999" x14ac:dyDescent="0.3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399999999999999" x14ac:dyDescent="0.3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399999999999999" x14ac:dyDescent="0.3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399999999999999" x14ac:dyDescent="0.3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399999999999999" x14ac:dyDescent="0.3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399999999999999" x14ac:dyDescent="0.3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399999999999999" x14ac:dyDescent="0.3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399999999999999" x14ac:dyDescent="0.3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399999999999999" x14ac:dyDescent="0.3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399999999999999" x14ac:dyDescent="0.3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399999999999999" x14ac:dyDescent="0.3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399999999999999" x14ac:dyDescent="0.3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399999999999999" x14ac:dyDescent="0.3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399999999999999" x14ac:dyDescent="0.3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399999999999999" x14ac:dyDescent="0.3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399999999999999" x14ac:dyDescent="0.3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399999999999999" x14ac:dyDescent="0.3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399999999999999" x14ac:dyDescent="0.3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399999999999999" x14ac:dyDescent="0.3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399999999999999" x14ac:dyDescent="0.3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399999999999999" x14ac:dyDescent="0.3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399999999999999" x14ac:dyDescent="0.3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399999999999999" x14ac:dyDescent="0.3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399999999999999" x14ac:dyDescent="0.3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399999999999999" x14ac:dyDescent="0.3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399999999999999" x14ac:dyDescent="0.3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399999999999999" x14ac:dyDescent="0.3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399999999999999" x14ac:dyDescent="0.3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399999999999999" x14ac:dyDescent="0.3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399999999999999" x14ac:dyDescent="0.3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399999999999999" x14ac:dyDescent="0.3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399999999999999" x14ac:dyDescent="0.3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399999999999999" x14ac:dyDescent="0.3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399999999999999" x14ac:dyDescent="0.3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399999999999999" x14ac:dyDescent="0.3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399999999999999" x14ac:dyDescent="0.3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399999999999999" x14ac:dyDescent="0.3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399999999999999" x14ac:dyDescent="0.3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399999999999999" x14ac:dyDescent="0.3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399999999999999" x14ac:dyDescent="0.3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6" x14ac:dyDescent="0.3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399999999999999" x14ac:dyDescent="0.3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399999999999999" x14ac:dyDescent="0.3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399999999999999" x14ac:dyDescent="0.3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399999999999999" x14ac:dyDescent="0.3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399999999999999" x14ac:dyDescent="0.3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399999999999999" x14ac:dyDescent="0.3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399999999999999" x14ac:dyDescent="0.3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399999999999999" x14ac:dyDescent="0.3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399999999999999" x14ac:dyDescent="0.3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399999999999999" x14ac:dyDescent="0.3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399999999999999" x14ac:dyDescent="0.3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399999999999999" x14ac:dyDescent="0.3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399999999999999" x14ac:dyDescent="0.3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399999999999999" x14ac:dyDescent="0.3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399999999999999" x14ac:dyDescent="0.3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399999999999999" x14ac:dyDescent="0.3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399999999999999" x14ac:dyDescent="0.3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399999999999999" x14ac:dyDescent="0.3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399999999999999" x14ac:dyDescent="0.3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399999999999999" x14ac:dyDescent="0.3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399999999999999" x14ac:dyDescent="0.3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399999999999999" x14ac:dyDescent="0.3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399999999999999" x14ac:dyDescent="0.3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399999999999999" x14ac:dyDescent="0.3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399999999999999" x14ac:dyDescent="0.3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399999999999999" x14ac:dyDescent="0.3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399999999999999" x14ac:dyDescent="0.3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399999999999999" x14ac:dyDescent="0.3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399999999999999" x14ac:dyDescent="0.3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399999999999999" x14ac:dyDescent="0.3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399999999999999" x14ac:dyDescent="0.3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399999999999999" x14ac:dyDescent="0.3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399999999999999" x14ac:dyDescent="0.3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399999999999999" x14ac:dyDescent="0.3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399999999999999" x14ac:dyDescent="0.3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399999999999999" x14ac:dyDescent="0.3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399999999999999" x14ac:dyDescent="0.3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399999999999999" x14ac:dyDescent="0.3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399999999999999" x14ac:dyDescent="0.3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399999999999999" x14ac:dyDescent="0.3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399999999999999" x14ac:dyDescent="0.3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399999999999999" x14ac:dyDescent="0.3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399999999999999" x14ac:dyDescent="0.3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399999999999999" x14ac:dyDescent="0.3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399999999999999" x14ac:dyDescent="0.3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399999999999999" x14ac:dyDescent="0.3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399999999999999" x14ac:dyDescent="0.3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399999999999999" x14ac:dyDescent="0.3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399999999999999" x14ac:dyDescent="0.3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399999999999999" x14ac:dyDescent="0.3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399999999999999" x14ac:dyDescent="0.3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399999999999999" x14ac:dyDescent="0.3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399999999999999" x14ac:dyDescent="0.3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399999999999999" x14ac:dyDescent="0.3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399999999999999" x14ac:dyDescent="0.3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399999999999999" x14ac:dyDescent="0.3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399999999999999" x14ac:dyDescent="0.3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399999999999999" x14ac:dyDescent="0.3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399999999999999" x14ac:dyDescent="0.3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399999999999999" x14ac:dyDescent="0.3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399999999999999" x14ac:dyDescent="0.3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399999999999999" x14ac:dyDescent="0.3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399999999999999" x14ac:dyDescent="0.3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399999999999999" x14ac:dyDescent="0.3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399999999999999" x14ac:dyDescent="0.3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399999999999999" x14ac:dyDescent="0.3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399999999999999" x14ac:dyDescent="0.3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399999999999999" x14ac:dyDescent="0.3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399999999999999" x14ac:dyDescent="0.3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399999999999999" x14ac:dyDescent="0.3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399999999999999" x14ac:dyDescent="0.3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399999999999999" x14ac:dyDescent="0.3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399999999999999" x14ac:dyDescent="0.3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399999999999999" x14ac:dyDescent="0.3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399999999999999" x14ac:dyDescent="0.3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399999999999999" x14ac:dyDescent="0.3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399999999999999" x14ac:dyDescent="0.3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399999999999999" x14ac:dyDescent="0.3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399999999999999" x14ac:dyDescent="0.3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399999999999999" x14ac:dyDescent="0.3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399999999999999" x14ac:dyDescent="0.3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399999999999999" x14ac:dyDescent="0.3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399999999999999" x14ac:dyDescent="0.3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399999999999999" x14ac:dyDescent="0.3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399999999999999" x14ac:dyDescent="0.3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399999999999999" x14ac:dyDescent="0.3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399999999999999" x14ac:dyDescent="0.3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399999999999999" x14ac:dyDescent="0.3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399999999999999" x14ac:dyDescent="0.3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399999999999999" x14ac:dyDescent="0.3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399999999999999" x14ac:dyDescent="0.3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399999999999999" x14ac:dyDescent="0.3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399999999999999" x14ac:dyDescent="0.3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399999999999999" x14ac:dyDescent="0.3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399999999999999" x14ac:dyDescent="0.3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399999999999999" x14ac:dyDescent="0.3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399999999999999" x14ac:dyDescent="0.3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399999999999999" x14ac:dyDescent="0.3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399999999999999" x14ac:dyDescent="0.3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399999999999999" x14ac:dyDescent="0.3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399999999999999" x14ac:dyDescent="0.3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399999999999999" x14ac:dyDescent="0.3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399999999999999" x14ac:dyDescent="0.3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399999999999999" x14ac:dyDescent="0.3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399999999999999" x14ac:dyDescent="0.3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399999999999999" x14ac:dyDescent="0.3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399999999999999" x14ac:dyDescent="0.3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399999999999999" x14ac:dyDescent="0.3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399999999999999" x14ac:dyDescent="0.3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399999999999999" x14ac:dyDescent="0.3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399999999999999" x14ac:dyDescent="0.3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399999999999999" x14ac:dyDescent="0.3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399999999999999" x14ac:dyDescent="0.3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399999999999999" x14ac:dyDescent="0.3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399999999999999" x14ac:dyDescent="0.3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399999999999999" x14ac:dyDescent="0.3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399999999999999" x14ac:dyDescent="0.3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399999999999999" x14ac:dyDescent="0.3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399999999999999" x14ac:dyDescent="0.3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399999999999999" x14ac:dyDescent="0.3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399999999999999" x14ac:dyDescent="0.3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399999999999999" x14ac:dyDescent="0.3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399999999999999" x14ac:dyDescent="0.3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399999999999999" x14ac:dyDescent="0.3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399999999999999" x14ac:dyDescent="0.3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399999999999999" x14ac:dyDescent="0.3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399999999999999" x14ac:dyDescent="0.3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399999999999999" x14ac:dyDescent="0.3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399999999999999" x14ac:dyDescent="0.3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399999999999999" x14ac:dyDescent="0.3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399999999999999" x14ac:dyDescent="0.3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399999999999999" x14ac:dyDescent="0.3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399999999999999" x14ac:dyDescent="0.3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399999999999999" x14ac:dyDescent="0.3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399999999999999" x14ac:dyDescent="0.3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399999999999999" x14ac:dyDescent="0.3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399999999999999" x14ac:dyDescent="0.3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399999999999999" x14ac:dyDescent="0.3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399999999999999" x14ac:dyDescent="0.3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399999999999999" x14ac:dyDescent="0.3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399999999999999" x14ac:dyDescent="0.3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399999999999999" x14ac:dyDescent="0.3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399999999999999" x14ac:dyDescent="0.3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399999999999999" x14ac:dyDescent="0.3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399999999999999" x14ac:dyDescent="0.3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399999999999999" x14ac:dyDescent="0.3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399999999999999" x14ac:dyDescent="0.3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399999999999999" x14ac:dyDescent="0.3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399999999999999" x14ac:dyDescent="0.3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</sheetData>
  <autoFilter ref="A1:O5114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2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4.4" x14ac:dyDescent="0.3"/>
  <cols>
    <col min="1" max="2" width="0" hidden="1" customWidth="1"/>
    <col min="3" max="3" width="8.88671875" hidden="1" customWidth="1"/>
    <col min="4" max="4" width="17.88671875" customWidth="1"/>
    <col min="5" max="5" width="13.6640625" customWidth="1"/>
    <col min="6" max="6" width="24.6640625" bestFit="1" customWidth="1"/>
    <col min="7" max="7" width="36.109375" style="55" customWidth="1"/>
    <col min="8" max="8" width="34.33203125" customWidth="1"/>
    <col min="9" max="9" width="19.88671875" customWidth="1"/>
    <col min="10" max="10" width="21.6640625" customWidth="1"/>
    <col min="11" max="11" width="25.88671875" customWidth="1"/>
    <col min="12" max="12" width="28.88671875" customWidth="1"/>
    <col min="13" max="13" width="28" customWidth="1"/>
    <col min="14" max="14" width="19.6640625" style="55" customWidth="1"/>
    <col min="15" max="15" width="34.33203125" style="55" bestFit="1" customWidth="1"/>
    <col min="18" max="18" width="11.33203125" bestFit="1" customWidth="1"/>
  </cols>
  <sheetData>
    <row r="1" spans="3:18" hidden="1" x14ac:dyDescent="0.3"/>
    <row r="2" spans="3:18" hidden="1" x14ac:dyDescent="0.3"/>
    <row r="3" spans="3:18" ht="42.75" customHeight="1" thickBot="1" x14ac:dyDescent="0.35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" thickBot="1" x14ac:dyDescent="0.35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" thickBot="1" x14ac:dyDescent="0.35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" thickBot="1" x14ac:dyDescent="0.35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" thickBot="1" x14ac:dyDescent="0.35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" thickBot="1" x14ac:dyDescent="0.35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" thickBot="1" x14ac:dyDescent="0.35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" thickBot="1" x14ac:dyDescent="0.35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" thickBot="1" x14ac:dyDescent="0.35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" thickBot="1" x14ac:dyDescent="0.35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" thickBot="1" x14ac:dyDescent="0.35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" thickBot="1" x14ac:dyDescent="0.35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" thickBot="1" x14ac:dyDescent="0.35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" thickBot="1" x14ac:dyDescent="0.35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" thickBot="1" x14ac:dyDescent="0.35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" thickBot="1" x14ac:dyDescent="0.35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" thickBot="1" x14ac:dyDescent="0.35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" thickBot="1" x14ac:dyDescent="0.35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" thickBot="1" x14ac:dyDescent="0.35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" thickBot="1" x14ac:dyDescent="0.35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" thickBot="1" x14ac:dyDescent="0.35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" thickBot="1" x14ac:dyDescent="0.35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" thickBot="1" x14ac:dyDescent="0.35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" thickBot="1" x14ac:dyDescent="0.35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" thickBot="1" x14ac:dyDescent="0.35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" thickBot="1" x14ac:dyDescent="0.35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" thickBot="1" x14ac:dyDescent="0.35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" thickBot="1" x14ac:dyDescent="0.35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" thickBot="1" x14ac:dyDescent="0.35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" thickBot="1" x14ac:dyDescent="0.35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" thickBot="1" x14ac:dyDescent="0.35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" thickBot="1" x14ac:dyDescent="0.35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" thickBot="1" x14ac:dyDescent="0.35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" thickBot="1" x14ac:dyDescent="0.35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" thickBot="1" x14ac:dyDescent="0.35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" thickBot="1" x14ac:dyDescent="0.35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" thickBot="1" x14ac:dyDescent="0.35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" thickBot="1" x14ac:dyDescent="0.35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" thickBot="1" x14ac:dyDescent="0.35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" thickBot="1" x14ac:dyDescent="0.35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" thickBot="1" x14ac:dyDescent="0.35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" thickBot="1" x14ac:dyDescent="0.35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" thickBot="1" x14ac:dyDescent="0.35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" thickBot="1" x14ac:dyDescent="0.35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" thickBot="1" x14ac:dyDescent="0.35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" thickBot="1" x14ac:dyDescent="0.35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" thickBot="1" x14ac:dyDescent="0.35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" thickBot="1" x14ac:dyDescent="0.35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" thickBot="1" x14ac:dyDescent="0.35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" thickBot="1" x14ac:dyDescent="0.35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" thickBot="1" x14ac:dyDescent="0.35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" thickBot="1" x14ac:dyDescent="0.35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" thickBot="1" x14ac:dyDescent="0.35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" thickBot="1" x14ac:dyDescent="0.35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" thickBot="1" x14ac:dyDescent="0.35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" thickBot="1" x14ac:dyDescent="0.35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" thickBot="1" x14ac:dyDescent="0.35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" thickBot="1" x14ac:dyDescent="0.35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" thickBot="1" x14ac:dyDescent="0.35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" thickBot="1" x14ac:dyDescent="0.35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" thickBot="1" x14ac:dyDescent="0.35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" thickBot="1" x14ac:dyDescent="0.35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" thickBot="1" x14ac:dyDescent="0.35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" thickBot="1" x14ac:dyDescent="0.35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" thickBot="1" x14ac:dyDescent="0.35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" thickBot="1" x14ac:dyDescent="0.35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" thickBot="1" x14ac:dyDescent="0.35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" thickBot="1" x14ac:dyDescent="0.35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" thickBot="1" x14ac:dyDescent="0.35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" thickBot="1" x14ac:dyDescent="0.35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" thickBot="1" x14ac:dyDescent="0.35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" thickBot="1" x14ac:dyDescent="0.35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" thickBot="1" x14ac:dyDescent="0.35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" thickBot="1" x14ac:dyDescent="0.35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" thickBot="1" x14ac:dyDescent="0.35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" thickBot="1" x14ac:dyDescent="0.35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" thickBot="1" x14ac:dyDescent="0.35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" thickBot="1" x14ac:dyDescent="0.35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" thickBot="1" x14ac:dyDescent="0.35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" thickBot="1" x14ac:dyDescent="0.35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" thickBot="1" x14ac:dyDescent="0.35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" thickBot="1" x14ac:dyDescent="0.35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" thickBot="1" x14ac:dyDescent="0.35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" thickBot="1" x14ac:dyDescent="0.35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" thickBot="1" x14ac:dyDescent="0.35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" thickBot="1" x14ac:dyDescent="0.35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" thickBot="1" x14ac:dyDescent="0.35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18" thickBot="1" x14ac:dyDescent="0.35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18" thickBot="1" x14ac:dyDescent="0.35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18" thickBot="1" x14ac:dyDescent="0.35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18" thickBot="1" x14ac:dyDescent="0.35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18" thickBot="1" x14ac:dyDescent="0.35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18" thickBot="1" x14ac:dyDescent="0.35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18" thickBot="1" x14ac:dyDescent="0.35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18" thickBot="1" x14ac:dyDescent="0.35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18" thickBot="1" x14ac:dyDescent="0.35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18" thickBot="1" x14ac:dyDescent="0.35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18" thickBot="1" x14ac:dyDescent="0.35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18" thickBot="1" x14ac:dyDescent="0.35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" thickBot="1" x14ac:dyDescent="0.35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" thickBot="1" x14ac:dyDescent="0.35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" thickBot="1" x14ac:dyDescent="0.35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" thickBot="1" x14ac:dyDescent="0.35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" thickBot="1" x14ac:dyDescent="0.35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" thickBot="1" x14ac:dyDescent="0.35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" thickBot="1" x14ac:dyDescent="0.35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" thickBot="1" x14ac:dyDescent="0.35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" thickBot="1" x14ac:dyDescent="0.35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" thickBot="1" x14ac:dyDescent="0.35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" thickBot="1" x14ac:dyDescent="0.35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" thickBot="1" x14ac:dyDescent="0.35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" thickBot="1" x14ac:dyDescent="0.35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" thickBot="1" x14ac:dyDescent="0.35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" thickBot="1" x14ac:dyDescent="0.35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" thickBot="1" x14ac:dyDescent="0.35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" thickBot="1" x14ac:dyDescent="0.35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" thickBot="1" x14ac:dyDescent="0.35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" thickBot="1" x14ac:dyDescent="0.35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" thickBot="1" x14ac:dyDescent="0.35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" thickBot="1" x14ac:dyDescent="0.35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" thickBot="1" x14ac:dyDescent="0.35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" thickBot="1" x14ac:dyDescent="0.35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" thickBot="1" x14ac:dyDescent="0.35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" thickBot="1" x14ac:dyDescent="0.35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" thickBot="1" x14ac:dyDescent="0.35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" thickBot="1" x14ac:dyDescent="0.35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" thickBot="1" x14ac:dyDescent="0.35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" thickBot="1" x14ac:dyDescent="0.35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" thickBot="1" x14ac:dyDescent="0.35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" thickBot="1" x14ac:dyDescent="0.35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" thickBot="1" x14ac:dyDescent="0.35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" thickBot="1" x14ac:dyDescent="0.35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" thickBot="1" x14ac:dyDescent="0.35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" thickBot="1" x14ac:dyDescent="0.35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" thickBot="1" x14ac:dyDescent="0.35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" thickBot="1" x14ac:dyDescent="0.35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" thickBot="1" x14ac:dyDescent="0.35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" thickBot="1" x14ac:dyDescent="0.35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" thickBot="1" x14ac:dyDescent="0.35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" thickBot="1" x14ac:dyDescent="0.35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" thickBot="1" x14ac:dyDescent="0.35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" thickBot="1" x14ac:dyDescent="0.35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" thickBot="1" x14ac:dyDescent="0.35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" thickBot="1" x14ac:dyDescent="0.35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" thickBot="1" x14ac:dyDescent="0.35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" thickBot="1" x14ac:dyDescent="0.35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" thickBot="1" x14ac:dyDescent="0.35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" thickBot="1" x14ac:dyDescent="0.35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" thickBot="1" x14ac:dyDescent="0.35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" thickBot="1" x14ac:dyDescent="0.35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" thickBot="1" x14ac:dyDescent="0.35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" thickBot="1" x14ac:dyDescent="0.35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" thickBot="1" x14ac:dyDescent="0.35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" thickBot="1" x14ac:dyDescent="0.35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" thickBot="1" x14ac:dyDescent="0.35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" thickBot="1" x14ac:dyDescent="0.35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" thickBot="1" x14ac:dyDescent="0.35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" thickBot="1" x14ac:dyDescent="0.35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" thickBot="1" x14ac:dyDescent="0.35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" thickBot="1" x14ac:dyDescent="0.35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" thickBot="1" x14ac:dyDescent="0.35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" thickBot="1" x14ac:dyDescent="0.35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" thickBot="1" x14ac:dyDescent="0.35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" thickBot="1" x14ac:dyDescent="0.35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" thickBot="1" x14ac:dyDescent="0.35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" thickBot="1" x14ac:dyDescent="0.35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" thickBot="1" x14ac:dyDescent="0.35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" thickBot="1" x14ac:dyDescent="0.35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" thickBot="1" x14ac:dyDescent="0.35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" thickBot="1" x14ac:dyDescent="0.35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" thickBot="1" x14ac:dyDescent="0.35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" thickBot="1" x14ac:dyDescent="0.35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" thickBot="1" x14ac:dyDescent="0.35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" thickBot="1" x14ac:dyDescent="0.35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" thickBot="1" x14ac:dyDescent="0.35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" thickBot="1" x14ac:dyDescent="0.35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" thickBot="1" x14ac:dyDescent="0.35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" thickBot="1" x14ac:dyDescent="0.35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" thickBot="1" x14ac:dyDescent="0.35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" thickBot="1" x14ac:dyDescent="0.35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" thickBot="1" x14ac:dyDescent="0.35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" thickBot="1" x14ac:dyDescent="0.35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" thickBot="1" x14ac:dyDescent="0.35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" thickBot="1" x14ac:dyDescent="0.35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" thickBot="1" x14ac:dyDescent="0.35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" thickBot="1" x14ac:dyDescent="0.35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" thickBot="1" x14ac:dyDescent="0.35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" thickBot="1" x14ac:dyDescent="0.35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" thickBot="1" x14ac:dyDescent="0.35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2" thickBot="1" x14ac:dyDescent="0.35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" thickBot="1" x14ac:dyDescent="0.35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" thickBot="1" x14ac:dyDescent="0.35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" thickBot="1" x14ac:dyDescent="0.35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" thickBot="1" x14ac:dyDescent="0.35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" thickBot="1" x14ac:dyDescent="0.35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" thickBot="1" x14ac:dyDescent="0.35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" thickBot="1" x14ac:dyDescent="0.35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" thickBot="1" x14ac:dyDescent="0.35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" thickBot="1" x14ac:dyDescent="0.35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" thickBot="1" x14ac:dyDescent="0.35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" thickBot="1" x14ac:dyDescent="0.35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" thickBot="1" x14ac:dyDescent="0.35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" thickBot="1" x14ac:dyDescent="0.35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" thickBot="1" x14ac:dyDescent="0.35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" thickBot="1" x14ac:dyDescent="0.35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" thickBot="1" x14ac:dyDescent="0.35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" thickBot="1" x14ac:dyDescent="0.35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" thickBot="1" x14ac:dyDescent="0.35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" thickBot="1" x14ac:dyDescent="0.35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" thickBot="1" x14ac:dyDescent="0.35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" thickBot="1" x14ac:dyDescent="0.35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" thickBot="1" x14ac:dyDescent="0.35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" thickBot="1" x14ac:dyDescent="0.35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" thickBot="1" x14ac:dyDescent="0.35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" thickBot="1" x14ac:dyDescent="0.35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" thickBot="1" x14ac:dyDescent="0.35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" thickBot="1" x14ac:dyDescent="0.35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" thickBot="1" x14ac:dyDescent="0.35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" thickBot="1" x14ac:dyDescent="0.35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" thickBot="1" x14ac:dyDescent="0.35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" thickBot="1" x14ac:dyDescent="0.35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" thickBot="1" x14ac:dyDescent="0.35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" thickBot="1" x14ac:dyDescent="0.35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" thickBot="1" x14ac:dyDescent="0.35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" thickBot="1" x14ac:dyDescent="0.35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" thickBot="1" x14ac:dyDescent="0.35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" thickBot="1" x14ac:dyDescent="0.35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" thickBot="1" x14ac:dyDescent="0.35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" thickBot="1" x14ac:dyDescent="0.35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" thickBot="1" x14ac:dyDescent="0.35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" thickBot="1" x14ac:dyDescent="0.35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" thickBot="1" x14ac:dyDescent="0.35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" thickBot="1" x14ac:dyDescent="0.35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" thickBot="1" x14ac:dyDescent="0.35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" thickBot="1" x14ac:dyDescent="0.35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" thickBot="1" x14ac:dyDescent="0.35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" thickBot="1" x14ac:dyDescent="0.35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" thickBot="1" x14ac:dyDescent="0.35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" thickBot="1" x14ac:dyDescent="0.35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" thickBot="1" x14ac:dyDescent="0.35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" thickBot="1" x14ac:dyDescent="0.35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" thickBot="1" x14ac:dyDescent="0.35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" thickBot="1" x14ac:dyDescent="0.35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" thickBot="1" x14ac:dyDescent="0.35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" thickBot="1" x14ac:dyDescent="0.35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" thickBot="1" x14ac:dyDescent="0.35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" thickBot="1" x14ac:dyDescent="0.35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" thickBot="1" x14ac:dyDescent="0.35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" thickBot="1" x14ac:dyDescent="0.35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" thickBot="1" x14ac:dyDescent="0.35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" thickBot="1" x14ac:dyDescent="0.35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" thickBot="1" x14ac:dyDescent="0.35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" thickBot="1" x14ac:dyDescent="0.35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" thickBot="1" x14ac:dyDescent="0.35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" thickBot="1" x14ac:dyDescent="0.35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" thickBot="1" x14ac:dyDescent="0.35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" thickBot="1" x14ac:dyDescent="0.35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" thickBot="1" x14ac:dyDescent="0.35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" thickBot="1" x14ac:dyDescent="0.35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" thickBot="1" x14ac:dyDescent="0.35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" thickBot="1" x14ac:dyDescent="0.35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" thickBot="1" x14ac:dyDescent="0.35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" thickBot="1" x14ac:dyDescent="0.35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" thickBot="1" x14ac:dyDescent="0.35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" thickBot="1" x14ac:dyDescent="0.35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" thickBot="1" x14ac:dyDescent="0.35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" thickBot="1" x14ac:dyDescent="0.35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" thickBot="1" x14ac:dyDescent="0.35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" thickBot="1" x14ac:dyDescent="0.35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" thickBot="1" x14ac:dyDescent="0.35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2" thickBot="1" x14ac:dyDescent="0.35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2" thickBot="1" x14ac:dyDescent="0.35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2" thickBot="1" x14ac:dyDescent="0.35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2" thickBot="1" x14ac:dyDescent="0.35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2" thickBot="1" x14ac:dyDescent="0.35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2" thickBot="1" x14ac:dyDescent="0.35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2" thickBot="1" x14ac:dyDescent="0.35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2" thickBot="1" x14ac:dyDescent="0.35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2" thickBot="1" x14ac:dyDescent="0.35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2" thickBot="1" x14ac:dyDescent="0.35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2" thickBot="1" x14ac:dyDescent="0.35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2" thickBot="1" x14ac:dyDescent="0.35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" thickBot="1" x14ac:dyDescent="0.35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" thickBot="1" x14ac:dyDescent="0.35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" thickBot="1" x14ac:dyDescent="0.35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" thickBot="1" x14ac:dyDescent="0.35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" thickBot="1" x14ac:dyDescent="0.35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" thickBot="1" x14ac:dyDescent="0.35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" thickBot="1" x14ac:dyDescent="0.35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" thickBot="1" x14ac:dyDescent="0.35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" thickBot="1" x14ac:dyDescent="0.35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" thickBot="1" x14ac:dyDescent="0.35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" thickBot="1" x14ac:dyDescent="0.35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" thickBot="1" x14ac:dyDescent="0.35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" thickBot="1" x14ac:dyDescent="0.35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" thickBot="1" x14ac:dyDescent="0.35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" thickBot="1" x14ac:dyDescent="0.35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" thickBot="1" x14ac:dyDescent="0.35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" thickBot="1" x14ac:dyDescent="0.35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" thickBot="1" x14ac:dyDescent="0.35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" thickBot="1" x14ac:dyDescent="0.35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" thickBot="1" x14ac:dyDescent="0.35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" thickBot="1" x14ac:dyDescent="0.35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" thickBot="1" x14ac:dyDescent="0.35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" thickBot="1" x14ac:dyDescent="0.35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" thickBot="1" x14ac:dyDescent="0.35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" thickBot="1" x14ac:dyDescent="0.35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" thickBot="1" x14ac:dyDescent="0.35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" thickBot="1" x14ac:dyDescent="0.35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" thickBot="1" x14ac:dyDescent="0.35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" thickBot="1" x14ac:dyDescent="0.35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" thickBot="1" x14ac:dyDescent="0.35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" thickBot="1" x14ac:dyDescent="0.35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" thickBot="1" x14ac:dyDescent="0.35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" thickBot="1" x14ac:dyDescent="0.35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" thickBot="1" x14ac:dyDescent="0.35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" thickBot="1" x14ac:dyDescent="0.35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" thickBot="1" x14ac:dyDescent="0.35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" thickBot="1" x14ac:dyDescent="0.35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" thickBot="1" x14ac:dyDescent="0.35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" thickBot="1" x14ac:dyDescent="0.35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" thickBot="1" x14ac:dyDescent="0.35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" thickBot="1" x14ac:dyDescent="0.35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" thickBot="1" x14ac:dyDescent="0.35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" thickBot="1" x14ac:dyDescent="0.35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" thickBot="1" x14ac:dyDescent="0.35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" thickBot="1" x14ac:dyDescent="0.35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" thickBot="1" x14ac:dyDescent="0.35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" thickBot="1" x14ac:dyDescent="0.35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" thickBot="1" x14ac:dyDescent="0.35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" thickBot="1" x14ac:dyDescent="0.35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" thickBot="1" x14ac:dyDescent="0.35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" thickBot="1" x14ac:dyDescent="0.35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" thickBot="1" x14ac:dyDescent="0.35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" thickBot="1" x14ac:dyDescent="0.35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" thickBot="1" x14ac:dyDescent="0.35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" thickBot="1" x14ac:dyDescent="0.35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" thickBot="1" x14ac:dyDescent="0.35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" thickBot="1" x14ac:dyDescent="0.35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" thickBot="1" x14ac:dyDescent="0.35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" thickBot="1" x14ac:dyDescent="0.35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" thickBot="1" x14ac:dyDescent="0.35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" thickBot="1" x14ac:dyDescent="0.35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" thickBot="1" x14ac:dyDescent="0.35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" thickBot="1" x14ac:dyDescent="0.35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" thickBot="1" x14ac:dyDescent="0.35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" thickBot="1" x14ac:dyDescent="0.35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" thickBot="1" x14ac:dyDescent="0.35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" thickBot="1" x14ac:dyDescent="0.35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" thickBot="1" x14ac:dyDescent="0.35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" thickBot="1" x14ac:dyDescent="0.35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" thickBot="1" x14ac:dyDescent="0.35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" thickBot="1" x14ac:dyDescent="0.35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" thickBot="1" x14ac:dyDescent="0.35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" thickBot="1" x14ac:dyDescent="0.35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4253.2195000000002</v>
      </c>
      <c r="I357" s="113">
        <f>SUMIF(MICRO!AP:AP,O:O,MICRO!T:T)</f>
        <v>-4270.2</v>
      </c>
      <c r="J357" s="114">
        <f t="shared" si="130"/>
        <v>0.66162956567730713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" thickBot="1" x14ac:dyDescent="0.35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" thickBot="1" x14ac:dyDescent="0.35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445.73</v>
      </c>
      <c r="I359" s="113">
        <f>SUMIF(MICRO!AP:AP,O:O,MICRO!T:T)</f>
        <v>-1680.7</v>
      </c>
      <c r="J359" s="114">
        <f t="shared" si="130"/>
        <v>0.26520497411792704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" thickBot="1" x14ac:dyDescent="0.35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" thickBot="1" x14ac:dyDescent="0.35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" thickBot="1" x14ac:dyDescent="0.35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" thickBot="1" x14ac:dyDescent="0.35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" thickBot="1" x14ac:dyDescent="0.35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" thickBot="1" x14ac:dyDescent="0.35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" thickBot="1" x14ac:dyDescent="0.35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" thickBot="1" x14ac:dyDescent="0.35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" thickBot="1" x14ac:dyDescent="0.35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" thickBot="1" x14ac:dyDescent="0.35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" thickBot="1" x14ac:dyDescent="0.35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" thickBot="1" x14ac:dyDescent="0.35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" thickBot="1" x14ac:dyDescent="0.35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" thickBot="1" x14ac:dyDescent="0.35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" thickBot="1" x14ac:dyDescent="0.35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" thickBot="1" x14ac:dyDescent="0.35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" thickBot="1" x14ac:dyDescent="0.35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" thickBot="1" x14ac:dyDescent="0.35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" thickBot="1" x14ac:dyDescent="0.35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" thickBot="1" x14ac:dyDescent="0.35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" thickBot="1" x14ac:dyDescent="0.35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" thickBot="1" x14ac:dyDescent="0.35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" thickBot="1" x14ac:dyDescent="0.35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" thickBot="1" x14ac:dyDescent="0.35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" thickBot="1" x14ac:dyDescent="0.35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" thickBot="1" x14ac:dyDescent="0.35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" thickBot="1" x14ac:dyDescent="0.35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" thickBot="1" x14ac:dyDescent="0.35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" thickBot="1" x14ac:dyDescent="0.35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" thickBot="1" x14ac:dyDescent="0.35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" thickBot="1" x14ac:dyDescent="0.35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" thickBot="1" x14ac:dyDescent="0.35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" thickBot="1" x14ac:dyDescent="0.35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" thickBot="1" x14ac:dyDescent="0.35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" thickBot="1" x14ac:dyDescent="0.35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3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2026-07-28T12:55:56Z</cp:lastPrinted>
  <dcterms:created xsi:type="dcterms:W3CDTF">2022-04-15T01:30:45Z</dcterms:created>
  <dcterms:modified xsi:type="dcterms:W3CDTF">2026-08-06T18:19:41Z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