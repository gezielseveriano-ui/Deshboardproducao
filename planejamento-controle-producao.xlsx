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846" documentId="8_{FDD42E6F-94E1-48F3-8613-54A91AB43A68}" xr6:coauthVersionLast="47" xr6:coauthVersionMax="47" xr10:uidLastSave="{C0464917-3E61-4A64-ACC0-8D5979ADD50A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22" i="6" l="1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862" i="1" l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T151" i="1" l="1"/>
  <c r="AV151" i="1"/>
  <c r="AS151" i="1" s="1"/>
  <c r="AS128" i="1"/>
  <c r="R128" i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97" i="1" l="1"/>
  <c r="AU97" i="1"/>
  <c r="S91" i="1"/>
  <c r="AU91" i="1"/>
  <c r="S88" i="1"/>
  <c r="AU88" i="1"/>
  <c r="S87" i="1"/>
  <c r="AU87" i="1"/>
  <c r="S85" i="1"/>
  <c r="AU85" i="1"/>
  <c r="S84" i="1"/>
  <c r="AU84" i="1"/>
  <c r="S83" i="1"/>
  <c r="AU83" i="1"/>
  <c r="S82" i="1"/>
  <c r="AU82" i="1"/>
  <c r="S53" i="1"/>
  <c r="AU53" i="1"/>
  <c r="S80" i="1"/>
  <c r="AU80" i="1"/>
  <c r="AT86" i="1"/>
  <c r="AT89" i="1"/>
  <c r="AV89" i="1"/>
  <c r="AS89" i="1" s="1"/>
  <c r="AV86" i="1"/>
  <c r="AS86" i="1" s="1"/>
  <c r="AV55" i="1"/>
  <c r="AS55" i="1" s="1"/>
  <c r="AT53" i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<sst xmlns="http://schemas.openxmlformats.org/spreadsheetml/2006/main" count="29976" uniqueCount="5032">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</sst>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10.252599999999999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33.892699999999998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2.7690000000000001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63.664200000000001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12.861799999999999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77.163600000000002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0.16479999999999942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19.886699999999994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66" totalsRowShown="0" headerRowDxfId="137" tableBorderDxfId="136">
  <autoFilter ref="A1:AW866" xr:uid="{00000000-000C-0000-FFFF-FFFF00000000}">
    <filterColumn colId="11">
      <filters>
        <filter val="P-198"/>
      </filters>
    </filterColumn>
    <filterColumn colId="34">
      <customFilters>
        <customFilter operator="notEqual" val=" "/>
      </customFilters>
    </filterColumn>
  </autoFilter>
  <tableColumns count="49">
    <tableColumn id="1" xr3:uid="{00000000-0010-0000-0000-000001000000}" name="DESENHO_x000a_MDE" dataDxfId="135"/>
    <tableColumn id="43" xr3:uid="{56981E1B-CD3E-434D-AB02-C5F83A6F3E43}" name="DESENHO_x000a_CLIENTE" dataDxfId="134"/>
    <tableColumn id="2" xr3:uid="{00000000-0010-0000-0000-000002000000}" name="QTE" dataDxfId="133"/>
    <tableColumn id="3" xr3:uid="{00000000-0010-0000-0000-000003000000}" name="DESCRIÇÃO" dataDxfId="132"/>
    <tableColumn id="41" xr3:uid="{00000000-0010-0000-0000-000029000000}" name="COD.MDE" dataDxfId="131"/>
    <tableColumn id="40" xr3:uid="{00000000-0010-0000-0000-000028000000}" name="REMESSA" dataDxfId="130"/>
    <tableColumn id="4" xr3:uid="{00000000-0010-0000-0000-000004000000}" name="PESO UNI" dataDxfId="129"/>
    <tableColumn id="5" xr3:uid="{00000000-0010-0000-0000-000005000000}" name="PESO TOTAL" dataDxfId="128"/>
    <tableColumn id="6" xr3:uid="{00000000-0010-0000-0000-000006000000}" name="Revisão" dataDxfId="127"/>
    <tableColumn id="7" xr3:uid="{00000000-0010-0000-0000-000007000000}" name="TAG" dataDxfId="126"/>
    <tableColumn id="38" xr3:uid="{00000000-0010-0000-0000-000026000000}" name="PRODUTO" dataDxfId="125"/>
    <tableColumn id="8" xr3:uid="{00000000-0010-0000-0000-000008000000}" name="PEDIDO" dataDxfId="124"/>
    <tableColumn id="9" xr3:uid="{00000000-0010-0000-0000-000009000000}" name="Engenharia" dataDxfId="123"/>
    <tableColumn id="10" xr3:uid="{00000000-0010-0000-0000-00000A000000}" name="FORNECEDOR" dataDxfId="122"/>
    <tableColumn id="11" xr3:uid="{00000000-0010-0000-0000-00000B000000}" name="QTDE/ Fabricação" dataDxfId="121"/>
    <tableColumn id="12" xr3:uid="{00000000-0010-0000-0000-00000C000000}" name="DATA/Fabricação" dataDxfId="120"/>
    <tableColumn id="13" xr3:uid="{00000000-0010-0000-0000-00000D000000}" name="SALDO PENDENTE/Fabricação" dataDxfId="119"/>
    <tableColumn id="14" xr3:uid="{00000000-0010-0000-0000-00000E000000}" name="EVOLUÇÃO PRETO / Fabricação_x000a_(kg)" dataDxfId="118"/>
    <tableColumn id="15" xr3:uid="{00000000-0010-0000-0000-00000F000000}" name="PRONTO ACABADO kg" dataDxfId="117">
      <calculatedColumnFormula>IFERROR(H2*AG2,"")</calculatedColumnFormula>
    </tableColumn>
    <tableColumn id="16" xr3:uid="{00000000-0010-0000-0000-000010000000}" name="Pendencia  / Fabricação_x000a_EM KG" dataDxfId="116"/>
    <tableColumn id="17" xr3:uid="{00000000-0010-0000-0000-000011000000}" name="QIANTIDADE EXPEDIDA" dataDxfId="115"/>
    <tableColumn id="18" xr3:uid="{00000000-0010-0000-0000-000012000000}" name="ROMANEIO " dataDxfId="114"/>
    <tableColumn id="19" xr3:uid="{00000000-0010-0000-0000-000013000000}" name="DATA EXPEDIÇÃO" dataDxfId="113"/>
    <tableColumn id="20" xr3:uid="{00000000-0010-0000-0000-000014000000}" name="Peso Expedido" dataDxfId="112"/>
    <tableColumn id="21" xr3:uid="{00000000-0010-0000-0000-000015000000}" name="QUANTIDADE PENDENTE/Expedição" dataDxfId="111"/>
    <tableColumn id="22" xr3:uid="{00000000-0010-0000-0000-000016000000}" name="PESO PENDENTE/Expedição" dataDxfId="110"/>
    <tableColumn id="23" xr3:uid="{00000000-0010-0000-0000-000017000000}" name="MATÉRIA PRIMA" dataDxfId="109"/>
    <tableColumn id="24" xr3:uid="{00000000-0010-0000-0000-000018000000}" name="RELATORIO" dataDxfId="108"/>
    <tableColumn id="25" xr3:uid="{00000000-0010-0000-0000-000019000000}" name="PREPARAÇÃO " dataDxfId="107"/>
    <tableColumn id="26" xr3:uid="{00000000-0010-0000-0000-00001A000000}" name="CALDEIRARIA" dataDxfId="106"/>
    <tableColumn id="27" xr3:uid="{00000000-0010-0000-0000-00001B000000}" name="SOLDA" dataDxfId="105"/>
    <tableColumn id="28" xr3:uid="{00000000-0010-0000-0000-00001C000000}" name="ACABAMENTO" dataDxfId="104"/>
    <tableColumn id="29" xr3:uid="{00000000-0010-0000-0000-00001D000000}" name="PRONTO ACABADO" dataDxfId="103"/>
    <tableColumn id="30" xr3:uid="{00000000-0010-0000-0000-00001E000000}" name="EXPEDIÇÃO " dataDxfId="102"/>
    <tableColumn id="31" xr3:uid="{00000000-0010-0000-0000-00001F000000}" name="FINALIZADO " dataDxfId="101"/>
    <tableColumn id="32" xr3:uid="{00000000-0010-0000-0000-000020000000}" name="Coluna1" dataDxfId="100"/>
    <tableColumn id="33" xr3:uid="{00000000-0010-0000-0000-000021000000}" name="Coluna2" dataDxfId="99"/>
    <tableColumn id="34" xr3:uid="{00000000-0010-0000-0000-000022000000}" name="Coluna3" dataDxfId="98"/>
    <tableColumn id="35" xr3:uid="{00000000-0010-0000-0000-000023000000}" name="Coluna4" dataDxfId="9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6"/>
    <tableColumn id="42" xr3:uid="{44772FB5-94B9-4683-9D51-42A525419432}" name="Colunas7" dataDxfId="95"/>
    <tableColumn id="44" xr3:uid="{7DBCA215-A831-41EC-8668-4217050D7CEF}" name="Coluna5" dataDxfId="94"/>
    <tableColumn id="52" xr3:uid="{0F1E3E30-ACD2-41A7-9FEB-CFC4141C720F}" name="PRONTO NO PRETO" dataDxfId="93"/>
    <tableColumn id="53" xr3:uid="{7B42991E-C57D-449B-9CA4-FF51ED3B7EE1}" name="PRONTO ACABADO3" dataDxfId="92"/>
    <tableColumn id="54" xr3:uid="{B185D57F-2904-41B4-A913-414AD30553DC}" name="PESO EXPEDIDO2" dataDxfId="91"/>
    <tableColumn id="55" xr3:uid="{216FC5C0-1E81-4ACF-B1FE-D38AAA1F26E6}" name="PRONTO ACABADO2" dataDxfId="90"/>
    <tableColumn id="57" xr3:uid="{58807113-78D0-4422-B88A-8E66792B9681}" name="Coluna7" dataDxfId="8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0" totalsRowShown="0" headerRowDxfId="88" headerRowBorderDxfId="87" tableBorderDxfId="86" totalsRowBorderDxfId="85">
  <autoFilter ref="A1:F20" xr:uid="{9E04BDB3-7991-400D-A075-6EF4E207F167}"/>
  <tableColumns count="6">
    <tableColumn id="1" xr3:uid="{0986BF72-EBA9-4CAA-A22C-20021A2F0193}" name="PEDIDO" dataDxfId="84"/>
    <tableColumn id="2" xr3:uid="{1E29E510-3230-4D4A-9101-BF1603DA1959}" name="EQUIPAMENTO" dataDxfId="83"/>
    <tableColumn id="3" xr3:uid="{27EA8246-98FE-4DF0-AB4F-2563340E3A33}" name="DATA PREVISTA " dataDxfId="82"/>
    <tableColumn id="4" xr3:uid="{178705E0-20E1-4EA8-BD6A-04EDA09B960F}" name="DATA REPROGRAMADA" dataDxfId="81"/>
    <tableColumn id="5" xr3:uid="{D69E8AE6-FCF7-4D70-8443-DFF41092DBA5}" name="Observação" dataDxfId="80"/>
    <tableColumn id="6" xr3:uid="{7ED96CF2-6F65-4A02-A0B9-FFDE23E894EB}" name="CLIENTE" dataDxfId="7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8">
  <autoFilter ref="D3:R395" xr:uid="{D635AFD0-01A4-4F4C-B4BB-2C0A84AFA373}"/>
  <tableColumns count="15">
    <tableColumn id="1" xr3:uid="{71019319-E348-41C4-90A8-BD800AFA385A}" name="TAG" dataDxfId="77"/>
    <tableColumn id="2" xr3:uid="{6205B1F5-4B96-401E-A8F0-D0B582A87E91}" name="PEDIDO" dataDxfId="76">
      <calculatedColumnFormula>VLOOKUP(Tabela2[[#This Row],[TAG]],MICRO!J:L,3,0)</calculatedColumnFormula>
    </tableColumn>
    <tableColumn id="3" xr3:uid="{EBC41BBB-459B-4DB5-8152-2C7C2C7ADFAA}" name="FORNECEDOR" dataDxfId="75" dataCellStyle="Normal 2"/>
    <tableColumn id="4" xr3:uid="{EE719B42-3B82-4AC6-AB4D-66A5AF76AAFC}" name="RECEBIDO ENGENHARIA (kg)" dataDxfId="74">
      <calculatedColumnFormula>SUMIF(MICRO!AP:AP,O:O,MICRO!H:H)</calculatedColumnFormula>
    </tableColumn>
    <tableColumn id="5" xr3:uid="{F8EF71F0-2467-40E6-8596-0C50AE8B2E56}" name="EM AVANÇO NO PRETO (kg)" dataDxfId="73">
      <calculatedColumnFormula>SUMIF(MICRO!AP:AP,O:O,MICRO!R:R)</calculatedColumnFormula>
    </tableColumn>
    <tableColumn id="6" xr3:uid="{70FA8036-1726-409E-865E-BBD68DD0CF2B}" name="Pendencia  / Fabricação_x000a_EM KG _x000a_(Kg)" dataDxfId="72">
      <calculatedColumnFormula>SUMIF(MICRO!AP:AP,O:O,MICRO!T:T)</calculatedColumnFormula>
    </tableColumn>
    <tableColumn id="7" xr3:uid="{2EDBF5C8-B6A0-4234-9B37-F4D245CBE335}" name="EVOLUÇÃO %" dataDxfId="71">
      <calculatedColumnFormula>IF(G4 = 0,0,H4/G4)</calculatedColumnFormula>
    </tableColumn>
    <tableColumn id="8" xr3:uid="{981D372E-5C81-43AA-82CF-C526D0CD7BC5}" name="PESO EXPEDIDO" dataDxfId="70">
      <calculatedColumnFormula>SUMIF(MICRO!AP:AP,O:O,MICRO!X:X)</calculatedColumnFormula>
    </tableColumn>
    <tableColumn id="9" xr3:uid="{9581E1B5-4976-4A66-B050-5EDFF64499FF}" name="% EXPEDIDO" dataDxfId="69">
      <calculatedColumnFormula>IF(G4&lt;&gt;0,SUM(K4/G4*1),"0%")</calculatedColumnFormula>
    </tableColumn>
    <tableColumn id="10" xr3:uid="{5A0DEF47-FBD5-46D6-A019-DB5E3CF46E5B}" name="PESO PENDENTE4" dataDxfId="68">
      <calculatedColumnFormula>G4-K4</calculatedColumnFormula>
    </tableColumn>
    <tableColumn id="11" xr3:uid="{AD13F8E0-0652-4176-B922-E74BEC175E7A}" name="Coluna1" dataDxfId="67">
      <calculatedColumnFormula>E4&amp;F4</calculatedColumnFormula>
    </tableColumn>
    <tableColumn id="12" xr3:uid="{9AB5E2D8-1AD6-4B63-A9ED-66372E94A48F}" name="Coluna2" dataDxfId="66">
      <calculatedColumnFormula>D4&amp;E4&amp;F4</calculatedColumnFormula>
    </tableColumn>
    <tableColumn id="13" xr3:uid="{ED15B1A8-5672-4E4D-9246-3BC797332C64}" name="PRONTO NO PRETO" dataDxfId="65">
      <calculatedColumnFormula>SUMIF(MICRO!AP:AP,O4,MICRO!AS:AS)</calculatedColumnFormula>
    </tableColumn>
    <tableColumn id="14" xr3:uid="{986427E9-0E8F-46D1-987F-01DBA908B397}" name="PRONTO ACABADO" dataDxfId="64">
      <calculatedColumnFormula>SUMIF(MICRO!AP:AP,O4,MICRO!AT:AT)</calculatedColumnFormula>
    </tableColumn>
    <tableColumn id="15" xr3:uid="{4361E9F4-014E-4677-9D4A-8DBAE707BA31}" name="PESO EXPEDIDO2" dataDxfId="6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25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66"/>
  <sheetViews>
    <sheetView showGridLines="0" tabSelected="1" topLeftCell="N1" zoomScale="77" zoomScaleNormal="77" workbookViewId="0">
      <pane ySplit="1" topLeftCell="A37" activePane="bottomLeft" state="frozen"/>
      <selection pane="bottomLeft" activeCell="AG53" sqref="AG53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7"/>
        <v>8</v>
      </c>
      <c r="Z67" s="20">
        <f>Tabela1[[#This Row],[PESO TOTAL]]-Tabela1[[#This Row],[Peso Expedido]]</f>
        <v>-41.6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710.79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28"/>
      <c r="AI450" s="33" t="str">
        <f t="shared" si="69"/>
        <v/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2190.6</v>
      </c>
      <c r="T451" s="19">
        <f t="shared" si="88"/>
        <v>-1460.4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0.6</v>
      </c>
      <c r="AH451" s="28"/>
      <c r="AI451" s="33" t="str">
        <f t="shared" si="69"/>
        <v/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0.69310000000000016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0.2</v>
      </c>
      <c r="AB764" s="33"/>
      <c r="AC764" s="33">
        <v>0.2</v>
      </c>
      <c r="AD764" s="33">
        <v>0.2</v>
      </c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28.188000000000006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0.2</v>
      </c>
      <c r="AB767" s="33"/>
      <c r="AC767" s="33">
        <v>0.2</v>
      </c>
      <c r="AD767" s="33">
        <v>0.2</v>
      </c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41.760000000000005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0.2</v>
      </c>
      <c r="AB770" s="33"/>
      <c r="AC770" s="33">
        <v>0.2</v>
      </c>
      <c r="AD770" s="33">
        <v>0.2</v>
      </c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1.5660000000000003</v>
      </c>
      <c r="S842" s="18">
        <f t="shared" si="362"/>
        <v>0</v>
      </c>
      <c r="T842" s="19">
        <f t="shared" si="363"/>
        <v>-10.8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0.2</v>
      </c>
      <c r="AB842" s="33"/>
      <c r="AC842" s="33">
        <v>0.2</v>
      </c>
      <c r="AD842" s="33">
        <v>0.2</v>
      </c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270.512</v>
      </c>
      <c r="S843" s="18">
        <f t="shared" si="362"/>
        <v>0</v>
      </c>
      <c r="T843" s="19">
        <f t="shared" si="363"/>
        <v>-1865.6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0.2</v>
      </c>
      <c r="AB843" s="33"/>
      <c r="AC843" s="33">
        <v>0.2</v>
      </c>
      <c r="AD843" s="33">
        <v>0.2</v>
      </c>
      <c r="AE843" s="33"/>
      <c r="AF843" s="33"/>
      <c r="AG843" s="33"/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92.988500000000002</v>
      </c>
      <c r="S844" s="18">
        <f t="shared" si="362"/>
        <v>0</v>
      </c>
      <c r="T844" s="19">
        <f t="shared" si="363"/>
        <v>-641.29999999999995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0.2</v>
      </c>
      <c r="AB844" s="33"/>
      <c r="AC844" s="33">
        <v>0.2</v>
      </c>
      <c r="AD844" s="33">
        <v>0.2</v>
      </c>
      <c r="AE844" s="33"/>
      <c r="AF844" s="33"/>
      <c r="AG844" s="33"/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18.734000000000002</v>
      </c>
      <c r="S845" s="18">
        <f t="shared" si="362"/>
        <v>0</v>
      </c>
      <c r="T845" s="19">
        <f t="shared" si="363"/>
        <v>-129.19999999999999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0.2</v>
      </c>
      <c r="AB845" s="33"/>
      <c r="AC845" s="33">
        <v>0.2</v>
      </c>
      <c r="AD845" s="33">
        <v>0.2</v>
      </c>
      <c r="AE845" s="33"/>
      <c r="AF845" s="33"/>
      <c r="AG845" s="33"/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16.414000000000001</v>
      </c>
      <c r="S846" s="18">
        <f t="shared" si="362"/>
        <v>0</v>
      </c>
      <c r="T846" s="19">
        <f t="shared" si="363"/>
        <v>-113.2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0.2</v>
      </c>
      <c r="AB846" s="33"/>
      <c r="AC846" s="33">
        <v>0.2</v>
      </c>
      <c r="AD846" s="33">
        <v>0.2</v>
      </c>
      <c r="AE846" s="33"/>
      <c r="AF846" s="33"/>
      <c r="AG846" s="33"/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16.414000000000001</v>
      </c>
      <c r="S847" s="18">
        <f t="shared" si="362"/>
        <v>0</v>
      </c>
      <c r="T847" s="19">
        <f t="shared" si="363"/>
        <v>-113.2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0.2</v>
      </c>
      <c r="AB847" s="33"/>
      <c r="AC847" s="33">
        <v>0.2</v>
      </c>
      <c r="AD847" s="33">
        <v>0.2</v>
      </c>
      <c r="AE847" s="33"/>
      <c r="AF847" s="33"/>
      <c r="AG847" s="33"/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32.828000000000003</v>
      </c>
      <c r="S848" s="18">
        <f t="shared" si="362"/>
        <v>0</v>
      </c>
      <c r="T848" s="19">
        <f t="shared" si="363"/>
        <v>-226.4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0.2</v>
      </c>
      <c r="AB848" s="33"/>
      <c r="AC848" s="33">
        <v>0.2</v>
      </c>
      <c r="AD848" s="33">
        <v>0.2</v>
      </c>
      <c r="AE848" s="33"/>
      <c r="AF848" s="33"/>
      <c r="AG848" s="33"/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10.672000000000001</v>
      </c>
      <c r="S849" s="18">
        <f t="shared" si="362"/>
        <v>0</v>
      </c>
      <c r="T849" s="19">
        <f t="shared" si="363"/>
        <v>-73.599999999999994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0.2</v>
      </c>
      <c r="AB849" s="33"/>
      <c r="AC849" s="33">
        <v>0.2</v>
      </c>
      <c r="AD849" s="33">
        <v>0.2</v>
      </c>
      <c r="AE849" s="33"/>
      <c r="AF849" s="33"/>
      <c r="AG849" s="33"/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17.922000000000001</v>
      </c>
      <c r="S850" s="18">
        <f t="shared" si="362"/>
        <v>0</v>
      </c>
      <c r="T850" s="19">
        <f t="shared" si="363"/>
        <v>-123.6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0.2</v>
      </c>
      <c r="AB850" s="33"/>
      <c r="AC850" s="33">
        <v>0.2</v>
      </c>
      <c r="AD850" s="33">
        <v>0.2</v>
      </c>
      <c r="AE850" s="33"/>
      <c r="AF850" s="33"/>
      <c r="AG850" s="33"/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3.9150000000000005</v>
      </c>
      <c r="S851" s="18">
        <f t="shared" si="362"/>
        <v>0</v>
      </c>
      <c r="T851" s="19">
        <f t="shared" si="363"/>
        <v>-27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0.2</v>
      </c>
      <c r="AB851" s="33"/>
      <c r="AC851" s="33">
        <v>0.2</v>
      </c>
      <c r="AD851" s="33">
        <v>0.2</v>
      </c>
      <c r="AE851" s="33"/>
      <c r="AF851" s="33"/>
      <c r="AG851" s="33"/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14.21</v>
      </c>
      <c r="S852" s="18">
        <f>IFERROR(H852*AG852,"")</f>
        <v>0</v>
      </c>
      <c r="T852" s="19">
        <f>IFERROR(S852-H852,"")</f>
        <v>-98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0.2</v>
      </c>
      <c r="AB852" s="33"/>
      <c r="AC852" s="33">
        <v>0.2</v>
      </c>
      <c r="AD852" s="33">
        <v>0.2</v>
      </c>
      <c r="AE852" s="33"/>
      <c r="AF852" s="33"/>
      <c r="AG852" s="33"/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6" si="373">IFERROR(H862*((AA862*0.25)+(AC862*0.25)+(AD862*0.225)+(AE862*0.225)+(AF862*0.05)),"")</f>
        <v>0</v>
      </c>
      <c r="S862" s="18">
        <f t="shared" ref="S862:S866" si="374">IFERROR(H862*AG862,"")</f>
        <v>0</v>
      </c>
      <c r="T862" s="19">
        <f t="shared" ref="T862:T866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6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373"/>
        <v>0</v>
      </c>
      <c r="S866" s="18">
        <f t="shared" si="374"/>
        <v>0</v>
      </c>
      <c r="T866" s="19">
        <f t="shared" si="375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376"/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</sheetData>
  <phoneticPr fontId="6" type="noConversion"/>
  <conditionalFormatting sqref="E2:E458 AI29:AI459 AA452:AD453 AA454:AB458 AD454:AD458 AA486:AH604 E556:E604 L605 J605:J866 E606:E866 AA762:AJ762 AC762:AE763 AA763:AI866 AA29:AH449">
    <cfRule type="expression" dxfId="62" priority="165">
      <formula>$AI2="OK"</formula>
    </cfRule>
  </conditionalFormatting>
  <conditionalFormatting sqref="F564:F866 B606:B866 H606:I866 K764:O866">
    <cfRule type="expression" dxfId="61" priority="49">
      <formula>#REF!="OK"</formula>
    </cfRule>
  </conditionalFormatting>
  <conditionalFormatting sqref="H419">
    <cfRule type="expression" dxfId="60" priority="26958">
      <formula>$AI449="OK"</formula>
    </cfRule>
  </conditionalFormatting>
  <conditionalFormatting sqref="H420:H438">
    <cfRule type="expression" dxfId="59" priority="26948">
      <formula>$AI459="OK"</formula>
    </cfRule>
  </conditionalFormatting>
  <conditionalFormatting sqref="H576">
    <cfRule type="expression" dxfId="58" priority="26925">
      <formula>$AI604="OK"</formula>
    </cfRule>
  </conditionalFormatting>
  <conditionalFormatting sqref="K153:K438 K445:K458 L448:L449 L762:O763">
    <cfRule type="expression" dxfId="57" priority="174">
      <formula>#REF!="OK"</formula>
    </cfRule>
  </conditionalFormatting>
  <conditionalFormatting sqref="K762:K763">
    <cfRule type="expression" dxfId="56" priority="57">
      <formula>$AI886="OK"</formula>
    </cfRule>
  </conditionalFormatting>
  <conditionalFormatting sqref="L2:L27 H415:H417">
    <cfRule type="expression" dxfId="55" priority="2670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4" priority="171">
      <formula>$AI72="OK"</formula>
    </cfRule>
  </conditionalFormatting>
  <conditionalFormatting sqref="L408">
    <cfRule type="expression" dxfId="53" priority="26950">
      <formula>$AI449="OK"</formula>
    </cfRule>
  </conditionalFormatting>
  <conditionalFormatting sqref="L409:L438">
    <cfRule type="expression" dxfId="52" priority="26803">
      <formula>$AI459="OK"</formula>
    </cfRule>
  </conditionalFormatting>
  <conditionalFormatting sqref="N2:N458">
    <cfRule type="expression" dxfId="51" priority="55">
      <formula>#REF!="OK"</formula>
    </cfRule>
  </conditionalFormatting>
  <conditionalFormatting sqref="O450:O458">
    <cfRule type="cellIs" dxfId="50" priority="120" operator="lessThan">
      <formula>0</formula>
    </cfRule>
  </conditionalFormatting>
  <conditionalFormatting sqref="O450:P452 H449 R449 A450:D452 F450:F452 M450:M452 H450:J458 P457:P458">
    <cfRule type="expression" dxfId="49" priority="26759">
      <formula>$AI503="OK"</formula>
    </cfRule>
  </conditionalFormatting>
  <conditionalFormatting sqref="O453:P453">
    <cfRule type="expression" dxfId="48" priority="131">
      <formula>#REF!="OK"</formula>
    </cfRule>
  </conditionalFormatting>
  <conditionalFormatting sqref="O2:Z27 A2:D27 F2:F27 H2:K27 M2:M27 H153:H413 H459:H571">
    <cfRule type="expression" dxfId="47" priority="2673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6" priority="26432">
      <formula>$AI73="OK"</formula>
    </cfRule>
  </conditionalFormatting>
  <conditionalFormatting sqref="O108:Z108 A108:D108 F108 H108:K108 M108 L109">
    <cfRule type="expression" dxfId="45" priority="27067">
      <formula>#REF!="OK"</formula>
    </cfRule>
  </conditionalFormatting>
  <conditionalFormatting sqref="O402:Z402 O406:Z406 A402:D402 F402 I402:J402 M402 L403 A406:D406 F406 I406:J406 M406 L407 H414 H418">
    <cfRule type="expression" dxfId="44" priority="26951">
      <formula>#REF!="OK"</formula>
    </cfRule>
  </conditionalFormatting>
  <conditionalFormatting sqref="O403:Z405 L110:L152 L214:L256 L396:L402 A403:D405 F403:F405 I403:J405 M403:M405">
    <cfRule type="expression" dxfId="43" priority="26638">
      <formula>$AI153="OK"</formula>
    </cfRule>
  </conditionalFormatting>
  <conditionalFormatting sqref="O407:Z407 L404:L406 A407:D407 F407 I407:J407 M407">
    <cfRule type="expression" dxfId="42" priority="2696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1" priority="26773">
      <formula>$AI499="OK"</formula>
    </cfRule>
  </conditionalFormatting>
  <conditionalFormatting sqref="O559:Z562 Z560:Z563 B559:B562 F559:F562 I559:I562 M559:M562 H572:H575">
    <cfRule type="expression" dxfId="40" priority="26888">
      <formula>#REF!="OK"</formula>
    </cfRule>
  </conditionalFormatting>
  <conditionalFormatting sqref="O563:Z563 B563 F563 I563 M563">
    <cfRule type="expression" dxfId="39" priority="26802">
      <formula>$AI604="OK"</formula>
    </cfRule>
  </conditionalFormatting>
  <conditionalFormatting sqref="P762:Z834">
    <cfRule type="expression" dxfId="38" priority="27087">
      <formula>$AI896="OK"</formula>
    </cfRule>
  </conditionalFormatting>
  <conditionalFormatting sqref="P835:Z866">
    <cfRule type="expression" dxfId="37" priority="27097">
      <formula>$AI967="OK"</formula>
    </cfRule>
  </conditionalFormatting>
  <conditionalFormatting sqref="P837:Z866">
    <cfRule type="expression" dxfId="36" priority="27129">
      <formula>$AI968="OK"</formula>
    </cfRule>
  </conditionalFormatting>
  <conditionalFormatting sqref="Q2:Q456 Q459:Q866">
    <cfRule type="cellIs" dxfId="35" priority="26401" operator="greaterThanOrEqual">
      <formula>0</formula>
    </cfRule>
    <cfRule type="cellIs" dxfId="34" priority="26400" operator="lessThan">
      <formula>0</formula>
    </cfRule>
  </conditionalFormatting>
  <conditionalFormatting sqref="S211">
    <cfRule type="expression" dxfId="33" priority="172">
      <formula>#REF!="OK"</formula>
    </cfRule>
  </conditionalFormatting>
  <conditionalFormatting sqref="S393">
    <cfRule type="expression" dxfId="32" priority="173">
      <formula>#REF!="OK"</formula>
    </cfRule>
  </conditionalFormatting>
  <conditionalFormatting sqref="S447:Z447 O447:Q447 A447:D447 F447 J447 M447 A453:D453 F453 M453 L454:L458">
    <cfRule type="expression" dxfId="31" priority="26758">
      <formula>#REF!="OK"</formula>
    </cfRule>
  </conditionalFormatting>
  <conditionalFormatting sqref="T2:T866 Y2:Z866 O450:O458">
    <cfRule type="cellIs" dxfId="30" priority="121" operator="greaterThanOrEqual">
      <formula>0</formula>
    </cfRule>
  </conditionalFormatting>
  <conditionalFormatting sqref="T2:T866 Y2:Z866">
    <cfRule type="cellIs" dxfId="29" priority="26402" operator="lessThan">
      <formula>0</formula>
    </cfRule>
  </conditionalFormatting>
  <conditionalFormatting sqref="T212:Z212 O212:R212 A212:D212 F212 I212:J212 M212">
    <cfRule type="expression" dxfId="28" priority="2661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7" priority="26500">
      <formula>$AI257="OK"</formula>
    </cfRule>
  </conditionalFormatting>
  <conditionalFormatting sqref="T394:Z394 O394:R394 A394:D394 F394 I394:J394 M394 L395">
    <cfRule type="expression" dxfId="26" priority="26663">
      <formula>#REF!="OK"</formula>
    </cfRule>
  </conditionalFormatting>
  <conditionalFormatting sqref="T408:Z438 O408:R438 S408:S437 A408:D438 F408:F438 I408:J438 M408:M438 L439:L445">
    <cfRule type="expression" dxfId="25" priority="2704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4" priority="26953">
      <formula>$AI490="OK"</formula>
    </cfRule>
  </conditionalFormatting>
  <conditionalFormatting sqref="T605:Z605 Q605:R605 H605">
    <cfRule type="expression" dxfId="23" priority="26940">
      <formula>$AI669="OK"</formula>
    </cfRule>
  </conditionalFormatting>
  <conditionalFormatting sqref="V450:Y451 R450:T458 V452:Z458">
    <cfRule type="expression" dxfId="22" priority="26858">
      <formula>$AI487="OK"</formula>
    </cfRule>
  </conditionalFormatting>
  <conditionalFormatting sqref="Z450:Z451 O564:Z622 K623:Z761 K556:K622 B564:B603 I564:I603 M564:M603 H577:H603 A604:D605 H604:J605 L604:N622">
    <cfRule type="expression" dxfId="21" priority="26927">
      <formula>#REF!="OK"</formula>
    </cfRule>
  </conditionalFormatting>
  <conditionalFormatting sqref="Z450:Z451">
    <cfRule type="expression" dxfId="20" priority="104">
      <formula>$AI494="OK"</formula>
    </cfRule>
  </conditionalFormatting>
  <conditionalFormatting sqref="Z564">
    <cfRule type="expression" dxfId="19" priority="26918">
      <formula>$AI604="OK"</formula>
    </cfRule>
  </conditionalFormatting>
  <conditionalFormatting sqref="Z605">
    <cfRule type="expression" dxfId="18" priority="26943">
      <formula>$AI668="OK"</formula>
    </cfRule>
  </conditionalFormatting>
  <conditionalFormatting sqref="AA606:AH761">
    <cfRule type="expression" dxfId="17" priority="89">
      <formula>$AI606="OK"</formula>
    </cfRule>
    <cfRule type="cellIs" dxfId="16" priority="88" operator="greaterThanOrEqual">
      <formula>1</formula>
    </cfRule>
  </conditionalFormatting>
  <conditionalFormatting sqref="AA2:AI28 AA450:AG451 AE452:AG452 AF453:AG458 AA459:AH459 A459:G555 I459:N555 AA460:AI603 J556:J603 L556:L603">
    <cfRule type="expression" dxfId="15" priority="26398">
      <formula>$AI2="OK"</formula>
    </cfRule>
  </conditionalFormatting>
  <conditionalFormatting sqref="AA2:AI28 AI29:AI459 AJ153:AW153 AA450:AG451 AE452:AG452 AA452:AD453 AE453 AF453:AG458 AA454:AB458 AD454:AG458 AA459:AH459 AI606:AI761 AA762:AJ866 AA29:AH449">
    <cfRule type="cellIs" dxfId="14" priority="26399" operator="greaterThanOrEqual">
      <formula>1</formula>
    </cfRule>
  </conditionalFormatting>
  <conditionalFormatting sqref="AA460:AI605">
    <cfRule type="cellIs" dxfId="13" priority="98" operator="greaterThanOrEqual">
      <formula>1</formula>
    </cfRule>
  </conditionalFormatting>
  <conditionalFormatting sqref="AA605:AI605">
    <cfRule type="expression" dxfId="12" priority="99">
      <formula>$AI605="OK"</formula>
    </cfRule>
  </conditionalFormatting>
  <conditionalFormatting sqref="AC454:AC458">
    <cfRule type="expression" dxfId="11" priority="38">
      <formula>$AI454="OK"</formula>
    </cfRule>
    <cfRule type="cellIs" dxfId="10" priority="39" operator="greaterThanOrEqual">
      <formula>1</formula>
    </cfRule>
  </conditionalFormatting>
  <conditionalFormatting sqref="AE453:AE458">
    <cfRule type="expression" dxfId="9" priority="37">
      <formula>$AI453="OK"</formula>
    </cfRule>
  </conditionalFormatting>
  <conditionalFormatting sqref="AF454:AF458">
    <cfRule type="expression" dxfId="8" priority="36">
      <formula>$AI454="OK"</formula>
    </cfRule>
  </conditionalFormatting>
  <conditionalFormatting sqref="AG454:AG458">
    <cfRule type="expression" dxfId="7" priority="35">
      <formula>$AI454="OK"</formula>
    </cfRule>
  </conditionalFormatting>
  <conditionalFormatting sqref="AI486:AI761 N556:N603">
    <cfRule type="expression" dxfId="6" priority="105">
      <formula>$AI486="OK"</formula>
    </cfRule>
  </conditionalFormatting>
  <conditionalFormatting sqref="AJ153:AW153">
    <cfRule type="expression" dxfId="5" priority="17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0"/>
  <sheetViews>
    <sheetView topLeftCell="A14" workbookViewId="0">
      <selection activeCell="E14" sqref="E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9" t="e" vm="1">
        <v>#VALUE!</v>
      </c>
      <c r="D2" s="280"/>
      <c r="E2" s="283" t="s">
        <v>320</v>
      </c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87" t="s">
        <v>246</v>
      </c>
      <c r="V2" s="277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1"/>
      <c r="D3" s="282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6"/>
      <c r="U3" s="288"/>
      <c r="V3" s="278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2" t="s">
        <v>2070</v>
      </c>
      <c r="D6" s="245" t="s">
        <v>2069</v>
      </c>
      <c r="E6" s="248" t="s">
        <v>2071</v>
      </c>
      <c r="F6" s="251">
        <v>46183</v>
      </c>
      <c r="G6" s="289">
        <v>46220</v>
      </c>
      <c r="H6" s="26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6">
        <f>T9/T6</f>
        <v>0.88949747289203585</v>
      </c>
      <c r="V6" s="23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3"/>
      <c r="D7" s="246"/>
      <c r="E7" s="249"/>
      <c r="F7" s="252"/>
      <c r="G7" s="290"/>
      <c r="H7" s="26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7"/>
      <c r="V7" s="24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3"/>
      <c r="D8" s="246"/>
      <c r="E8" s="249"/>
      <c r="F8" s="252"/>
      <c r="G8" s="290"/>
      <c r="H8" s="26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7"/>
      <c r="V8" s="24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3"/>
      <c r="D9" s="246"/>
      <c r="E9" s="249"/>
      <c r="F9" s="252"/>
      <c r="G9" s="290"/>
      <c r="H9" s="26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7"/>
      <c r="V9" s="24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4"/>
      <c r="D10" s="247"/>
      <c r="E10" s="250"/>
      <c r="F10" s="253"/>
      <c r="G10" s="291"/>
      <c r="H10" s="27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8"/>
      <c r="V10" s="24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2" t="s">
        <v>2987</v>
      </c>
      <c r="D12" s="245" t="s">
        <v>2551</v>
      </c>
      <c r="E12" s="248" t="s">
        <v>2986</v>
      </c>
      <c r="F12" s="251">
        <v>46205</v>
      </c>
      <c r="G12" s="289"/>
      <c r="H12" s="274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6">
        <f>T15/T12</f>
        <v>0.76586952907929418</v>
      </c>
      <c r="V12" s="23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3"/>
      <c r="D13" s="246"/>
      <c r="E13" s="249"/>
      <c r="F13" s="252"/>
      <c r="G13" s="290"/>
      <c r="H13" s="275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7"/>
      <c r="V13" s="24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3"/>
      <c r="D14" s="246"/>
      <c r="E14" s="249"/>
      <c r="F14" s="252"/>
      <c r="G14" s="290"/>
      <c r="H14" s="275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7"/>
      <c r="V14" s="24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3"/>
      <c r="D15" s="246"/>
      <c r="E15" s="249"/>
      <c r="F15" s="252"/>
      <c r="G15" s="290"/>
      <c r="H15" s="275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7"/>
      <c r="V15" s="24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4"/>
      <c r="D16" s="247"/>
      <c r="E16" s="250"/>
      <c r="F16" s="253"/>
      <c r="G16" s="291"/>
      <c r="H16" s="276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8"/>
      <c r="V16" s="24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2" t="s">
        <v>2983</v>
      </c>
      <c r="D18" s="245" t="s">
        <v>2984</v>
      </c>
      <c r="E18" s="248" t="s">
        <v>2985</v>
      </c>
      <c r="F18" s="251">
        <v>46289</v>
      </c>
      <c r="G18" s="289"/>
      <c r="H18" s="25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6">
        <f>T21/T18</f>
        <v>0.66234725553408991</v>
      </c>
      <c r="V18" s="23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3"/>
      <c r="D19" s="246"/>
      <c r="E19" s="249"/>
      <c r="F19" s="252"/>
      <c r="G19" s="290"/>
      <c r="H19" s="258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31.590199999999996</v>
      </c>
      <c r="U19" s="237"/>
      <c r="V19" s="24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3"/>
      <c r="D20" s="246"/>
      <c r="E20" s="249"/>
      <c r="F20" s="252"/>
      <c r="G20" s="290"/>
      <c r="H20" s="258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37"/>
      <c r="V20" s="24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3"/>
      <c r="D21" s="246"/>
      <c r="E21" s="249"/>
      <c r="F21" s="252"/>
      <c r="G21" s="290"/>
      <c r="H21" s="258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22.1477</v>
      </c>
      <c r="U21" s="237"/>
      <c r="V21" s="24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4"/>
      <c r="D22" s="247"/>
      <c r="E22" s="250"/>
      <c r="F22" s="253"/>
      <c r="G22" s="291"/>
      <c r="H22" s="259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38"/>
      <c r="V22" s="24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2" t="s">
        <v>3292</v>
      </c>
      <c r="D24" s="245" t="s">
        <v>3291</v>
      </c>
      <c r="E24" s="248" t="s">
        <v>3293</v>
      </c>
      <c r="F24" s="251">
        <v>46336</v>
      </c>
      <c r="G24" s="254"/>
      <c r="H24" s="25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6">
        <v>0</v>
      </c>
      <c r="V24" s="23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3"/>
      <c r="D25" s="246"/>
      <c r="E25" s="249"/>
      <c r="F25" s="252"/>
      <c r="G25" s="255"/>
      <c r="H25" s="25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7"/>
      <c r="V25" s="24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3"/>
      <c r="D26" s="246"/>
      <c r="E26" s="249"/>
      <c r="F26" s="252"/>
      <c r="G26" s="255"/>
      <c r="H26" s="25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7"/>
      <c r="V26" s="24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3"/>
      <c r="D27" s="246"/>
      <c r="E27" s="249"/>
      <c r="F27" s="252"/>
      <c r="G27" s="255"/>
      <c r="H27" s="25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7"/>
      <c r="V27" s="24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4"/>
      <c r="D28" s="247"/>
      <c r="E28" s="250"/>
      <c r="F28" s="253"/>
      <c r="G28" s="256"/>
      <c r="H28" s="25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8"/>
      <c r="V28" s="24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2" t="s">
        <v>2993</v>
      </c>
      <c r="D30" s="245" t="s">
        <v>2989</v>
      </c>
      <c r="E30" s="248" t="s">
        <v>2994</v>
      </c>
      <c r="F30" s="251">
        <v>46219</v>
      </c>
      <c r="G30" s="254"/>
      <c r="H30" s="26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6">
        <v>0</v>
      </c>
      <c r="V30" s="23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3"/>
      <c r="D31" s="246"/>
      <c r="E31" s="249"/>
      <c r="F31" s="252"/>
      <c r="G31" s="255"/>
      <c r="H31" s="26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7"/>
      <c r="V31" s="24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3"/>
      <c r="D32" s="246"/>
      <c r="E32" s="249"/>
      <c r="F32" s="252"/>
      <c r="G32" s="255"/>
      <c r="H32" s="26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7"/>
      <c r="V32" s="24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3"/>
      <c r="D33" s="246"/>
      <c r="E33" s="249"/>
      <c r="F33" s="252"/>
      <c r="G33" s="255"/>
      <c r="H33" s="26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7"/>
      <c r="V33" s="24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4"/>
      <c r="D34" s="247"/>
      <c r="E34" s="250"/>
      <c r="F34" s="253"/>
      <c r="G34" s="256"/>
      <c r="H34" s="27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8"/>
      <c r="V34" s="24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2" t="s">
        <v>2995</v>
      </c>
      <c r="D36" s="245" t="s">
        <v>2990</v>
      </c>
      <c r="E36" s="248" t="s">
        <v>2992</v>
      </c>
      <c r="F36" s="251">
        <v>46198</v>
      </c>
      <c r="G36" s="271"/>
      <c r="H36" s="274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6">
        <v>0</v>
      </c>
      <c r="V36" s="23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3"/>
      <c r="D37" s="246"/>
      <c r="E37" s="249"/>
      <c r="F37" s="252"/>
      <c r="G37" s="272"/>
      <c r="H37" s="275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7"/>
      <c r="V37" s="24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3"/>
      <c r="D38" s="246"/>
      <c r="E38" s="249"/>
      <c r="F38" s="252"/>
      <c r="G38" s="272"/>
      <c r="H38" s="275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7"/>
      <c r="V38" s="24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3"/>
      <c r="D39" s="246"/>
      <c r="E39" s="249"/>
      <c r="F39" s="252"/>
      <c r="G39" s="272"/>
      <c r="H39" s="275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7"/>
      <c r="V39" s="24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4"/>
      <c r="D40" s="247"/>
      <c r="E40" s="250"/>
      <c r="F40" s="253"/>
      <c r="G40" s="273"/>
      <c r="H40" s="276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8"/>
      <c r="V40" s="24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2" t="s">
        <v>3006</v>
      </c>
      <c r="D42" s="245" t="s">
        <v>3004</v>
      </c>
      <c r="E42" s="248" t="s">
        <v>3007</v>
      </c>
      <c r="F42" s="251">
        <v>46188</v>
      </c>
      <c r="G42" s="271">
        <v>46220</v>
      </c>
      <c r="H42" s="268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6">
        <v>0</v>
      </c>
      <c r="V42" s="23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3"/>
      <c r="D43" s="246"/>
      <c r="E43" s="249"/>
      <c r="F43" s="252"/>
      <c r="G43" s="272"/>
      <c r="H43" s="26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7"/>
      <c r="V43" s="24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3"/>
      <c r="D44" s="246"/>
      <c r="E44" s="249"/>
      <c r="F44" s="252"/>
      <c r="G44" s="272"/>
      <c r="H44" s="26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7"/>
      <c r="V44" s="24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3"/>
      <c r="D45" s="246"/>
      <c r="E45" s="249"/>
      <c r="F45" s="252"/>
      <c r="G45" s="272"/>
      <c r="H45" s="26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7"/>
      <c r="V45" s="24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4"/>
      <c r="D46" s="247"/>
      <c r="E46" s="250"/>
      <c r="F46" s="253"/>
      <c r="G46" s="273"/>
      <c r="H46" s="27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8"/>
      <c r="V46" s="24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2" t="s">
        <v>3009</v>
      </c>
      <c r="D48" s="245" t="s">
        <v>3005</v>
      </c>
      <c r="E48" s="248" t="s">
        <v>3008</v>
      </c>
      <c r="F48" s="251">
        <v>46202</v>
      </c>
      <c r="G48" s="271">
        <v>46233</v>
      </c>
      <c r="H48" s="268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6">
        <v>0</v>
      </c>
      <c r="V48" s="23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3"/>
      <c r="D49" s="246"/>
      <c r="E49" s="249"/>
      <c r="F49" s="252"/>
      <c r="G49" s="272"/>
      <c r="H49" s="26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7"/>
      <c r="V49" s="24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3"/>
      <c r="D50" s="246"/>
      <c r="E50" s="249"/>
      <c r="F50" s="252"/>
      <c r="G50" s="272"/>
      <c r="H50" s="26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7"/>
      <c r="V50" s="24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3"/>
      <c r="D51" s="246"/>
      <c r="E51" s="249"/>
      <c r="F51" s="252"/>
      <c r="G51" s="272"/>
      <c r="H51" s="26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7"/>
      <c r="V51" s="24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4"/>
      <c r="D52" s="247"/>
      <c r="E52" s="250"/>
      <c r="F52" s="253"/>
      <c r="G52" s="273"/>
      <c r="H52" s="27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8"/>
      <c r="V52" s="24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2" t="s">
        <v>3009</v>
      </c>
      <c r="D54" s="245" t="s">
        <v>3111</v>
      </c>
      <c r="E54" s="248" t="s">
        <v>3164</v>
      </c>
      <c r="F54" s="251">
        <v>46226</v>
      </c>
      <c r="G54" s="254"/>
      <c r="H54" s="26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6">
        <v>0</v>
      </c>
      <c r="V54" s="23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3"/>
      <c r="D55" s="246"/>
      <c r="E55" s="249"/>
      <c r="F55" s="252"/>
      <c r="G55" s="255"/>
      <c r="H55" s="26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37"/>
      <c r="V55" s="24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3"/>
      <c r="D56" s="246"/>
      <c r="E56" s="249"/>
      <c r="F56" s="252"/>
      <c r="G56" s="255"/>
      <c r="H56" s="26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37"/>
      <c r="V56" s="24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3"/>
      <c r="D57" s="246"/>
      <c r="E57" s="249"/>
      <c r="F57" s="252"/>
      <c r="G57" s="255"/>
      <c r="H57" s="26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37"/>
      <c r="V57" s="24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4"/>
      <c r="D58" s="247"/>
      <c r="E58" s="250"/>
      <c r="F58" s="253"/>
      <c r="G58" s="256"/>
      <c r="H58" s="27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38"/>
      <c r="V58" s="24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2" t="s">
        <v>3165</v>
      </c>
      <c r="D60" s="245" t="s">
        <v>3163</v>
      </c>
      <c r="E60" s="248" t="s">
        <v>3166</v>
      </c>
      <c r="F60" s="251">
        <v>46235</v>
      </c>
      <c r="G60" s="254"/>
      <c r="H60" s="25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6">
        <v>0</v>
      </c>
      <c r="V60" s="23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3"/>
      <c r="D61" s="246"/>
      <c r="E61" s="249"/>
      <c r="F61" s="252"/>
      <c r="G61" s="255"/>
      <c r="H61" s="25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7"/>
      <c r="V61" s="24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3"/>
      <c r="D62" s="246"/>
      <c r="E62" s="249"/>
      <c r="F62" s="252"/>
      <c r="G62" s="255"/>
      <c r="H62" s="25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7"/>
      <c r="V62" s="24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3"/>
      <c r="D63" s="246"/>
      <c r="E63" s="249"/>
      <c r="F63" s="252"/>
      <c r="G63" s="255"/>
      <c r="H63" s="25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7"/>
      <c r="V63" s="24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4"/>
      <c r="D64" s="247"/>
      <c r="E64" s="250"/>
      <c r="F64" s="253"/>
      <c r="G64" s="256"/>
      <c r="H64" s="25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8"/>
      <c r="V64" s="24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2" t="s">
        <v>4307</v>
      </c>
      <c r="D66" s="245" t="s">
        <v>4299</v>
      </c>
      <c r="E66" s="248" t="s">
        <v>4308</v>
      </c>
      <c r="F66" s="251">
        <v>46233</v>
      </c>
      <c r="G66" s="254"/>
      <c r="H66" s="25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6">
        <v>0</v>
      </c>
      <c r="V66" s="23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3"/>
      <c r="D67" s="246"/>
      <c r="E67" s="249"/>
      <c r="F67" s="252"/>
      <c r="G67" s="255"/>
      <c r="H67" s="25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7"/>
      <c r="V67" s="24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3"/>
      <c r="D68" s="246"/>
      <c r="E68" s="249"/>
      <c r="F68" s="252"/>
      <c r="G68" s="255"/>
      <c r="H68" s="25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7"/>
      <c r="V68" s="24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3"/>
      <c r="D69" s="246"/>
      <c r="E69" s="249"/>
      <c r="F69" s="252"/>
      <c r="G69" s="255"/>
      <c r="H69" s="25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7"/>
      <c r="V69" s="24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4"/>
      <c r="D70" s="247"/>
      <c r="E70" s="250"/>
      <c r="F70" s="253"/>
      <c r="G70" s="256"/>
      <c r="H70" s="25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8"/>
      <c r="V70" s="24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2" t="s">
        <v>3165</v>
      </c>
      <c r="D72" s="245" t="s">
        <v>4306</v>
      </c>
      <c r="E72" s="248" t="s">
        <v>4309</v>
      </c>
      <c r="F72" s="251">
        <v>46280</v>
      </c>
      <c r="G72" s="254"/>
      <c r="H72" s="25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6">
        <v>0</v>
      </c>
      <c r="V72" s="23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3"/>
      <c r="D73" s="246"/>
      <c r="E73" s="249"/>
      <c r="F73" s="252"/>
      <c r="G73" s="255"/>
      <c r="H73" s="25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7"/>
      <c r="V73" s="24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3"/>
      <c r="D74" s="246"/>
      <c r="E74" s="249"/>
      <c r="F74" s="252"/>
      <c r="G74" s="255"/>
      <c r="H74" s="25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7"/>
      <c r="V74" s="24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3"/>
      <c r="D75" s="246"/>
      <c r="E75" s="249"/>
      <c r="F75" s="252"/>
      <c r="G75" s="255"/>
      <c r="H75" s="25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7"/>
      <c r="V75" s="24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4"/>
      <c r="D76" s="247"/>
      <c r="E76" s="250"/>
      <c r="F76" s="253"/>
      <c r="G76" s="256"/>
      <c r="H76" s="25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8"/>
      <c r="V76" s="24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0" t="s">
        <v>326</v>
      </c>
      <c r="E79" s="262" t="s">
        <v>891</v>
      </c>
      <c r="F79" s="263"/>
      <c r="G79" s="263"/>
      <c r="H79" s="263"/>
      <c r="I79" s="263"/>
      <c r="J79" s="264"/>
      <c r="K79" s="265" t="s">
        <v>331</v>
      </c>
      <c r="L79" s="266"/>
      <c r="M79" s="266"/>
      <c r="N79" s="267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1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10.252599999999999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33.892699999999998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2.7690000000000001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63.664200000000001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12.861799999999999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77.163600000000002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0.16479999999999942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19.886699999999994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5"/>
  <sheetViews>
    <sheetView zoomScaleNormal="100" workbookViewId="0">
      <pane ySplit="1" topLeftCell="A5125" activePane="bottomLeft" state="frozen"/>
      <selection pane="bottomLeft" activeCell="G5122" sqref="G5122:G5135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5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1.0197925587591588</v>
      </c>
      <c r="M365" s="113">
        <f t="shared" si="137"/>
        <v>-41.599999999999909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2026-08-10T17:08:19Z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